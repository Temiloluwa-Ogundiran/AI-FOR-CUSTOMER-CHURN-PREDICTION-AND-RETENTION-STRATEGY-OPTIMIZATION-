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Response_Tracker" sheetId="4" state="visible" r:id="rId4"/>
    <sheet xmlns:r="http://schemas.openxmlformats.org/officeDocument/2006/relationships" name="Analysis_Map" sheetId="5" state="visible" r:id="rId5"/>
    <sheet xmlns:r="http://schemas.openxmlformats.org/officeDocument/2006/relationships" name="Pilot_Reliability" sheetId="6" state="visible" r:id="rId6"/>
    <sheet xmlns:r="http://schemas.openxmlformats.org/officeDocument/2006/relationships" name="Interview_Coding" sheetId="7" state="visible" r:id="rId7"/>
    <sheet xmlns:r="http://schemas.openxmlformats.org/officeDocument/2006/relationships" name="Google_Forms_Build" sheetId="8" state="visible" r:id="rId8"/>
  </sheets>
  <definedNames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h:mm"/>
    <numFmt numFmtId="166" formatCode="0.000"/>
    <numFmt numFmtId="167" formatCode="yyyy-mm-dd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9"/>
    </font>
    <font>
      <name val="Carlito"/>
      <b val="1"/>
      <color rgb="FFFFFFFF"/>
      <sz val="15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EF3F8"/>
      </patternFill>
    </fill>
  </fills>
  <borders count="2">
    <border/>
    <border/>
  </borders>
  <cellStyleXfs count="1">
    <xf numFmtId="0" fontId="0" fillId="0" borderId="1"/>
  </cellStyleXfs>
  <cellXfs count="6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2" fontId="0" fillId="0" borderId="1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/>
  </cellStyles>
  <dxfs count="2"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odebookTable" displayName="CodebookTable" ref="A1:J76" headerRowCount="1" totalsRowCount="0" totalsRowShown="0">
  <tableColumns count="10">
    <tableColumn id="1" name="Variable"/>
    <tableColumn id="2" name="Section"/>
    <tableColumn id="3" name="Question / Label"/>
    <tableColumn id="4" name="Response Type"/>
    <tableColumn id="5" name="Coding / Values"/>
    <tableColumn id="6" name="Construct"/>
    <tableColumn id="7" name="Objective"/>
    <tableColumn id="8" name="Research Question"/>
    <tableColumn id="9" name="Hypothesis / Planned Analysis"/>
    <tableColumn id="10" name="Include in Composi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alysisMapTable" displayName="AnalysisMapTable" ref="A1:F7" headerRowCount="1" totalsRowCount="0" totalsRowShown="0">
  <tableColumns count="6">
    <tableColumn id="1" name="Objective"/>
    <tableColumn id="2" name="Research Question"/>
    <tableColumn id="3" name="Variables"/>
    <tableColumn id="4" name="Analysis"/>
    <tableColumn id="5" name="Hypothesis"/>
    <tableColumn id="6" name="Expected Outp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oogleFormsBuildTable" displayName="GoogleFormsBuildTable" ref="A1:G69" headerRowCount="1" totalsRowCount="0" totalsRowShown="0">
  <tableColumns count="7">
    <tableColumn id="1" name="Form Section"/>
    <tableColumn id="2" name="Code"/>
    <tableColumn id="3" name="Question / Statement"/>
    <tableColumn id="4" name="Question Type"/>
    <tableColumn id="5" name="Options / Scale"/>
    <tableColumn id="6" name="Required?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80" customWidth="1" min="2" max="2"/>
  </cols>
  <sheetData>
    <row r="1" ht="28" customHeight="1">
      <c r="A1" s="9" t="inlineStr">
        <is>
          <t>MIT PROJECT: AI CUSTOMER CHURN RESEARCH DATA WORKBOOK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Purpose</t>
        </is>
      </c>
      <c r="B3" s="15" t="inlineStr">
        <is>
          <t>SPSS/Excel-ready coding, raw-data entry, response tracking, reliability planning, hypothesis mapping, and interview coding.</t>
        </is>
      </c>
    </row>
    <row r="4">
      <c r="A4" s="14" t="inlineStr">
        <is>
          <t>Main sample target</t>
        </is>
      </c>
      <c r="B4" s="15" t="n">
        <v>420</v>
      </c>
    </row>
    <row r="5">
      <c r="A5" s="14" t="inlineStr">
        <is>
          <t>Pilot reliability sample</t>
        </is>
      </c>
      <c r="B5" s="15" t="n">
        <v>30</v>
      </c>
    </row>
    <row r="6">
      <c r="A6" s="14" t="inlineStr">
        <is>
          <t>Likert coding</t>
        </is>
      </c>
      <c r="B6" s="15" t="inlineStr">
        <is>
          <t>1=Strongly Disagree; 2=Disagree; 3=Neutral; 4=Agree; 5=Strongly Agree</t>
        </is>
      </c>
    </row>
    <row r="7">
      <c r="A7" s="14" t="inlineStr">
        <is>
          <t>H01</t>
        </is>
      </c>
      <c r="B7" s="15" t="inlineStr">
        <is>
          <t>Pearson correlation: AIA_Mean vs PAC_Mean</t>
        </is>
      </c>
    </row>
    <row r="8">
      <c r="A8" s="14" t="inlineStr">
        <is>
          <t>H02</t>
        </is>
      </c>
      <c r="B8" s="15" t="inlineStr">
        <is>
          <t>Multiple regression: RSO_Mean predicted by AIA_Mean, PAC_Mean, MLU_Mean</t>
        </is>
      </c>
    </row>
    <row r="9">
      <c r="A9" s="14" t="inlineStr">
        <is>
          <t>H03</t>
        </is>
      </c>
      <c r="B9" s="15" t="inlineStr">
        <is>
          <t>One-way ANOVA: CRE_Mean across A8 AI-adoption maturity groups (0-4)</t>
        </is>
      </c>
    </row>
    <row r="10">
      <c r="A10" s="14" t="inlineStr">
        <is>
          <t>Important</t>
        </is>
      </c>
      <c r="B10" s="15" t="inlineStr">
        <is>
          <t>H03 is perception-based unless audited churn-rate data are added. Do not claim causality from the survey alone.</t>
        </is>
      </c>
    </row>
    <row r="11">
      <c r="A11" s="14" t="inlineStr">
        <is>
          <t>Missing-data default</t>
        </is>
      </c>
      <c r="B11" s="15" t="inlineStr">
        <is>
          <t>Compute a construct mean only if at least 80% of its items are answered. Confirm this rule before final analysis.</t>
        </is>
      </c>
    </row>
    <row r="12">
      <c r="A12" s="14" t="inlineStr">
        <is>
          <t>Data integrity</t>
        </is>
      </c>
      <c r="B12" s="15" t="inlineStr">
        <is>
          <t>Keep an untouched raw export. Never replace missing empirical results with invented values.</t>
        </is>
      </c>
    </row>
    <row r="14">
      <c r="A14" s="23" t="inlineStr">
        <is>
          <t>Recommended workflow: Pilot -&gt; Reliability review -&gt; Freeze instrument -&gt; Main data collection -&gt; Clean copy -&gt; SPSS/Excel analysis -&gt; Interviews -&gt; Mixed-method integration -&gt; Chapter Four</t>
        </is>
      </c>
      <c r="B14" s="1" t="n"/>
      <c r="C14" s="1" t="n"/>
      <c r="D14" s="1" t="n"/>
      <c r="E14" s="1" t="n"/>
      <c r="F14" s="1" t="n"/>
      <c r="G14" s="1" t="n"/>
      <c r="H14" s="1" t="n"/>
    </row>
  </sheetData>
  <mergeCells count="2">
    <mergeCell ref="A14:H1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8" customWidth="1" min="3" max="3"/>
    <col width="18" customWidth="1" min="4" max="4"/>
    <col width="34" customWidth="1" min="5" max="5"/>
    <col width="26" customWidth="1" min="6" max="6"/>
    <col width="12" customWidth="1" min="7" max="7"/>
    <col width="18" customWidth="1" min="8" max="8"/>
    <col width="30" customWidth="1" min="9" max="9"/>
    <col width="18" customWidth="1" min="10" max="10"/>
  </cols>
  <sheetData>
    <row r="1" ht="28" customHeight="1">
      <c r="A1" s="27" t="inlineStr">
        <is>
          <t>Variable</t>
        </is>
      </c>
      <c r="B1" s="27" t="inlineStr">
        <is>
          <t>Section</t>
        </is>
      </c>
      <c r="C1" s="27" t="inlineStr">
        <is>
          <t>Question / Label</t>
        </is>
      </c>
      <c r="D1" s="27" t="inlineStr">
        <is>
          <t>Response Type</t>
        </is>
      </c>
      <c r="E1" s="27" t="inlineStr">
        <is>
          <t>Coding / Values</t>
        </is>
      </c>
      <c r="F1" s="27" t="inlineStr">
        <is>
          <t>Construct</t>
        </is>
      </c>
      <c r="G1" s="27" t="inlineStr">
        <is>
          <t>Objective</t>
        </is>
      </c>
      <c r="H1" s="27" t="inlineStr">
        <is>
          <t>Research Question</t>
        </is>
      </c>
      <c r="I1" s="27" t="inlineStr">
        <is>
          <t>Hypothesis / Planned Analysis</t>
        </is>
      </c>
      <c r="J1" s="27" t="inlineStr">
        <is>
          <t>Include in Composite</t>
        </is>
      </c>
    </row>
    <row r="2">
      <c r="A2" s="15" t="inlineStr">
        <is>
          <t>Consent</t>
        </is>
      </c>
      <c r="B2" s="15" t="inlineStr">
        <is>
          <t>A</t>
        </is>
      </c>
      <c r="C2" s="15" t="inlineStr">
        <is>
          <t>Consent to participate</t>
        </is>
      </c>
      <c r="D2" s="15" t="inlineStr">
        <is>
          <t>categorical</t>
        </is>
      </c>
      <c r="E2" s="15" t="inlineStr">
        <is>
          <t>Yes; No</t>
        </is>
      </c>
      <c r="F2" s="15" t="inlineStr">
        <is>
          <t>Eligibility/Consent</t>
        </is>
      </c>
      <c r="G2" s="15" t="str"/>
      <c r="H2" s="15" t="str"/>
      <c r="I2" s="15" t="str"/>
      <c r="J2" s="15" t="inlineStr">
        <is>
          <t>No</t>
        </is>
      </c>
    </row>
    <row r="3">
      <c r="A3" s="15" t="inlineStr">
        <is>
          <t>A1</t>
        </is>
      </c>
      <c r="B3" s="15" t="inlineStr">
        <is>
          <t>A</t>
        </is>
      </c>
      <c r="C3" s="15" t="inlineStr">
        <is>
          <t>Gender (optional)</t>
        </is>
      </c>
      <c r="D3" s="15" t="inlineStr">
        <is>
          <t>categorical</t>
        </is>
      </c>
      <c r="E3" s="15" t="inlineStr">
        <is>
          <t>Male; Female; Prefer not to say; Other</t>
        </is>
      </c>
      <c r="F3" s="15" t="inlineStr">
        <is>
          <t>Demographic</t>
        </is>
      </c>
      <c r="G3" s="15" t="str"/>
      <c r="H3" s="15" t="str"/>
      <c r="I3" s="15" t="str"/>
      <c r="J3" s="15" t="inlineStr">
        <is>
          <t>No</t>
        </is>
      </c>
    </row>
    <row r="4">
      <c r="A4" s="15" t="inlineStr">
        <is>
          <t>A2</t>
        </is>
      </c>
      <c r="B4" s="15" t="inlineStr">
        <is>
          <t>A</t>
        </is>
      </c>
      <c r="C4" s="15" t="inlineStr">
        <is>
          <t>Age group</t>
        </is>
      </c>
      <c r="D4" s="15" t="inlineStr">
        <is>
          <t>categorical</t>
        </is>
      </c>
      <c r="E4" s="15" t="inlineStr">
        <is>
          <t>18-24; 25-34; 35-44; 45-54; 55 or above</t>
        </is>
      </c>
      <c r="F4" s="15" t="inlineStr">
        <is>
          <t>Demographic</t>
        </is>
      </c>
      <c r="G4" s="15" t="str"/>
      <c r="H4" s="15" t="str"/>
      <c r="I4" s="15" t="str"/>
      <c r="J4" s="15" t="inlineStr">
        <is>
          <t>No</t>
        </is>
      </c>
    </row>
    <row r="5">
      <c r="A5" s="15" t="inlineStr">
        <is>
          <t>A3</t>
        </is>
      </c>
      <c r="B5" s="15" t="inlineStr">
        <is>
          <t>A</t>
        </is>
      </c>
      <c r="C5" s="15" t="inlineStr">
        <is>
          <t>Highest qualification</t>
        </is>
      </c>
      <c r="D5" s="15" t="inlineStr">
        <is>
          <t>categorical</t>
        </is>
      </c>
      <c r="E5" s="15" t="inlineStr">
        <is>
          <t>Diploma/OND/NCE; Bachelor/HND; Postgraduate Diploma; Master's; Doctorate; Other</t>
        </is>
      </c>
      <c r="F5" s="15" t="inlineStr">
        <is>
          <t>Demographic</t>
        </is>
      </c>
      <c r="G5" s="15" t="str"/>
      <c r="H5" s="15" t="str"/>
      <c r="I5" s="15" t="str"/>
      <c r="J5" s="15" t="inlineStr">
        <is>
          <t>No</t>
        </is>
      </c>
    </row>
    <row r="6">
      <c r="A6" s="15" t="inlineStr">
        <is>
          <t>A4</t>
        </is>
      </c>
      <c r="B6" s="15" t="inlineStr">
        <is>
          <t>A</t>
        </is>
      </c>
      <c r="C6" s="15" t="inlineStr">
        <is>
          <t>Type of institution</t>
        </is>
      </c>
      <c r="D6" s="15" t="inlineStr">
        <is>
          <t>categorical</t>
        </is>
      </c>
      <c r="E6" s="15" t="inlineStr">
        <is>
          <t>Commercial bank; Digital bank/neobank; Merchant bank; Microfinance bank; Fintech/payment provider; Insurance/investment/other licensed financial institution</t>
        </is>
      </c>
      <c r="F6" s="15" t="inlineStr">
        <is>
          <t>Institutional profile</t>
        </is>
      </c>
      <c r="G6" s="15" t="str"/>
      <c r="H6" s="15" t="str"/>
      <c r="I6" s="15" t="str"/>
      <c r="J6" s="15" t="inlineStr">
        <is>
          <t>No</t>
        </is>
      </c>
    </row>
    <row r="7">
      <c r="A7" s="15" t="inlineStr">
        <is>
          <t>A5</t>
        </is>
      </c>
      <c r="B7" s="15" t="inlineStr">
        <is>
          <t>A</t>
        </is>
      </c>
      <c r="C7" s="15" t="inlineStr">
        <is>
          <t>Current functional role</t>
        </is>
      </c>
      <c r="D7" s="15" t="inlineStr">
        <is>
          <t>categorical</t>
        </is>
      </c>
      <c r="E7" s="15" t="inlineStr">
        <is>
          <t>Digital Banking/Product; Data/Analytics/AI; IT/Technology; Customer Experience/Service; Relationship/Marketing; Risk/Compliance; Management/Strategy; Other</t>
        </is>
      </c>
      <c r="F7" s="15" t="inlineStr">
        <is>
          <t>Institutional profile</t>
        </is>
      </c>
      <c r="G7" s="15" t="str"/>
      <c r="H7" s="15" t="str"/>
      <c r="I7" s="15" t="str"/>
      <c r="J7" s="15" t="inlineStr">
        <is>
          <t>No</t>
        </is>
      </c>
    </row>
    <row r="8">
      <c r="A8" s="15" t="inlineStr">
        <is>
          <t>A6</t>
        </is>
      </c>
      <c r="B8" s="15" t="inlineStr">
        <is>
          <t>A</t>
        </is>
      </c>
      <c r="C8" s="15" t="inlineStr">
        <is>
          <t>Years of professional experience</t>
        </is>
      </c>
      <c r="D8" s="15" t="inlineStr">
        <is>
          <t>categorical</t>
        </is>
      </c>
      <c r="E8" s="15" t="inlineStr">
        <is>
          <t>Less than 2; 2-5; 6-10; 11-15; 16 or more</t>
        </is>
      </c>
      <c r="F8" s="15" t="inlineStr">
        <is>
          <t>Institutional profile</t>
        </is>
      </c>
      <c r="G8" s="15" t="str"/>
      <c r="H8" s="15" t="str"/>
      <c r="I8" s="15" t="str"/>
      <c r="J8" s="15" t="inlineStr">
        <is>
          <t>No</t>
        </is>
      </c>
    </row>
    <row r="9">
      <c r="A9" s="15" t="inlineStr">
        <is>
          <t>A7</t>
        </is>
      </c>
      <c r="B9" s="15" t="inlineStr">
        <is>
          <t>A</t>
        </is>
      </c>
      <c r="C9" s="15" t="inlineStr">
        <is>
          <t>Direct involvement with digital banking, AI, analytics, customer experience or retention</t>
        </is>
      </c>
      <c r="D9" s="15" t="inlineStr">
        <is>
          <t>categorical</t>
        </is>
      </c>
      <c r="E9" s="15" t="inlineStr">
        <is>
          <t>Yes; No</t>
        </is>
      </c>
      <c r="F9" s="15" t="inlineStr">
        <is>
          <t>Eligibility/Exposure</t>
        </is>
      </c>
      <c r="G9" s="15" t="str"/>
      <c r="H9" s="15" t="str"/>
      <c r="I9" s="15" t="str"/>
      <c r="J9" s="15" t="inlineStr">
        <is>
          <t>No</t>
        </is>
      </c>
    </row>
    <row r="10">
      <c r="A10" s="15" t="inlineStr">
        <is>
          <t>A8</t>
        </is>
      </c>
      <c r="B10" s="15" t="inlineStr">
        <is>
          <t>A</t>
        </is>
      </c>
      <c r="C10" s="15" t="inlineStr">
        <is>
          <t>AI adoption maturity for customer analytics/retention</t>
        </is>
      </c>
      <c r="D10" s="15" t="inlineStr">
        <is>
          <t>ordinal</t>
        </is>
      </c>
      <c r="E10" s="15" t="inlineStr">
        <is>
          <t>0=None; 1=Exploratory/pilot; 2=Limited deployment; 3=Established multi-use-case; 4=Advanced/enterprise-wide</t>
        </is>
      </c>
      <c r="F10" s="15" t="inlineStr">
        <is>
          <t>AI maturity</t>
        </is>
      </c>
      <c r="G10" s="15" t="inlineStr">
        <is>
          <t>4</t>
        </is>
      </c>
      <c r="H10" s="15" t="inlineStr">
        <is>
          <t>RQ4</t>
        </is>
      </c>
      <c r="I10" s="15" t="inlineStr">
        <is>
          <t>H03 / One-way ANOVA</t>
        </is>
      </c>
      <c r="J10" s="15" t="inlineStr">
        <is>
          <t>No</t>
        </is>
      </c>
    </row>
    <row r="11">
      <c r="A11" s="15" t="inlineStr">
        <is>
          <t>A9</t>
        </is>
      </c>
      <c r="B11" s="15" t="inlineStr">
        <is>
          <t>A</t>
        </is>
      </c>
      <c r="C11" s="15" t="inlineStr">
        <is>
          <t>Institution currently uses predictive model/advanced analytics for churn risk</t>
        </is>
      </c>
      <c r="D11" s="15" t="inlineStr">
        <is>
          <t>categorical</t>
        </is>
      </c>
      <c r="E11" s="15" t="inlineStr">
        <is>
          <t>Yes; No; Do not know</t>
        </is>
      </c>
      <c r="F11" s="15" t="inlineStr">
        <is>
          <t>Institutional profile</t>
        </is>
      </c>
      <c r="G11" s="15" t="inlineStr">
        <is>
          <t>2,4</t>
        </is>
      </c>
      <c r="H11" s="15" t="inlineStr">
        <is>
          <t>RQ2,RQ4</t>
        </is>
      </c>
      <c r="I11" s="15" t="str"/>
      <c r="J11" s="15" t="inlineStr">
        <is>
          <t>No</t>
        </is>
      </c>
    </row>
    <row r="12">
      <c r="A12" s="15" t="inlineStr">
        <is>
          <t>A10</t>
        </is>
      </c>
      <c r="B12" s="15" t="inlineStr">
        <is>
          <t>A</t>
        </is>
      </c>
      <c r="C12" s="15" t="inlineStr">
        <is>
          <t>Primary work location / responding unit is within Eti-Osa LGA</t>
        </is>
      </c>
      <c r="D12" s="15" t="inlineStr">
        <is>
          <t>categorical</t>
        </is>
      </c>
      <c r="E12" s="15" t="inlineStr">
        <is>
          <t>Yes; No</t>
        </is>
      </c>
      <c r="F12" s="15" t="inlineStr">
        <is>
          <t>Eligibility</t>
        </is>
      </c>
      <c r="G12" s="15" t="str"/>
      <c r="H12" s="15" t="str"/>
      <c r="I12" s="15" t="str"/>
      <c r="J12" s="15" t="inlineStr">
        <is>
          <t>No</t>
        </is>
      </c>
    </row>
    <row r="13">
      <c r="A13" s="15" t="inlineStr">
        <is>
          <t>CHD1</t>
        </is>
      </c>
      <c r="B13" s="15" t="inlineStr">
        <is>
          <t>B</t>
        </is>
      </c>
      <c r="C13" s="15" t="inlineStr">
        <is>
          <t>Frequent transaction failures increase the likelihood that customers reduce or stop using a bank.</t>
        </is>
      </c>
      <c r="D13" s="15" t="inlineStr">
        <is>
          <t>Likert 1-5</t>
        </is>
      </c>
      <c r="E13" s="15" t="inlineStr">
        <is>
          <t>1=SD; 2=D; 3=N; 4=A; 5=SA</t>
        </is>
      </c>
      <c r="F13" s="15" t="inlineStr">
        <is>
          <t>CHD</t>
        </is>
      </c>
      <c r="G13" s="15" t="inlineStr">
        <is>
          <t>1</t>
        </is>
      </c>
      <c r="H13" s="15" t="inlineStr">
        <is>
          <t>RQ1</t>
        </is>
      </c>
      <c r="I13" s="15" t="inlineStr">
        <is>
          <t>Descriptive / Ranking</t>
        </is>
      </c>
      <c r="J13" s="15" t="inlineStr">
        <is>
          <t>Yes</t>
        </is>
      </c>
    </row>
    <row r="14">
      <c r="A14" s="15" t="inlineStr">
        <is>
          <t>CHD2</t>
        </is>
      </c>
      <c r="B14" s="15" t="inlineStr">
        <is>
          <t>B</t>
        </is>
      </c>
      <c r="C14" s="15" t="inlineStr">
        <is>
          <t>Unplanned downtime or unreliable digital channels contribute significantly to customer churn.</t>
        </is>
      </c>
      <c r="D14" s="15" t="inlineStr">
        <is>
          <t>Likert 1-5</t>
        </is>
      </c>
      <c r="E14" s="15" t="inlineStr">
        <is>
          <t>1=SD; 2=D; 3=N; 4=A; 5=SA</t>
        </is>
      </c>
      <c r="F14" s="15" t="inlineStr">
        <is>
          <t>CHD</t>
        </is>
      </c>
      <c r="G14" s="15" t="inlineStr">
        <is>
          <t>1</t>
        </is>
      </c>
      <c r="H14" s="15" t="inlineStr">
        <is>
          <t>RQ1</t>
        </is>
      </c>
      <c r="I14" s="15" t="inlineStr">
        <is>
          <t>Descriptive / Ranking</t>
        </is>
      </c>
      <c r="J14" s="15" t="inlineStr">
        <is>
          <t>Yes</t>
        </is>
      </c>
    </row>
    <row r="15">
      <c r="A15" s="15" t="inlineStr">
        <is>
          <t>CHD3</t>
        </is>
      </c>
      <c r="B15" s="15" t="inlineStr">
        <is>
          <t>B</t>
        </is>
      </c>
      <c r="C15" s="15" t="inlineStr">
        <is>
          <t>Slow or ineffective resolution of complaints increases customers' likelihood of switching providers.</t>
        </is>
      </c>
      <c r="D15" s="15" t="inlineStr">
        <is>
          <t>Likert 1-5</t>
        </is>
      </c>
      <c r="E15" s="15" t="inlineStr">
        <is>
          <t>1=SD; 2=D; 3=N; 4=A; 5=SA</t>
        </is>
      </c>
      <c r="F15" s="15" t="inlineStr">
        <is>
          <t>CHD</t>
        </is>
      </c>
      <c r="G15" s="15" t="inlineStr">
        <is>
          <t>1</t>
        </is>
      </c>
      <c r="H15" s="15" t="inlineStr">
        <is>
          <t>RQ1</t>
        </is>
      </c>
      <c r="I15" s="15" t="inlineStr">
        <is>
          <t>Descriptive / Ranking</t>
        </is>
      </c>
      <c r="J15" s="15" t="inlineStr">
        <is>
          <t>Yes</t>
        </is>
      </c>
    </row>
    <row r="16">
      <c r="A16" s="15" t="inlineStr">
        <is>
          <t>CHD4</t>
        </is>
      </c>
      <c r="B16" s="15" t="inlineStr">
        <is>
          <t>B</t>
        </is>
      </c>
      <c r="C16" s="15" t="inlineStr">
        <is>
          <t>High, unclear, or unexpected transaction charges contribute to customer churn.</t>
        </is>
      </c>
      <c r="D16" s="15" t="inlineStr">
        <is>
          <t>Likert 1-5</t>
        </is>
      </c>
      <c r="E16" s="15" t="inlineStr">
        <is>
          <t>1=SD; 2=D; 3=N; 4=A; 5=SA</t>
        </is>
      </c>
      <c r="F16" s="15" t="inlineStr">
        <is>
          <t>CHD</t>
        </is>
      </c>
      <c r="G16" s="15" t="inlineStr">
        <is>
          <t>1</t>
        </is>
      </c>
      <c r="H16" s="15" t="inlineStr">
        <is>
          <t>RQ1</t>
        </is>
      </c>
      <c r="I16" s="15" t="inlineStr">
        <is>
          <t>Descriptive / Ranking</t>
        </is>
      </c>
      <c r="J16" s="15" t="inlineStr">
        <is>
          <t>Yes</t>
        </is>
      </c>
    </row>
    <row r="17">
      <c r="A17" s="15" t="inlineStr">
        <is>
          <t>CHD5</t>
        </is>
      </c>
      <c r="B17" s="15" t="inlineStr">
        <is>
          <t>B</t>
        </is>
      </c>
      <c r="C17" s="15" t="inlineStr">
        <is>
          <t>Fraud, cybersecurity incidents, or fear of financial loss reduce customers' willingness to remain with a provider.</t>
        </is>
      </c>
      <c r="D17" s="15" t="inlineStr">
        <is>
          <t>Likert 1-5</t>
        </is>
      </c>
      <c r="E17" s="15" t="inlineStr">
        <is>
          <t>1=SD; 2=D; 3=N; 4=A; 5=SA</t>
        </is>
      </c>
      <c r="F17" s="15" t="inlineStr">
        <is>
          <t>CHD</t>
        </is>
      </c>
      <c r="G17" s="15" t="inlineStr">
        <is>
          <t>1</t>
        </is>
      </c>
      <c r="H17" s="15" t="inlineStr">
        <is>
          <t>RQ1</t>
        </is>
      </c>
      <c r="I17" s="15" t="inlineStr">
        <is>
          <t>Descriptive / Ranking</t>
        </is>
      </c>
      <c r="J17" s="15" t="inlineStr">
        <is>
          <t>Yes</t>
        </is>
      </c>
    </row>
    <row r="18">
      <c r="A18" s="15" t="inlineStr">
        <is>
          <t>CHD6</t>
        </is>
      </c>
      <c r="B18" s="15" t="inlineStr">
        <is>
          <t>B</t>
        </is>
      </c>
      <c r="C18" s="15" t="inlineStr">
        <is>
          <t>Poor usability or a difficult digital banking experience contributes to customer disengagement.</t>
        </is>
      </c>
      <c r="D18" s="15" t="inlineStr">
        <is>
          <t>Likert 1-5</t>
        </is>
      </c>
      <c r="E18" s="15" t="inlineStr">
        <is>
          <t>1=SD; 2=D; 3=N; 4=A; 5=SA</t>
        </is>
      </c>
      <c r="F18" s="15" t="inlineStr">
        <is>
          <t>CHD</t>
        </is>
      </c>
      <c r="G18" s="15" t="inlineStr">
        <is>
          <t>1</t>
        </is>
      </c>
      <c r="H18" s="15" t="inlineStr">
        <is>
          <t>RQ1</t>
        </is>
      </c>
      <c r="I18" s="15" t="inlineStr">
        <is>
          <t>Descriptive / Ranking</t>
        </is>
      </c>
      <c r="J18" s="15" t="inlineStr">
        <is>
          <t>Yes</t>
        </is>
      </c>
    </row>
    <row r="19">
      <c r="A19" s="15" t="inlineStr">
        <is>
          <t>CHD7</t>
        </is>
      </c>
      <c r="B19" s="15" t="inlineStr">
        <is>
          <t>B</t>
        </is>
      </c>
      <c r="C19" s="15" t="inlineStr">
        <is>
          <t>Lack of relevant and personalized products or communication increases churn risk.</t>
        </is>
      </c>
      <c r="D19" s="15" t="inlineStr">
        <is>
          <t>Likert 1-5</t>
        </is>
      </c>
      <c r="E19" s="15" t="inlineStr">
        <is>
          <t>1=SD; 2=D; 3=N; 4=A; 5=SA</t>
        </is>
      </c>
      <c r="F19" s="15" t="inlineStr">
        <is>
          <t>CHD</t>
        </is>
      </c>
      <c r="G19" s="15" t="inlineStr">
        <is>
          <t>1</t>
        </is>
      </c>
      <c r="H19" s="15" t="inlineStr">
        <is>
          <t>RQ1</t>
        </is>
      </c>
      <c r="I19" s="15" t="inlineStr">
        <is>
          <t>Descriptive / Ranking</t>
        </is>
      </c>
      <c r="J19" s="15" t="inlineStr">
        <is>
          <t>Yes</t>
        </is>
      </c>
    </row>
    <row r="20">
      <c r="A20" s="15" t="inlineStr">
        <is>
          <t>CHD8</t>
        </is>
      </c>
      <c r="B20" s="15" t="inlineStr">
        <is>
          <t>B</t>
        </is>
      </c>
      <c r="C20" s="15" t="inlineStr">
        <is>
          <t>More attractive services from fintechs, digital banks, or competing institutions increase customers' likelihood of switching.</t>
        </is>
      </c>
      <c r="D20" s="15" t="inlineStr">
        <is>
          <t>Likert 1-5</t>
        </is>
      </c>
      <c r="E20" s="15" t="inlineStr">
        <is>
          <t>1=SD; 2=D; 3=N; 4=A; 5=SA</t>
        </is>
      </c>
      <c r="F20" s="15" t="inlineStr">
        <is>
          <t>CHD</t>
        </is>
      </c>
      <c r="G20" s="15" t="inlineStr">
        <is>
          <t>1</t>
        </is>
      </c>
      <c r="H20" s="15" t="inlineStr">
        <is>
          <t>RQ1</t>
        </is>
      </c>
      <c r="I20" s="15" t="inlineStr">
        <is>
          <t>Descriptive / Ranking</t>
        </is>
      </c>
      <c r="J20" s="15" t="inlineStr">
        <is>
          <t>Yes</t>
        </is>
      </c>
    </row>
    <row r="21">
      <c r="A21" s="15" t="inlineStr">
        <is>
          <t>CHD9</t>
        </is>
      </c>
      <c r="B21" s="15" t="inlineStr">
        <is>
          <t>B</t>
        </is>
      </c>
      <c r="C21" s="15" t="inlineStr">
        <is>
          <t>Declining trust in a financial institution is a major driver of customer churn.</t>
        </is>
      </c>
      <c r="D21" s="15" t="inlineStr">
        <is>
          <t>Likert 1-5</t>
        </is>
      </c>
      <c r="E21" s="15" t="inlineStr">
        <is>
          <t>1=SD; 2=D; 3=N; 4=A; 5=SA</t>
        </is>
      </c>
      <c r="F21" s="15" t="inlineStr">
        <is>
          <t>CHD</t>
        </is>
      </c>
      <c r="G21" s="15" t="inlineStr">
        <is>
          <t>1</t>
        </is>
      </c>
      <c r="H21" s="15" t="inlineStr">
        <is>
          <t>RQ1</t>
        </is>
      </c>
      <c r="I21" s="15" t="inlineStr">
        <is>
          <t>Descriptive / Ranking</t>
        </is>
      </c>
      <c r="J21" s="15" t="inlineStr">
        <is>
          <t>Yes</t>
        </is>
      </c>
    </row>
    <row r="22">
      <c r="A22" s="15" t="inlineStr">
        <is>
          <t>CHD10</t>
        </is>
      </c>
      <c r="B22" s="15" t="inlineStr">
        <is>
          <t>B</t>
        </is>
      </c>
      <c r="C22" s="15" t="inlineStr">
        <is>
          <t>Repeated service problems can cause silent churn, where customers keep an account but move most activity elsewhere.</t>
        </is>
      </c>
      <c r="D22" s="15" t="inlineStr">
        <is>
          <t>Likert 1-5</t>
        </is>
      </c>
      <c r="E22" s="15" t="inlineStr">
        <is>
          <t>1=SD; 2=D; 3=N; 4=A; 5=SA</t>
        </is>
      </c>
      <c r="F22" s="15" t="inlineStr">
        <is>
          <t>CHD</t>
        </is>
      </c>
      <c r="G22" s="15" t="inlineStr">
        <is>
          <t>1</t>
        </is>
      </c>
      <c r="H22" s="15" t="inlineStr">
        <is>
          <t>RQ1</t>
        </is>
      </c>
      <c r="I22" s="15" t="inlineStr">
        <is>
          <t>Descriptive / Ranking</t>
        </is>
      </c>
      <c r="J22" s="15" t="inlineStr">
        <is>
          <t>Yes</t>
        </is>
      </c>
    </row>
    <row r="23">
      <c r="A23" s="15" t="inlineStr">
        <is>
          <t>AIA1</t>
        </is>
      </c>
      <c r="B23" s="15" t="inlineStr">
        <is>
          <t>C</t>
        </is>
      </c>
      <c r="C23" s="15" t="inlineStr">
        <is>
          <t>My institution uses AI or advanced analytics to monitor changes in customer behaviour.</t>
        </is>
      </c>
      <c r="D23" s="15" t="inlineStr">
        <is>
          <t>Likert 1-5</t>
        </is>
      </c>
      <c r="E23" s="15" t="inlineStr">
        <is>
          <t>1=SD; 2=D; 3=N; 4=A; 5=SA</t>
        </is>
      </c>
      <c r="F23" s="15" t="inlineStr">
        <is>
          <t>AIA</t>
        </is>
      </c>
      <c r="G23" s="15" t="inlineStr">
        <is>
          <t>2</t>
        </is>
      </c>
      <c r="H23" s="15" t="inlineStr">
        <is>
          <t>RQ2</t>
        </is>
      </c>
      <c r="I23" s="15" t="inlineStr">
        <is>
          <t>H01 Pearson; H02 Regression</t>
        </is>
      </c>
      <c r="J23" s="15" t="inlineStr">
        <is>
          <t>Yes</t>
        </is>
      </c>
    </row>
    <row r="24">
      <c r="A24" s="15" t="inlineStr">
        <is>
          <t>AIA2</t>
        </is>
      </c>
      <c r="B24" s="15" t="inlineStr">
        <is>
          <t>C</t>
        </is>
      </c>
      <c r="C24" s="15" t="inlineStr">
        <is>
          <t>Customer data from multiple digital touchpoints are integrated for churn or retention analysis.</t>
        </is>
      </c>
      <c r="D24" s="15" t="inlineStr">
        <is>
          <t>Likert 1-5</t>
        </is>
      </c>
      <c r="E24" s="15" t="inlineStr">
        <is>
          <t>1=SD; 2=D; 3=N; 4=A; 5=SA</t>
        </is>
      </c>
      <c r="F24" s="15" t="inlineStr">
        <is>
          <t>AIA</t>
        </is>
      </c>
      <c r="G24" s="15" t="inlineStr">
        <is>
          <t>2</t>
        </is>
      </c>
      <c r="H24" s="15" t="inlineStr">
        <is>
          <t>RQ2</t>
        </is>
      </c>
      <c r="I24" s="15" t="inlineStr">
        <is>
          <t>H01 Pearson; H02 Regression</t>
        </is>
      </c>
      <c r="J24" s="15" t="inlineStr">
        <is>
          <t>Yes</t>
        </is>
      </c>
    </row>
    <row r="25">
      <c r="A25" s="15" t="inlineStr">
        <is>
          <t>AIA3</t>
        </is>
      </c>
      <c r="B25" s="15" t="inlineStr">
        <is>
          <t>C</t>
        </is>
      </c>
      <c r="C25" s="15" t="inlineStr">
        <is>
          <t>My institution uses automated or model-based risk scores to identify customers who may churn.</t>
        </is>
      </c>
      <c r="D25" s="15" t="inlineStr">
        <is>
          <t>Likert 1-5</t>
        </is>
      </c>
      <c r="E25" s="15" t="inlineStr">
        <is>
          <t>1=SD; 2=D; 3=N; 4=A; 5=SA</t>
        </is>
      </c>
      <c r="F25" s="15" t="inlineStr">
        <is>
          <t>AIA</t>
        </is>
      </c>
      <c r="G25" s="15" t="inlineStr">
        <is>
          <t>2</t>
        </is>
      </c>
      <c r="H25" s="15" t="inlineStr">
        <is>
          <t>RQ2</t>
        </is>
      </c>
      <c r="I25" s="15" t="inlineStr">
        <is>
          <t>H01 Pearson; H02 Regression</t>
        </is>
      </c>
      <c r="J25" s="15" t="inlineStr">
        <is>
          <t>Yes</t>
        </is>
      </c>
    </row>
    <row r="26">
      <c r="A26" s="15" t="inlineStr">
        <is>
          <t>AIA4</t>
        </is>
      </c>
      <c r="B26" s="15" t="inlineStr">
        <is>
          <t>C</t>
        </is>
      </c>
      <c r="C26" s="15" t="inlineStr">
        <is>
          <t>AI-generated customer insights are integrated into customer-management or retention processes.</t>
        </is>
      </c>
      <c r="D26" s="15" t="inlineStr">
        <is>
          <t>Likert 1-5</t>
        </is>
      </c>
      <c r="E26" s="15" t="inlineStr">
        <is>
          <t>1=SD; 2=D; 3=N; 4=A; 5=SA</t>
        </is>
      </c>
      <c r="F26" s="15" t="inlineStr">
        <is>
          <t>AIA</t>
        </is>
      </c>
      <c r="G26" s="15" t="inlineStr">
        <is>
          <t>2</t>
        </is>
      </c>
      <c r="H26" s="15" t="inlineStr">
        <is>
          <t>RQ2</t>
        </is>
      </c>
      <c r="I26" s="15" t="inlineStr">
        <is>
          <t>H01 Pearson; H02 Regression</t>
        </is>
      </c>
      <c r="J26" s="15" t="inlineStr">
        <is>
          <t>Yes</t>
        </is>
      </c>
    </row>
    <row r="27">
      <c r="A27" s="15" t="inlineStr">
        <is>
          <t>AIA5</t>
        </is>
      </c>
      <c r="B27" s="15" t="inlineStr">
        <is>
          <t>C</t>
        </is>
      </c>
      <c r="C27" s="15" t="inlineStr">
        <is>
          <t>AI or predictive models used for customer analytics are reviewed or updated as customer behaviour changes.</t>
        </is>
      </c>
      <c r="D27" s="15" t="inlineStr">
        <is>
          <t>Likert 1-5</t>
        </is>
      </c>
      <c r="E27" s="15" t="inlineStr">
        <is>
          <t>1=SD; 2=D; 3=N; 4=A; 5=SA</t>
        </is>
      </c>
      <c r="F27" s="15" t="inlineStr">
        <is>
          <t>AIA</t>
        </is>
      </c>
      <c r="G27" s="15" t="inlineStr">
        <is>
          <t>2</t>
        </is>
      </c>
      <c r="H27" s="15" t="inlineStr">
        <is>
          <t>RQ2</t>
        </is>
      </c>
      <c r="I27" s="15" t="inlineStr">
        <is>
          <t>H01 Pearson; H02 Regression</t>
        </is>
      </c>
      <c r="J27" s="15" t="inlineStr">
        <is>
          <t>Yes</t>
        </is>
      </c>
    </row>
    <row r="28">
      <c r="A28" s="15" t="inlineStr">
        <is>
          <t>AIA6</t>
        </is>
      </c>
      <c r="B28" s="15" t="inlineStr">
        <is>
          <t>C</t>
        </is>
      </c>
      <c r="C28" s="15" t="inlineStr">
        <is>
          <t>Relevant staff can access AI-generated insights when making customer-retention decisions.</t>
        </is>
      </c>
      <c r="D28" s="15" t="inlineStr">
        <is>
          <t>Likert 1-5</t>
        </is>
      </c>
      <c r="E28" s="15" t="inlineStr">
        <is>
          <t>1=SD; 2=D; 3=N; 4=A; 5=SA</t>
        </is>
      </c>
      <c r="F28" s="15" t="inlineStr">
        <is>
          <t>AIA</t>
        </is>
      </c>
      <c r="G28" s="15" t="inlineStr">
        <is>
          <t>2</t>
        </is>
      </c>
      <c r="H28" s="15" t="inlineStr">
        <is>
          <t>RQ2</t>
        </is>
      </c>
      <c r="I28" s="15" t="inlineStr">
        <is>
          <t>H01 Pearson; H02 Regression</t>
        </is>
      </c>
      <c r="J28" s="15" t="inlineStr">
        <is>
          <t>Yes</t>
        </is>
      </c>
    </row>
    <row r="29">
      <c r="A29" s="15" t="inlineStr">
        <is>
          <t>AIA7</t>
        </is>
      </c>
      <c r="B29" s="15" t="inlineStr">
        <is>
          <t>C</t>
        </is>
      </c>
      <c r="C29" s="15" t="inlineStr">
        <is>
          <t>Senior management supports the use of AI and analytics for customer-retention decisions.</t>
        </is>
      </c>
      <c r="D29" s="15" t="inlineStr">
        <is>
          <t>Likert 1-5</t>
        </is>
      </c>
      <c r="E29" s="15" t="inlineStr">
        <is>
          <t>1=SD; 2=D; 3=N; 4=A; 5=SA</t>
        </is>
      </c>
      <c r="F29" s="15" t="inlineStr">
        <is>
          <t>AIA</t>
        </is>
      </c>
      <c r="G29" s="15" t="inlineStr">
        <is>
          <t>2</t>
        </is>
      </c>
      <c r="H29" s="15" t="inlineStr">
        <is>
          <t>RQ2</t>
        </is>
      </c>
      <c r="I29" s="15" t="inlineStr">
        <is>
          <t>H01 Pearson; H02 Regression</t>
        </is>
      </c>
      <c r="J29" s="15" t="inlineStr">
        <is>
          <t>Yes</t>
        </is>
      </c>
    </row>
    <row r="30">
      <c r="A30" s="15" t="inlineStr">
        <is>
          <t>AIA8</t>
        </is>
      </c>
      <c r="B30" s="15" t="inlineStr">
        <is>
          <t>C</t>
        </is>
      </c>
      <c r="C30" s="15" t="inlineStr">
        <is>
          <t>My institution has the data, skills, technology, and operating processes required to use AI effectively for customer retention.</t>
        </is>
      </c>
      <c r="D30" s="15" t="inlineStr">
        <is>
          <t>Likert 1-5</t>
        </is>
      </c>
      <c r="E30" s="15" t="inlineStr">
        <is>
          <t>1=SD; 2=D; 3=N; 4=A; 5=SA</t>
        </is>
      </c>
      <c r="F30" s="15" t="inlineStr">
        <is>
          <t>AIA</t>
        </is>
      </c>
      <c r="G30" s="15" t="inlineStr">
        <is>
          <t>2</t>
        </is>
      </c>
      <c r="H30" s="15" t="inlineStr">
        <is>
          <t>RQ2</t>
        </is>
      </c>
      <c r="I30" s="15" t="inlineStr">
        <is>
          <t>H01 Pearson; H02 Regression</t>
        </is>
      </c>
      <c r="J30" s="15" t="inlineStr">
        <is>
          <t>Yes</t>
        </is>
      </c>
    </row>
    <row r="31">
      <c r="A31" s="15" t="inlineStr">
        <is>
          <t>PAC1</t>
        </is>
      </c>
      <c r="B31" s="15" t="inlineStr">
        <is>
          <t>D</t>
        </is>
      </c>
      <c r="C31" s="15" t="inlineStr">
        <is>
          <t>AI-driven analytics can identify customers at risk of churn before they fully disengage.</t>
        </is>
      </c>
      <c r="D31" s="15" t="inlineStr">
        <is>
          <t>Likert 1-5</t>
        </is>
      </c>
      <c r="E31" s="15" t="inlineStr">
        <is>
          <t>1=SD; 2=D; 3=N; 4=A; 5=SA</t>
        </is>
      </c>
      <c r="F31" s="15" t="inlineStr">
        <is>
          <t>PAC</t>
        </is>
      </c>
      <c r="G31" s="15" t="inlineStr">
        <is>
          <t>2,4,5</t>
        </is>
      </c>
      <c r="H31" s="15" t="inlineStr">
        <is>
          <t>RQ2,RQ4,RQ5</t>
        </is>
      </c>
      <c r="I31" s="15" t="inlineStr">
        <is>
          <t>H01 Pearson; H02 Regression</t>
        </is>
      </c>
      <c r="J31" s="15" t="inlineStr">
        <is>
          <t>Yes</t>
        </is>
      </c>
    </row>
    <row r="32">
      <c r="A32" s="15" t="inlineStr">
        <is>
          <t>PAC2</t>
        </is>
      </c>
      <c r="B32" s="15" t="inlineStr">
        <is>
          <t>D</t>
        </is>
      </c>
      <c r="C32" s="15" t="inlineStr">
        <is>
          <t>Predictive analytics can detect silent churn through declining transaction or channel-usage patterns.</t>
        </is>
      </c>
      <c r="D32" s="15" t="inlineStr">
        <is>
          <t>Likert 1-5</t>
        </is>
      </c>
      <c r="E32" s="15" t="inlineStr">
        <is>
          <t>1=SD; 2=D; 3=N; 4=A; 5=SA</t>
        </is>
      </c>
      <c r="F32" s="15" t="inlineStr">
        <is>
          <t>PAC</t>
        </is>
      </c>
      <c r="G32" s="15" t="inlineStr">
        <is>
          <t>2,4,5</t>
        </is>
      </c>
      <c r="H32" s="15" t="inlineStr">
        <is>
          <t>RQ2,RQ4,RQ5</t>
        </is>
      </c>
      <c r="I32" s="15" t="inlineStr">
        <is>
          <t>H01 Pearson; H02 Regression</t>
        </is>
      </c>
      <c r="J32" s="15" t="inlineStr">
        <is>
          <t>Yes</t>
        </is>
      </c>
    </row>
    <row r="33">
      <c r="A33" s="15" t="inlineStr">
        <is>
          <t>PAC3</t>
        </is>
      </c>
      <c r="B33" s="15" t="inlineStr">
        <is>
          <t>D</t>
        </is>
      </c>
      <c r="C33" s="15" t="inlineStr">
        <is>
          <t>Churn models can identify the main factors contributing to an individual customer's churn risk.</t>
        </is>
      </c>
      <c r="D33" s="15" t="inlineStr">
        <is>
          <t>Likert 1-5</t>
        </is>
      </c>
      <c r="E33" s="15" t="inlineStr">
        <is>
          <t>1=SD; 2=D; 3=N; 4=A; 5=SA</t>
        </is>
      </c>
      <c r="F33" s="15" t="inlineStr">
        <is>
          <t>PAC</t>
        </is>
      </c>
      <c r="G33" s="15" t="inlineStr">
        <is>
          <t>2,4,5</t>
        </is>
      </c>
      <c r="H33" s="15" t="inlineStr">
        <is>
          <t>RQ2,RQ4,RQ5</t>
        </is>
      </c>
      <c r="I33" s="15" t="inlineStr">
        <is>
          <t>H01 Pearson; H02 Regression</t>
        </is>
      </c>
      <c r="J33" s="15" t="inlineStr">
        <is>
          <t>Yes</t>
        </is>
      </c>
    </row>
    <row r="34">
      <c r="A34" s="15" t="inlineStr">
        <is>
          <t>PAC4</t>
        </is>
      </c>
      <c r="B34" s="15" t="inlineStr">
        <is>
          <t>D</t>
        </is>
      </c>
      <c r="C34" s="15" t="inlineStr">
        <is>
          <t>The churn-risk outputs available to my institution are sufficiently accurate to support retention decisions.</t>
        </is>
      </c>
      <c r="D34" s="15" t="inlineStr">
        <is>
          <t>Likert 1-5</t>
        </is>
      </c>
      <c r="E34" s="15" t="inlineStr">
        <is>
          <t>1=SD; 2=D; 3=N; 4=A; 5=SA</t>
        </is>
      </c>
      <c r="F34" s="15" t="inlineStr">
        <is>
          <t>PAC</t>
        </is>
      </c>
      <c r="G34" s="15" t="inlineStr">
        <is>
          <t>2,4,5</t>
        </is>
      </c>
      <c r="H34" s="15" t="inlineStr">
        <is>
          <t>RQ2,RQ4,RQ5</t>
        </is>
      </c>
      <c r="I34" s="15" t="inlineStr">
        <is>
          <t>H01 Pearson; H02 Regression</t>
        </is>
      </c>
      <c r="J34" s="15" t="inlineStr">
        <is>
          <t>Yes</t>
        </is>
      </c>
    </row>
    <row r="35">
      <c r="A35" s="15" t="inlineStr">
        <is>
          <t>PAC5</t>
        </is>
      </c>
      <c r="B35" s="15" t="inlineStr">
        <is>
          <t>D</t>
        </is>
      </c>
      <c r="C35" s="15" t="inlineStr">
        <is>
          <t>Churn-risk alerts are produced early enough for the institution to intervene.</t>
        </is>
      </c>
      <c r="D35" s="15" t="inlineStr">
        <is>
          <t>Likert 1-5</t>
        </is>
      </c>
      <c r="E35" s="15" t="inlineStr">
        <is>
          <t>1=SD; 2=D; 3=N; 4=A; 5=SA</t>
        </is>
      </c>
      <c r="F35" s="15" t="inlineStr">
        <is>
          <t>PAC</t>
        </is>
      </c>
      <c r="G35" s="15" t="inlineStr">
        <is>
          <t>2,4,5</t>
        </is>
      </c>
      <c r="H35" s="15" t="inlineStr">
        <is>
          <t>RQ2,RQ4,RQ5</t>
        </is>
      </c>
      <c r="I35" s="15" t="inlineStr">
        <is>
          <t>H01 Pearson; H02 Regression</t>
        </is>
      </c>
      <c r="J35" s="15" t="inlineStr">
        <is>
          <t>Yes</t>
        </is>
      </c>
    </row>
    <row r="36">
      <c r="A36" s="15" t="inlineStr">
        <is>
          <t>PAC6</t>
        </is>
      </c>
      <c r="B36" s="15" t="inlineStr">
        <is>
          <t>D</t>
        </is>
      </c>
      <c r="C36" s="15" t="inlineStr">
        <is>
          <t>Predictive analytics helps prioritize customers who require urgent retention attention.</t>
        </is>
      </c>
      <c r="D36" s="15" t="inlineStr">
        <is>
          <t>Likert 1-5</t>
        </is>
      </c>
      <c r="E36" s="15" t="inlineStr">
        <is>
          <t>1=SD; 2=D; 3=N; 4=A; 5=SA</t>
        </is>
      </c>
      <c r="F36" s="15" t="inlineStr">
        <is>
          <t>PAC</t>
        </is>
      </c>
      <c r="G36" s="15" t="inlineStr">
        <is>
          <t>2,4,5</t>
        </is>
      </c>
      <c r="H36" s="15" t="inlineStr">
        <is>
          <t>RQ2,RQ4,RQ5</t>
        </is>
      </c>
      <c r="I36" s="15" t="inlineStr">
        <is>
          <t>H01 Pearson; H02 Regression</t>
        </is>
      </c>
      <c r="J36" s="15" t="inlineStr">
        <is>
          <t>Yes</t>
        </is>
      </c>
    </row>
    <row r="37">
      <c r="A37" s="15" t="inlineStr">
        <is>
          <t>PAC7</t>
        </is>
      </c>
      <c r="B37" s="15" t="inlineStr">
        <is>
          <t>D</t>
        </is>
      </c>
      <c r="C37" s="15" t="inlineStr">
        <is>
          <t>The reasons behind churn predictions can be explained clearly enough to guide an appropriate response.</t>
        </is>
      </c>
      <c r="D37" s="15" t="inlineStr">
        <is>
          <t>Likert 1-5</t>
        </is>
      </c>
      <c r="E37" s="15" t="inlineStr">
        <is>
          <t>1=SD; 2=D; 3=N; 4=A; 5=SA</t>
        </is>
      </c>
      <c r="F37" s="15" t="inlineStr">
        <is>
          <t>PAC</t>
        </is>
      </c>
      <c r="G37" s="15" t="inlineStr">
        <is>
          <t>2,4,5</t>
        </is>
      </c>
      <c r="H37" s="15" t="inlineStr">
        <is>
          <t>RQ2,RQ4,RQ5</t>
        </is>
      </c>
      <c r="I37" s="15" t="inlineStr">
        <is>
          <t>H01 Pearson; H02 Regression</t>
        </is>
      </c>
      <c r="J37" s="15" t="inlineStr">
        <is>
          <t>Yes</t>
        </is>
      </c>
    </row>
    <row r="38">
      <c r="A38" s="15" t="inlineStr">
        <is>
          <t>PAC8</t>
        </is>
      </c>
      <c r="B38" s="15" t="inlineStr">
        <is>
          <t>D</t>
        </is>
      </c>
      <c r="C38" s="15" t="inlineStr">
        <is>
          <t>The performance of churn-prediction models can be monitored and adjusted when customer behaviour or market conditions change.</t>
        </is>
      </c>
      <c r="D38" s="15" t="inlineStr">
        <is>
          <t>Likert 1-5</t>
        </is>
      </c>
      <c r="E38" s="15" t="inlineStr">
        <is>
          <t>1=SD; 2=D; 3=N; 4=A; 5=SA</t>
        </is>
      </c>
      <c r="F38" s="15" t="inlineStr">
        <is>
          <t>PAC</t>
        </is>
      </c>
      <c r="G38" s="15" t="inlineStr">
        <is>
          <t>2,4,5</t>
        </is>
      </c>
      <c r="H38" s="15" t="inlineStr">
        <is>
          <t>RQ2,RQ4,RQ5</t>
        </is>
      </c>
      <c r="I38" s="15" t="inlineStr">
        <is>
          <t>H01 Pearson; H02 Regression</t>
        </is>
      </c>
      <c r="J38" s="15" t="inlineStr">
        <is>
          <t>Yes</t>
        </is>
      </c>
    </row>
    <row r="39">
      <c r="A39" s="15" t="inlineStr">
        <is>
          <t>MLU1</t>
        </is>
      </c>
      <c r="B39" s="15" t="inlineStr">
        <is>
          <t>E</t>
        </is>
      </c>
      <c r="C39" s="15" t="inlineStr">
        <is>
          <t>Logistic regression is suitable for customer churn prediction in Nigerian digital banking institutions.</t>
        </is>
      </c>
      <c r="D39" s="15" t="inlineStr">
        <is>
          <t>Likert 1-5</t>
        </is>
      </c>
      <c r="E39" s="15" t="inlineStr">
        <is>
          <t>1=SD; 2=D; 3=N; 4=A; 5=SA</t>
        </is>
      </c>
      <c r="F39" s="15" t="inlineStr">
        <is>
          <t>MLU</t>
        </is>
      </c>
      <c r="G39" s="15" t="inlineStr">
        <is>
          <t>3,5</t>
        </is>
      </c>
      <c r="H39" s="15" t="inlineStr">
        <is>
          <t>RQ3,RQ5</t>
        </is>
      </c>
      <c r="I39" s="15" t="inlineStr">
        <is>
          <t>H02 Regression</t>
        </is>
      </c>
      <c r="J39" s="15" t="inlineStr">
        <is>
          <t>Yes</t>
        </is>
      </c>
    </row>
    <row r="40">
      <c r="A40" s="15" t="inlineStr">
        <is>
          <t>MLU2</t>
        </is>
      </c>
      <c r="B40" s="15" t="inlineStr">
        <is>
          <t>E</t>
        </is>
      </c>
      <c r="C40" s="15" t="inlineStr">
        <is>
          <t>Decision-tree models are suitable for customer churn prediction in Nigerian digital banking institutions.</t>
        </is>
      </c>
      <c r="D40" s="15" t="inlineStr">
        <is>
          <t>Likert 1-5</t>
        </is>
      </c>
      <c r="E40" s="15" t="inlineStr">
        <is>
          <t>1=SD; 2=D; 3=N; 4=A; 5=SA</t>
        </is>
      </c>
      <c r="F40" s="15" t="inlineStr">
        <is>
          <t>MLU</t>
        </is>
      </c>
      <c r="G40" s="15" t="inlineStr">
        <is>
          <t>3,5</t>
        </is>
      </c>
      <c r="H40" s="15" t="inlineStr">
        <is>
          <t>RQ3,RQ5</t>
        </is>
      </c>
      <c r="I40" s="15" t="inlineStr">
        <is>
          <t>H02 Regression</t>
        </is>
      </c>
      <c r="J40" s="15" t="inlineStr">
        <is>
          <t>Yes</t>
        </is>
      </c>
    </row>
    <row r="41">
      <c r="A41" s="15" t="inlineStr">
        <is>
          <t>MLU3</t>
        </is>
      </c>
      <c r="B41" s="15" t="inlineStr">
        <is>
          <t>E</t>
        </is>
      </c>
      <c r="C41" s="15" t="inlineStr">
        <is>
          <t>Random Forest models are suitable for customer churn prediction in Nigerian digital banking institutions.</t>
        </is>
      </c>
      <c r="D41" s="15" t="inlineStr">
        <is>
          <t>Likert 1-5</t>
        </is>
      </c>
      <c r="E41" s="15" t="inlineStr">
        <is>
          <t>1=SD; 2=D; 3=N; 4=A; 5=SA</t>
        </is>
      </c>
      <c r="F41" s="15" t="inlineStr">
        <is>
          <t>MLU</t>
        </is>
      </c>
      <c r="G41" s="15" t="inlineStr">
        <is>
          <t>3,5</t>
        </is>
      </c>
      <c r="H41" s="15" t="inlineStr">
        <is>
          <t>RQ3,RQ5</t>
        </is>
      </c>
      <c r="I41" s="15" t="inlineStr">
        <is>
          <t>H02 Regression</t>
        </is>
      </c>
      <c r="J41" s="15" t="inlineStr">
        <is>
          <t>Yes</t>
        </is>
      </c>
    </row>
    <row r="42">
      <c r="A42" s="15" t="inlineStr">
        <is>
          <t>MLU4</t>
        </is>
      </c>
      <c r="B42" s="15" t="inlineStr">
        <is>
          <t>E</t>
        </is>
      </c>
      <c r="C42" s="15" t="inlineStr">
        <is>
          <t>Gradient-boosting techniques such as XGBoost or LightGBM are suitable for customer churn prediction in Nigerian digital banking institutions.</t>
        </is>
      </c>
      <c r="D42" s="15" t="inlineStr">
        <is>
          <t>Likert 1-5</t>
        </is>
      </c>
      <c r="E42" s="15" t="inlineStr">
        <is>
          <t>1=SD; 2=D; 3=N; 4=A; 5=SA</t>
        </is>
      </c>
      <c r="F42" s="15" t="inlineStr">
        <is>
          <t>MLU</t>
        </is>
      </c>
      <c r="G42" s="15" t="inlineStr">
        <is>
          <t>3,5</t>
        </is>
      </c>
      <c r="H42" s="15" t="inlineStr">
        <is>
          <t>RQ3,RQ5</t>
        </is>
      </c>
      <c r="I42" s="15" t="inlineStr">
        <is>
          <t>H02 Regression</t>
        </is>
      </c>
      <c r="J42" s="15" t="inlineStr">
        <is>
          <t>Yes</t>
        </is>
      </c>
    </row>
    <row r="43">
      <c r="A43" s="15" t="inlineStr">
        <is>
          <t>MLU5</t>
        </is>
      </c>
      <c r="B43" s="15" t="inlineStr">
        <is>
          <t>E</t>
        </is>
      </c>
      <c r="C43" s="15" t="inlineStr">
        <is>
          <t>Support Vector Machines are suitable for customer churn prediction in Nigerian digital banking institutions.</t>
        </is>
      </c>
      <c r="D43" s="15" t="inlineStr">
        <is>
          <t>Likert 1-5</t>
        </is>
      </c>
      <c r="E43" s="15" t="inlineStr">
        <is>
          <t>1=SD; 2=D; 3=N; 4=A; 5=SA</t>
        </is>
      </c>
      <c r="F43" s="15" t="inlineStr">
        <is>
          <t>MLU</t>
        </is>
      </c>
      <c r="G43" s="15" t="inlineStr">
        <is>
          <t>3,5</t>
        </is>
      </c>
      <c r="H43" s="15" t="inlineStr">
        <is>
          <t>RQ3,RQ5</t>
        </is>
      </c>
      <c r="I43" s="15" t="inlineStr">
        <is>
          <t>H02 Regression</t>
        </is>
      </c>
      <c r="J43" s="15" t="inlineStr">
        <is>
          <t>Yes</t>
        </is>
      </c>
    </row>
    <row r="44">
      <c r="A44" s="15" t="inlineStr">
        <is>
          <t>MLU6</t>
        </is>
      </c>
      <c r="B44" s="15" t="inlineStr">
        <is>
          <t>E</t>
        </is>
      </c>
      <c r="C44" s="15" t="inlineStr">
        <is>
          <t>Artificial neural networks are suitable for customer churn prediction in Nigerian digital banking institutions.</t>
        </is>
      </c>
      <c r="D44" s="15" t="inlineStr">
        <is>
          <t>Likert 1-5</t>
        </is>
      </c>
      <c r="E44" s="15" t="inlineStr">
        <is>
          <t>1=SD; 2=D; 3=N; 4=A; 5=SA</t>
        </is>
      </c>
      <c r="F44" s="15" t="inlineStr">
        <is>
          <t>MLU</t>
        </is>
      </c>
      <c r="G44" s="15" t="inlineStr">
        <is>
          <t>3,5</t>
        </is>
      </c>
      <c r="H44" s="15" t="inlineStr">
        <is>
          <t>RQ3,RQ5</t>
        </is>
      </c>
      <c r="I44" s="15" t="inlineStr">
        <is>
          <t>H02 Regression</t>
        </is>
      </c>
      <c r="J44" s="15" t="inlineStr">
        <is>
          <t>Yes</t>
        </is>
      </c>
    </row>
    <row r="45">
      <c r="A45" s="15" t="inlineStr">
        <is>
          <t>MLU7</t>
        </is>
      </c>
      <c r="B45" s="15" t="inlineStr">
        <is>
          <t>E</t>
        </is>
      </c>
      <c r="C45" s="15" t="inlineStr">
        <is>
          <t>Deep-learning methods are useful where sequential or high-volume customer transaction data are available.</t>
        </is>
      </c>
      <c r="D45" s="15" t="inlineStr">
        <is>
          <t>Likert 1-5</t>
        </is>
      </c>
      <c r="E45" s="15" t="inlineStr">
        <is>
          <t>1=SD; 2=D; 3=N; 4=A; 5=SA</t>
        </is>
      </c>
      <c r="F45" s="15" t="inlineStr">
        <is>
          <t>MLU</t>
        </is>
      </c>
      <c r="G45" s="15" t="inlineStr">
        <is>
          <t>3,5</t>
        </is>
      </c>
      <c r="H45" s="15" t="inlineStr">
        <is>
          <t>RQ3,RQ5</t>
        </is>
      </c>
      <c r="I45" s="15" t="inlineStr">
        <is>
          <t>H02 Regression</t>
        </is>
      </c>
      <c r="J45" s="15" t="inlineStr">
        <is>
          <t>Yes</t>
        </is>
      </c>
    </row>
    <row r="46">
      <c r="A46" s="15" t="inlineStr">
        <is>
          <t>MLU8</t>
        </is>
      </c>
      <c r="B46" s="15" t="inlineStr">
        <is>
          <t>E</t>
        </is>
      </c>
      <c r="C46" s="15" t="inlineStr">
        <is>
          <t>Customer segmentation or clustering should be combined with predictive models to improve churn-management decisions.</t>
        </is>
      </c>
      <c r="D46" s="15" t="inlineStr">
        <is>
          <t>Likert 1-5</t>
        </is>
      </c>
      <c r="E46" s="15" t="inlineStr">
        <is>
          <t>1=SD; 2=D; 3=N; 4=A; 5=SA</t>
        </is>
      </c>
      <c r="F46" s="15" t="inlineStr">
        <is>
          <t>MLU</t>
        </is>
      </c>
      <c r="G46" s="15" t="inlineStr">
        <is>
          <t>3,5</t>
        </is>
      </c>
      <c r="H46" s="15" t="inlineStr">
        <is>
          <t>RQ3,RQ5</t>
        </is>
      </c>
      <c r="I46" s="15" t="inlineStr">
        <is>
          <t>H02 Regression</t>
        </is>
      </c>
      <c r="J46" s="15" t="inlineStr">
        <is>
          <t>Yes</t>
        </is>
      </c>
    </row>
    <row r="47">
      <c r="A47" s="15" t="inlineStr">
        <is>
          <t>MLU9</t>
        </is>
      </c>
      <c r="B47" s="15" t="inlineStr">
        <is>
          <t>E</t>
        </is>
      </c>
      <c r="C47" s="15" t="inlineStr">
        <is>
          <t>Explainable-AI techniques such as SHAP or LIME are important for making churn predictions actionable and trustworthy.</t>
        </is>
      </c>
      <c r="D47" s="15" t="inlineStr">
        <is>
          <t>Likert 1-5</t>
        </is>
      </c>
      <c r="E47" s="15" t="inlineStr">
        <is>
          <t>1=SD; 2=D; 3=N; 4=A; 5=SA</t>
        </is>
      </c>
      <c r="F47" s="15" t="inlineStr">
        <is>
          <t>MLU</t>
        </is>
      </c>
      <c r="G47" s="15" t="inlineStr">
        <is>
          <t>3,5</t>
        </is>
      </c>
      <c r="H47" s="15" t="inlineStr">
        <is>
          <t>RQ3,RQ5</t>
        </is>
      </c>
      <c r="I47" s="15" t="inlineStr">
        <is>
          <t>H02 Regression</t>
        </is>
      </c>
      <c r="J47" s="15" t="inlineStr">
        <is>
          <t>Yes</t>
        </is>
      </c>
    </row>
    <row r="48">
      <c r="A48" s="15" t="inlineStr">
        <is>
          <t>RSO1</t>
        </is>
      </c>
      <c r="B48" s="15" t="inlineStr">
        <is>
          <t>F1</t>
        </is>
      </c>
      <c r="C48" s="15" t="inlineStr">
        <is>
          <t>AI-generated churn insights enable the institution to target retention actions at the customers who need them most.</t>
        </is>
      </c>
      <c r="D48" s="15" t="inlineStr">
        <is>
          <t>Likert 1-5</t>
        </is>
      </c>
      <c r="E48" s="15" t="inlineStr">
        <is>
          <t>1=SD; 2=D; 3=N; 4=A; 5=SA</t>
        </is>
      </c>
      <c r="F48" s="15" t="inlineStr">
        <is>
          <t>RSO</t>
        </is>
      </c>
      <c r="G48" s="15" t="inlineStr">
        <is>
          <t>5</t>
        </is>
      </c>
      <c r="H48" s="15" t="inlineStr">
        <is>
          <t>RQ5</t>
        </is>
      </c>
      <c r="I48" s="15" t="inlineStr">
        <is>
          <t>H02 Regression DV</t>
        </is>
      </c>
      <c r="J48" s="15" t="inlineStr">
        <is>
          <t>Yes</t>
        </is>
      </c>
    </row>
    <row r="49">
      <c r="A49" s="15" t="inlineStr">
        <is>
          <t>RSO2</t>
        </is>
      </c>
      <c r="B49" s="15" t="inlineStr">
        <is>
          <t>F1</t>
        </is>
      </c>
      <c r="C49" s="15" t="inlineStr">
        <is>
          <t>Predictive insights improve the personalization of retention offers and customer communication.</t>
        </is>
      </c>
      <c r="D49" s="15" t="inlineStr">
        <is>
          <t>Likert 1-5</t>
        </is>
      </c>
      <c r="E49" s="15" t="inlineStr">
        <is>
          <t>1=SD; 2=D; 3=N; 4=A; 5=SA</t>
        </is>
      </c>
      <c r="F49" s="15" t="inlineStr">
        <is>
          <t>RSO</t>
        </is>
      </c>
      <c r="G49" s="15" t="inlineStr">
        <is>
          <t>5</t>
        </is>
      </c>
      <c r="H49" s="15" t="inlineStr">
        <is>
          <t>RQ5</t>
        </is>
      </c>
      <c r="I49" s="15" t="inlineStr">
        <is>
          <t>H02 Regression DV</t>
        </is>
      </c>
      <c r="J49" s="15" t="inlineStr">
        <is>
          <t>Yes</t>
        </is>
      </c>
    </row>
    <row r="50">
      <c r="A50" s="15" t="inlineStr">
        <is>
          <t>RSO3</t>
        </is>
      </c>
      <c r="B50" s="15" t="inlineStr">
        <is>
          <t>F1</t>
        </is>
      </c>
      <c r="C50" s="15" t="inlineStr">
        <is>
          <t>AI-generated insights improve the timing of retention interventions.</t>
        </is>
      </c>
      <c r="D50" s="15" t="inlineStr">
        <is>
          <t>Likert 1-5</t>
        </is>
      </c>
      <c r="E50" s="15" t="inlineStr">
        <is>
          <t>1=SD; 2=D; 3=N; 4=A; 5=SA</t>
        </is>
      </c>
      <c r="F50" s="15" t="inlineStr">
        <is>
          <t>RSO</t>
        </is>
      </c>
      <c r="G50" s="15" t="inlineStr">
        <is>
          <t>5</t>
        </is>
      </c>
      <c r="H50" s="15" t="inlineStr">
        <is>
          <t>RQ5</t>
        </is>
      </c>
      <c r="I50" s="15" t="inlineStr">
        <is>
          <t>H02 Regression DV</t>
        </is>
      </c>
      <c r="J50" s="15" t="inlineStr">
        <is>
          <t>Yes</t>
        </is>
      </c>
    </row>
    <row r="51">
      <c r="A51" s="15" t="inlineStr">
        <is>
          <t>RSO4</t>
        </is>
      </c>
      <c r="B51" s="15" t="inlineStr">
        <is>
          <t>F1</t>
        </is>
      </c>
      <c r="C51" s="15" t="inlineStr">
        <is>
          <t>Predictive analytics helps select the most appropriate communication channel or treatment for an at-risk customer.</t>
        </is>
      </c>
      <c r="D51" s="15" t="inlineStr">
        <is>
          <t>Likert 1-5</t>
        </is>
      </c>
      <c r="E51" s="15" t="inlineStr">
        <is>
          <t>1=SD; 2=D; 3=N; 4=A; 5=SA</t>
        </is>
      </c>
      <c r="F51" s="15" t="inlineStr">
        <is>
          <t>RSO</t>
        </is>
      </c>
      <c r="G51" s="15" t="inlineStr">
        <is>
          <t>5</t>
        </is>
      </c>
      <c r="H51" s="15" t="inlineStr">
        <is>
          <t>RQ5</t>
        </is>
      </c>
      <c r="I51" s="15" t="inlineStr">
        <is>
          <t>H02 Regression DV</t>
        </is>
      </c>
      <c r="J51" s="15" t="inlineStr">
        <is>
          <t>Yes</t>
        </is>
      </c>
    </row>
    <row r="52">
      <c r="A52" s="15" t="inlineStr">
        <is>
          <t>RSO5</t>
        </is>
      </c>
      <c r="B52" s="15" t="inlineStr">
        <is>
          <t>F1</t>
        </is>
      </c>
      <c r="C52" s="15" t="inlineStr">
        <is>
          <t>Combining churn risk with customer value helps the institution prioritize retention resources more effectively.</t>
        </is>
      </c>
      <c r="D52" s="15" t="inlineStr">
        <is>
          <t>Likert 1-5</t>
        </is>
      </c>
      <c r="E52" s="15" t="inlineStr">
        <is>
          <t>1=SD; 2=D; 3=N; 4=A; 5=SA</t>
        </is>
      </c>
      <c r="F52" s="15" t="inlineStr">
        <is>
          <t>RSO</t>
        </is>
      </c>
      <c r="G52" s="15" t="inlineStr">
        <is>
          <t>5</t>
        </is>
      </c>
      <c r="H52" s="15" t="inlineStr">
        <is>
          <t>RQ5</t>
        </is>
      </c>
      <c r="I52" s="15" t="inlineStr">
        <is>
          <t>H02 Regression DV</t>
        </is>
      </c>
      <c r="J52" s="15" t="inlineStr">
        <is>
          <t>Yes</t>
        </is>
      </c>
    </row>
    <row r="53">
      <c r="A53" s="15" t="inlineStr">
        <is>
          <t>RSO6</t>
        </is>
      </c>
      <c r="B53" s="15" t="inlineStr">
        <is>
          <t>F1</t>
        </is>
      </c>
      <c r="C53" s="15" t="inlineStr">
        <is>
          <t>Knowing the likely reason for churn enables more appropriate service-recovery actions.</t>
        </is>
      </c>
      <c r="D53" s="15" t="inlineStr">
        <is>
          <t>Likert 1-5</t>
        </is>
      </c>
      <c r="E53" s="15" t="inlineStr">
        <is>
          <t>1=SD; 2=D; 3=N; 4=A; 5=SA</t>
        </is>
      </c>
      <c r="F53" s="15" t="inlineStr">
        <is>
          <t>RSO</t>
        </is>
      </c>
      <c r="G53" s="15" t="inlineStr">
        <is>
          <t>5</t>
        </is>
      </c>
      <c r="H53" s="15" t="inlineStr">
        <is>
          <t>RQ5</t>
        </is>
      </c>
      <c r="I53" s="15" t="inlineStr">
        <is>
          <t>H02 Regression DV</t>
        </is>
      </c>
      <c r="J53" s="15" t="inlineStr">
        <is>
          <t>Yes</t>
        </is>
      </c>
    </row>
    <row r="54">
      <c r="A54" s="15" t="inlineStr">
        <is>
          <t>RSO7</t>
        </is>
      </c>
      <c r="B54" s="15" t="inlineStr">
        <is>
          <t>F1</t>
        </is>
      </c>
      <c r="C54" s="15" t="inlineStr">
        <is>
          <t>AI-driven targeting reduces wasteful retention spending on customers who do not require intervention.</t>
        </is>
      </c>
      <c r="D54" s="15" t="inlineStr">
        <is>
          <t>Likert 1-5</t>
        </is>
      </c>
      <c r="E54" s="15" t="inlineStr">
        <is>
          <t>1=SD; 2=D; 3=N; 4=A; 5=SA</t>
        </is>
      </c>
      <c r="F54" s="15" t="inlineStr">
        <is>
          <t>RSO</t>
        </is>
      </c>
      <c r="G54" s="15" t="inlineStr">
        <is>
          <t>5</t>
        </is>
      </c>
      <c r="H54" s="15" t="inlineStr">
        <is>
          <t>RQ5</t>
        </is>
      </c>
      <c r="I54" s="15" t="inlineStr">
        <is>
          <t>H02 Regression DV</t>
        </is>
      </c>
      <c r="J54" s="15" t="inlineStr">
        <is>
          <t>Yes</t>
        </is>
      </c>
    </row>
    <row r="55">
      <c r="A55" s="15" t="inlineStr">
        <is>
          <t>RSO8</t>
        </is>
      </c>
      <c r="B55" s="15" t="inlineStr">
        <is>
          <t>F1</t>
        </is>
      </c>
      <c r="C55" s="15" t="inlineStr">
        <is>
          <t>Feedback from retention outcomes is used to improve future churn models and interventions.</t>
        </is>
      </c>
      <c r="D55" s="15" t="inlineStr">
        <is>
          <t>Likert 1-5</t>
        </is>
      </c>
      <c r="E55" s="15" t="inlineStr">
        <is>
          <t>1=SD; 2=D; 3=N; 4=A; 5=SA</t>
        </is>
      </c>
      <c r="F55" s="15" t="inlineStr">
        <is>
          <t>RSO</t>
        </is>
      </c>
      <c r="G55" s="15" t="inlineStr">
        <is>
          <t>5</t>
        </is>
      </c>
      <c r="H55" s="15" t="inlineStr">
        <is>
          <t>RQ5</t>
        </is>
      </c>
      <c r="I55" s="15" t="inlineStr">
        <is>
          <t>H02 Regression DV</t>
        </is>
      </c>
      <c r="J55" s="15" t="inlineStr">
        <is>
          <t>Yes</t>
        </is>
      </c>
    </row>
    <row r="56">
      <c r="A56" s="15" t="inlineStr">
        <is>
          <t>CRE1</t>
        </is>
      </c>
      <c r="B56" s="15" t="inlineStr">
        <is>
          <t>F2</t>
        </is>
      </c>
      <c r="C56" s="15" t="inlineStr">
        <is>
          <t>AI-driven predictive analytics has contributed to reducing customer churn in my institution.</t>
        </is>
      </c>
      <c r="D56" s="15" t="inlineStr">
        <is>
          <t>Likert 1-5</t>
        </is>
      </c>
      <c r="E56" s="15" t="inlineStr">
        <is>
          <t>1=SD; 2=D; 3=N; 4=A; 5=SA</t>
        </is>
      </c>
      <c r="F56" s="15" t="inlineStr">
        <is>
          <t>CRE</t>
        </is>
      </c>
      <c r="G56" s="15" t="inlineStr">
        <is>
          <t>4</t>
        </is>
      </c>
      <c r="H56" s="15" t="inlineStr">
        <is>
          <t>RQ4</t>
        </is>
      </c>
      <c r="I56" s="15" t="inlineStr">
        <is>
          <t>H03 ANOVA DV</t>
        </is>
      </c>
      <c r="J56" s="15" t="inlineStr">
        <is>
          <t>Yes</t>
        </is>
      </c>
    </row>
    <row r="57">
      <c r="A57" s="15" t="inlineStr">
        <is>
          <t>CRE2</t>
        </is>
      </c>
      <c r="B57" s="15" t="inlineStr">
        <is>
          <t>F2</t>
        </is>
      </c>
      <c r="C57" s="15" t="inlineStr">
        <is>
          <t>AI-enabled retention practices have helped sustain customers' use of digital banking services.</t>
        </is>
      </c>
      <c r="D57" s="15" t="inlineStr">
        <is>
          <t>Likert 1-5</t>
        </is>
      </c>
      <c r="E57" s="15" t="inlineStr">
        <is>
          <t>1=SD; 2=D; 3=N; 4=A; 5=SA</t>
        </is>
      </c>
      <c r="F57" s="15" t="inlineStr">
        <is>
          <t>CRE</t>
        </is>
      </c>
      <c r="G57" s="15" t="inlineStr">
        <is>
          <t>4</t>
        </is>
      </c>
      <c r="H57" s="15" t="inlineStr">
        <is>
          <t>RQ4</t>
        </is>
      </c>
      <c r="I57" s="15" t="inlineStr">
        <is>
          <t>H03 ANOVA DV</t>
        </is>
      </c>
      <c r="J57" s="15" t="inlineStr">
        <is>
          <t>Yes</t>
        </is>
      </c>
    </row>
    <row r="58">
      <c r="A58" s="15" t="inlineStr">
        <is>
          <t>CRE3</t>
        </is>
      </c>
      <c r="B58" s="15" t="inlineStr">
        <is>
          <t>F2</t>
        </is>
      </c>
      <c r="C58" s="15" t="inlineStr">
        <is>
          <t>AI-enabled retention practices have improved customer engagement.</t>
        </is>
      </c>
      <c r="D58" s="15" t="inlineStr">
        <is>
          <t>Likert 1-5</t>
        </is>
      </c>
      <c r="E58" s="15" t="inlineStr">
        <is>
          <t>1=SD; 2=D; 3=N; 4=A; 5=SA</t>
        </is>
      </c>
      <c r="F58" s="15" t="inlineStr">
        <is>
          <t>CRE</t>
        </is>
      </c>
      <c r="G58" s="15" t="inlineStr">
        <is>
          <t>4</t>
        </is>
      </c>
      <c r="H58" s="15" t="inlineStr">
        <is>
          <t>RQ4</t>
        </is>
      </c>
      <c r="I58" s="15" t="inlineStr">
        <is>
          <t>H03 ANOVA DV</t>
        </is>
      </c>
      <c r="J58" s="15" t="inlineStr">
        <is>
          <t>Yes</t>
        </is>
      </c>
    </row>
    <row r="59">
      <c r="A59" s="15" t="inlineStr">
        <is>
          <t>CRE4</t>
        </is>
      </c>
      <c r="B59" s="15" t="inlineStr">
        <is>
          <t>F2</t>
        </is>
      </c>
      <c r="C59" s="15" t="inlineStr">
        <is>
          <t>AI-enabled retention practices have improved customer loyalty or relationship continuity.</t>
        </is>
      </c>
      <c r="D59" s="15" t="inlineStr">
        <is>
          <t>Likert 1-5</t>
        </is>
      </c>
      <c r="E59" s="15" t="inlineStr">
        <is>
          <t>1=SD; 2=D; 3=N; 4=A; 5=SA</t>
        </is>
      </c>
      <c r="F59" s="15" t="inlineStr">
        <is>
          <t>CRE</t>
        </is>
      </c>
      <c r="G59" s="15" t="inlineStr">
        <is>
          <t>4</t>
        </is>
      </c>
      <c r="H59" s="15" t="inlineStr">
        <is>
          <t>RQ4</t>
        </is>
      </c>
      <c r="I59" s="15" t="inlineStr">
        <is>
          <t>H03 ANOVA DV</t>
        </is>
      </c>
      <c r="J59" s="15" t="inlineStr">
        <is>
          <t>Yes</t>
        </is>
      </c>
    </row>
    <row r="60">
      <c r="A60" s="15" t="inlineStr">
        <is>
          <t>CRE5</t>
        </is>
      </c>
      <c r="B60" s="15" t="inlineStr">
        <is>
          <t>F2</t>
        </is>
      </c>
      <c r="C60" s="15" t="inlineStr">
        <is>
          <t>AI-driven churn prediction has improved the effectiveness of retention campaigns or service-recovery efforts.</t>
        </is>
      </c>
      <c r="D60" s="15" t="inlineStr">
        <is>
          <t>Likert 1-5</t>
        </is>
      </c>
      <c r="E60" s="15" t="inlineStr">
        <is>
          <t>1=SD; 2=D; 3=N; 4=A; 5=SA</t>
        </is>
      </c>
      <c r="F60" s="15" t="inlineStr">
        <is>
          <t>CRE</t>
        </is>
      </c>
      <c r="G60" s="15" t="inlineStr">
        <is>
          <t>4</t>
        </is>
      </c>
      <c r="H60" s="15" t="inlineStr">
        <is>
          <t>RQ4</t>
        </is>
      </c>
      <c r="I60" s="15" t="inlineStr">
        <is>
          <t>H03 ANOVA DV</t>
        </is>
      </c>
      <c r="J60" s="15" t="inlineStr">
        <is>
          <t>Yes</t>
        </is>
      </c>
    </row>
    <row r="61">
      <c r="A61" s="15" t="inlineStr">
        <is>
          <t>CRE6</t>
        </is>
      </c>
      <c r="B61" s="15" t="inlineStr">
        <is>
          <t>F2</t>
        </is>
      </c>
      <c r="C61" s="15" t="inlineStr">
        <is>
          <t>AI-driven churn prediction helps reduce silent migration of customer activity to competing providers.</t>
        </is>
      </c>
      <c r="D61" s="15" t="inlineStr">
        <is>
          <t>Likert 1-5</t>
        </is>
      </c>
      <c r="E61" s="15" t="inlineStr">
        <is>
          <t>1=SD; 2=D; 3=N; 4=A; 5=SA</t>
        </is>
      </c>
      <c r="F61" s="15" t="inlineStr">
        <is>
          <t>CRE</t>
        </is>
      </c>
      <c r="G61" s="15" t="inlineStr">
        <is>
          <t>4</t>
        </is>
      </c>
      <c r="H61" s="15" t="inlineStr">
        <is>
          <t>RQ4</t>
        </is>
      </c>
      <c r="I61" s="15" t="inlineStr">
        <is>
          <t>H03 ANOVA DV</t>
        </is>
      </c>
      <c r="J61" s="15" t="inlineStr">
        <is>
          <t>Yes</t>
        </is>
      </c>
    </row>
    <row r="62">
      <c r="A62" s="15" t="inlineStr">
        <is>
          <t>IMP1</t>
        </is>
      </c>
      <c r="B62" s="15" t="inlineStr">
        <is>
          <t>F3</t>
        </is>
      </c>
      <c r="C62" s="15" t="inlineStr">
        <is>
          <t>High-quality, accessible customer data are essential for successful AI-enabled churn management.</t>
        </is>
      </c>
      <c r="D62" s="15" t="inlineStr">
        <is>
          <t>Likert 1-5</t>
        </is>
      </c>
      <c r="E62" s="15" t="inlineStr">
        <is>
          <t>1=SD; 2=D; 3=N; 4=A; 5=SA</t>
        </is>
      </c>
      <c r="F62" s="15" t="inlineStr">
        <is>
          <t>IMP</t>
        </is>
      </c>
      <c r="G62" s="15" t="inlineStr">
        <is>
          <t>6</t>
        </is>
      </c>
      <c r="H62" s="15" t="inlineStr">
        <is>
          <t>RQ6</t>
        </is>
      </c>
      <c r="I62" s="15" t="inlineStr">
        <is>
          <t>Framework synthesis</t>
        </is>
      </c>
      <c r="J62" s="15" t="inlineStr">
        <is>
          <t>Yes</t>
        </is>
      </c>
    </row>
    <row r="63">
      <c r="A63" s="15" t="inlineStr">
        <is>
          <t>IMP2</t>
        </is>
      </c>
      <c r="B63" s="15" t="inlineStr">
        <is>
          <t>F3</t>
        </is>
      </c>
      <c r="C63" s="15" t="inlineStr">
        <is>
          <t>Banks need adequate analytical and AI skills to translate churn predictions into business action.</t>
        </is>
      </c>
      <c r="D63" s="15" t="inlineStr">
        <is>
          <t>Likert 1-5</t>
        </is>
      </c>
      <c r="E63" s="15" t="inlineStr">
        <is>
          <t>1=SD; 2=D; 3=N; 4=A; 5=SA</t>
        </is>
      </c>
      <c r="F63" s="15" t="inlineStr">
        <is>
          <t>IMP</t>
        </is>
      </c>
      <c r="G63" s="15" t="inlineStr">
        <is>
          <t>6</t>
        </is>
      </c>
      <c r="H63" s="15" t="inlineStr">
        <is>
          <t>RQ6</t>
        </is>
      </c>
      <c r="I63" s="15" t="inlineStr">
        <is>
          <t>Framework synthesis</t>
        </is>
      </c>
      <c r="J63" s="15" t="inlineStr">
        <is>
          <t>Yes</t>
        </is>
      </c>
    </row>
    <row r="64">
      <c r="A64" s="15" t="inlineStr">
        <is>
          <t>IMP3</t>
        </is>
      </c>
      <c r="B64" s="15" t="inlineStr">
        <is>
          <t>F3</t>
        </is>
      </c>
      <c r="C64" s="15" t="inlineStr">
        <is>
          <t>AI-enabled churn systems should comply with applicable data-protection, privacy, and customer-protection requirements.</t>
        </is>
      </c>
      <c r="D64" s="15" t="inlineStr">
        <is>
          <t>Likert 1-5</t>
        </is>
      </c>
      <c r="E64" s="15" t="inlineStr">
        <is>
          <t>1=SD; 2=D; 3=N; 4=A; 5=SA</t>
        </is>
      </c>
      <c r="F64" s="15" t="inlineStr">
        <is>
          <t>IMP</t>
        </is>
      </c>
      <c r="G64" s="15" t="inlineStr">
        <is>
          <t>6</t>
        </is>
      </c>
      <c r="H64" s="15" t="inlineStr">
        <is>
          <t>RQ6</t>
        </is>
      </c>
      <c r="I64" s="15" t="inlineStr">
        <is>
          <t>Framework synthesis</t>
        </is>
      </c>
      <c r="J64" s="15" t="inlineStr">
        <is>
          <t>Yes</t>
        </is>
      </c>
    </row>
    <row r="65">
      <c r="A65" s="15" t="inlineStr">
        <is>
          <t>IMP4</t>
        </is>
      </c>
      <c r="B65" s="15" t="inlineStr">
        <is>
          <t>F3</t>
        </is>
      </c>
      <c r="C65" s="15" t="inlineStr">
        <is>
          <t>Explainability should be built into churn systems so managers can understand and act on model outputs.</t>
        </is>
      </c>
      <c r="D65" s="15" t="inlineStr">
        <is>
          <t>Likert 1-5</t>
        </is>
      </c>
      <c r="E65" s="15" t="inlineStr">
        <is>
          <t>1=SD; 2=D; 3=N; 4=A; 5=SA</t>
        </is>
      </c>
      <c r="F65" s="15" t="inlineStr">
        <is>
          <t>IMP</t>
        </is>
      </c>
      <c r="G65" s="15" t="inlineStr">
        <is>
          <t>6</t>
        </is>
      </c>
      <c r="H65" s="15" t="inlineStr">
        <is>
          <t>RQ6</t>
        </is>
      </c>
      <c r="I65" s="15" t="inlineStr">
        <is>
          <t>Framework synthesis</t>
        </is>
      </c>
      <c r="J65" s="15" t="inlineStr">
        <is>
          <t>Yes</t>
        </is>
      </c>
    </row>
    <row r="66">
      <c r="A66" s="15" t="inlineStr">
        <is>
          <t>IMP5</t>
        </is>
      </c>
      <c r="B66" s="15" t="inlineStr">
        <is>
          <t>F3</t>
        </is>
      </c>
      <c r="C66" s="15" t="inlineStr">
        <is>
          <t>Human oversight should remain part of customer-retention decisions informed by AI.</t>
        </is>
      </c>
      <c r="D66" s="15" t="inlineStr">
        <is>
          <t>Likert 1-5</t>
        </is>
      </c>
      <c r="E66" s="15" t="inlineStr">
        <is>
          <t>1=SD; 2=D; 3=N; 4=A; 5=SA</t>
        </is>
      </c>
      <c r="F66" s="15" t="inlineStr">
        <is>
          <t>IMP</t>
        </is>
      </c>
      <c r="G66" s="15" t="inlineStr">
        <is>
          <t>6</t>
        </is>
      </c>
      <c r="H66" s="15" t="inlineStr">
        <is>
          <t>RQ6</t>
        </is>
      </c>
      <c r="I66" s="15" t="inlineStr">
        <is>
          <t>Framework synthesis</t>
        </is>
      </c>
      <c r="J66" s="15" t="inlineStr">
        <is>
          <t>Yes</t>
        </is>
      </c>
    </row>
    <row r="67">
      <c r="A67" s="15" t="inlineStr">
        <is>
          <t>IMP6</t>
        </is>
      </c>
      <c r="B67" s="15" t="inlineStr">
        <is>
          <t>F3</t>
        </is>
      </c>
      <c r="C67" s="15" t="inlineStr">
        <is>
          <t>Churn models should be monitored for performance deterioration, bias, and changing customer behaviour.</t>
        </is>
      </c>
      <c r="D67" s="15" t="inlineStr">
        <is>
          <t>Likert 1-5</t>
        </is>
      </c>
      <c r="E67" s="15" t="inlineStr">
        <is>
          <t>1=SD; 2=D; 3=N; 4=A; 5=SA</t>
        </is>
      </c>
      <c r="F67" s="15" t="inlineStr">
        <is>
          <t>IMP</t>
        </is>
      </c>
      <c r="G67" s="15" t="inlineStr">
        <is>
          <t>6</t>
        </is>
      </c>
      <c r="H67" s="15" t="inlineStr">
        <is>
          <t>RQ6</t>
        </is>
      </c>
      <c r="I67" s="15" t="inlineStr">
        <is>
          <t>Framework synthesis</t>
        </is>
      </c>
      <c r="J67" s="15" t="inlineStr">
        <is>
          <t>Yes</t>
        </is>
      </c>
    </row>
    <row r="68">
      <c r="A68" s="15" t="inlineStr">
        <is>
          <t>IMP7</t>
        </is>
      </c>
      <c r="B68" s="15" t="inlineStr">
        <is>
          <t>F3</t>
        </is>
      </c>
      <c r="C68" s="15" t="inlineStr">
        <is>
          <t>Clear cross-functional ownership across business, technology, data, customer experience, and governance teams is necessary for successful implementation.</t>
        </is>
      </c>
      <c r="D68" s="15" t="inlineStr">
        <is>
          <t>Likert 1-5</t>
        </is>
      </c>
      <c r="E68" s="15" t="inlineStr">
        <is>
          <t>1=SD; 2=D; 3=N; 4=A; 5=SA</t>
        </is>
      </c>
      <c r="F68" s="15" t="inlineStr">
        <is>
          <t>IMP</t>
        </is>
      </c>
      <c r="G68" s="15" t="inlineStr">
        <is>
          <t>6</t>
        </is>
      </c>
      <c r="H68" s="15" t="inlineStr">
        <is>
          <t>RQ6</t>
        </is>
      </c>
      <c r="I68" s="15" t="inlineStr">
        <is>
          <t>Framework synthesis</t>
        </is>
      </c>
      <c r="J68" s="15" t="inlineStr">
        <is>
          <t>Yes</t>
        </is>
      </c>
    </row>
    <row r="69">
      <c r="A69" s="15" t="inlineStr">
        <is>
          <t>IMP8</t>
        </is>
      </c>
      <c r="B69" s="15" t="inlineStr">
        <is>
          <t>F3</t>
        </is>
      </c>
      <c r="C69" s="15" t="inlineStr">
        <is>
          <t>Accurate churn prediction will have limited retention value if underlying service-quality problems are not corrected.</t>
        </is>
      </c>
      <c r="D69" s="15" t="inlineStr">
        <is>
          <t>Likert 1-5</t>
        </is>
      </c>
      <c r="E69" s="15" t="inlineStr">
        <is>
          <t>1=SD; 2=D; 3=N; 4=A; 5=SA</t>
        </is>
      </c>
      <c r="F69" s="15" t="inlineStr">
        <is>
          <t>IMP</t>
        </is>
      </c>
      <c r="G69" s="15" t="inlineStr">
        <is>
          <t>6</t>
        </is>
      </c>
      <c r="H69" s="15" t="inlineStr">
        <is>
          <t>RQ6</t>
        </is>
      </c>
      <c r="I69" s="15" t="inlineStr">
        <is>
          <t>Framework synthesis</t>
        </is>
      </c>
      <c r="J69" s="15" t="inlineStr">
        <is>
          <t>Yes</t>
        </is>
      </c>
    </row>
    <row r="70">
      <c r="A70" s="15" t="inlineStr">
        <is>
          <t>CHD_Mean</t>
        </is>
      </c>
      <c r="B70" s="15" t="inlineStr">
        <is>
          <t>Derived</t>
        </is>
      </c>
      <c r="C70" s="15" t="inlineStr">
        <is>
          <t>Customer Churn Determinants mean</t>
        </is>
      </c>
      <c r="D70" s="15" t="inlineStr">
        <is>
          <t>Continuous 1-5</t>
        </is>
      </c>
      <c r="E70" s="15" t="inlineStr">
        <is>
          <t>Formula / SPSS compute</t>
        </is>
      </c>
      <c r="F70" s="15" t="inlineStr">
        <is>
          <t>Customer Churn Determinants</t>
        </is>
      </c>
      <c r="G70" s="15" t="str"/>
      <c r="H70" s="15" t="str"/>
      <c r="I70" s="15" t="inlineStr">
        <is>
          <t>Derived composite</t>
        </is>
      </c>
      <c r="J70" s="15" t="inlineStr">
        <is>
          <t>Derived</t>
        </is>
      </c>
    </row>
    <row r="71">
      <c r="A71" s="15" t="inlineStr">
        <is>
          <t>AIA_Mean</t>
        </is>
      </c>
      <c r="B71" s="15" t="inlineStr">
        <is>
          <t>Derived</t>
        </is>
      </c>
      <c r="C71" s="15" t="inlineStr">
        <is>
          <t>AI Adoption mean</t>
        </is>
      </c>
      <c r="D71" s="15" t="inlineStr">
        <is>
          <t>Continuous 1-5</t>
        </is>
      </c>
      <c r="E71" s="15" t="inlineStr">
        <is>
          <t>Formula / SPSS compute</t>
        </is>
      </c>
      <c r="F71" s="15" t="inlineStr">
        <is>
          <t>AI Adoption</t>
        </is>
      </c>
      <c r="G71" s="15" t="str"/>
      <c r="H71" s="15" t="str"/>
      <c r="I71" s="15" t="inlineStr">
        <is>
          <t>Derived composite</t>
        </is>
      </c>
      <c r="J71" s="15" t="inlineStr">
        <is>
          <t>Derived</t>
        </is>
      </c>
    </row>
    <row r="72">
      <c r="A72" s="15" t="inlineStr">
        <is>
          <t>PAC_Mean</t>
        </is>
      </c>
      <c r="B72" s="15" t="inlineStr">
        <is>
          <t>Derived</t>
        </is>
      </c>
      <c r="C72" s="15" t="inlineStr">
        <is>
          <t>Predictive Analytics Capability mean</t>
        </is>
      </c>
      <c r="D72" s="15" t="inlineStr">
        <is>
          <t>Continuous 1-5</t>
        </is>
      </c>
      <c r="E72" s="15" t="inlineStr">
        <is>
          <t>Formula / SPSS compute</t>
        </is>
      </c>
      <c r="F72" s="15" t="inlineStr">
        <is>
          <t>Predictive Analytics Capability</t>
        </is>
      </c>
      <c r="G72" s="15" t="str"/>
      <c r="H72" s="15" t="str"/>
      <c r="I72" s="15" t="inlineStr">
        <is>
          <t>Derived composite</t>
        </is>
      </c>
      <c r="J72" s="15" t="inlineStr">
        <is>
          <t>Derived</t>
        </is>
      </c>
    </row>
    <row r="73">
      <c r="A73" s="15" t="inlineStr">
        <is>
          <t>MLU_Mean</t>
        </is>
      </c>
      <c r="B73" s="15" t="inlineStr">
        <is>
          <t>Derived</t>
        </is>
      </c>
      <c r="C73" s="15" t="inlineStr">
        <is>
          <t>ML Technique Suitability mean</t>
        </is>
      </c>
      <c r="D73" s="15" t="inlineStr">
        <is>
          <t>Continuous 1-5</t>
        </is>
      </c>
      <c r="E73" s="15" t="inlineStr">
        <is>
          <t>Formula / SPSS compute</t>
        </is>
      </c>
      <c r="F73" s="15" t="inlineStr">
        <is>
          <t>ML Technique Suitability</t>
        </is>
      </c>
      <c r="G73" s="15" t="str"/>
      <c r="H73" s="15" t="str"/>
      <c r="I73" s="15" t="inlineStr">
        <is>
          <t>Derived composite</t>
        </is>
      </c>
      <c r="J73" s="15" t="inlineStr">
        <is>
          <t>Derived</t>
        </is>
      </c>
    </row>
    <row r="74">
      <c r="A74" s="15" t="inlineStr">
        <is>
          <t>RSO_Mean</t>
        </is>
      </c>
      <c r="B74" s="15" t="inlineStr">
        <is>
          <t>Derived</t>
        </is>
      </c>
      <c r="C74" s="15" t="inlineStr">
        <is>
          <t>Retention Strategy Optimization mean</t>
        </is>
      </c>
      <c r="D74" s="15" t="inlineStr">
        <is>
          <t>Continuous 1-5</t>
        </is>
      </c>
      <c r="E74" s="15" t="inlineStr">
        <is>
          <t>Formula / SPSS compute</t>
        </is>
      </c>
      <c r="F74" s="15" t="inlineStr">
        <is>
          <t>Retention Strategy Optimization</t>
        </is>
      </c>
      <c r="G74" s="15" t="str"/>
      <c r="H74" s="15" t="str"/>
      <c r="I74" s="15" t="inlineStr">
        <is>
          <t>Derived composite</t>
        </is>
      </c>
      <c r="J74" s="15" t="inlineStr">
        <is>
          <t>Derived</t>
        </is>
      </c>
    </row>
    <row r="75">
      <c r="A75" s="15" t="inlineStr">
        <is>
          <t>CRE_Mean</t>
        </is>
      </c>
      <c r="B75" s="15" t="inlineStr">
        <is>
          <t>Derived</t>
        </is>
      </c>
      <c r="C75" s="15" t="inlineStr">
        <is>
          <t>Customer Retention Effectiveness mean</t>
        </is>
      </c>
      <c r="D75" s="15" t="inlineStr">
        <is>
          <t>Continuous 1-5</t>
        </is>
      </c>
      <c r="E75" s="15" t="inlineStr">
        <is>
          <t>Formula / SPSS compute</t>
        </is>
      </c>
      <c r="F75" s="15" t="inlineStr">
        <is>
          <t>Customer Retention Effectiveness</t>
        </is>
      </c>
      <c r="G75" s="15" t="str"/>
      <c r="H75" s="15" t="str"/>
      <c r="I75" s="15" t="inlineStr">
        <is>
          <t>Derived composite</t>
        </is>
      </c>
      <c r="J75" s="15" t="inlineStr">
        <is>
          <t>Derived</t>
        </is>
      </c>
    </row>
    <row r="76">
      <c r="A76" s="15" t="inlineStr">
        <is>
          <t>IMP_Mean</t>
        </is>
      </c>
      <c r="B76" s="15" t="inlineStr">
        <is>
          <t>Derived</t>
        </is>
      </c>
      <c r="C76" s="15" t="inlineStr">
        <is>
          <t>Implementation/Governance mean</t>
        </is>
      </c>
      <c r="D76" s="15" t="inlineStr">
        <is>
          <t>Continuous 1-5</t>
        </is>
      </c>
      <c r="E76" s="15" t="inlineStr">
        <is>
          <t>Formula / SPSS compute</t>
        </is>
      </c>
      <c r="F76" s="15" t="inlineStr">
        <is>
          <t>Implementation/Governance</t>
        </is>
      </c>
      <c r="G76" s="15" t="str"/>
      <c r="H76" s="15" t="str"/>
      <c r="I76" s="15" t="inlineStr">
        <is>
          <t>Derived composite</t>
        </is>
      </c>
      <c r="J76" s="15" t="inlineStr">
        <is>
          <t>Derived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</cols>
  <sheetData>
    <row r="1" ht="28" customHeight="1">
      <c r="A1" s="35" t="inlineStr">
        <is>
          <t>Respondent_ID</t>
        </is>
      </c>
      <c r="B1" s="35" t="inlineStr">
        <is>
          <t>Valid_Record</t>
        </is>
      </c>
      <c r="C1" s="35" t="inlineStr">
        <is>
          <t>Consent</t>
        </is>
      </c>
      <c r="D1" s="35" t="inlineStr">
        <is>
          <t>A1</t>
        </is>
      </c>
      <c r="E1" s="35" t="inlineStr">
        <is>
          <t>A2</t>
        </is>
      </c>
      <c r="F1" s="35" t="inlineStr">
        <is>
          <t>A3</t>
        </is>
      </c>
      <c r="G1" s="35" t="inlineStr">
        <is>
          <t>A4</t>
        </is>
      </c>
      <c r="H1" s="35" t="inlineStr">
        <is>
          <t>A5</t>
        </is>
      </c>
      <c r="I1" s="35" t="inlineStr">
        <is>
          <t>A6</t>
        </is>
      </c>
      <c r="J1" s="35" t="inlineStr">
        <is>
          <t>A7</t>
        </is>
      </c>
      <c r="K1" s="35" t="inlineStr">
        <is>
          <t>A8</t>
        </is>
      </c>
      <c r="L1" s="35" t="inlineStr">
        <is>
          <t>A9</t>
        </is>
      </c>
      <c r="M1" s="35" t="inlineStr">
        <is>
          <t>A10</t>
        </is>
      </c>
      <c r="N1" s="35" t="inlineStr">
        <is>
          <t>CHD1</t>
        </is>
      </c>
      <c r="O1" s="35" t="inlineStr">
        <is>
          <t>CHD2</t>
        </is>
      </c>
      <c r="P1" s="35" t="inlineStr">
        <is>
          <t>CHD3</t>
        </is>
      </c>
      <c r="Q1" s="35" t="inlineStr">
        <is>
          <t>CHD4</t>
        </is>
      </c>
      <c r="R1" s="35" t="inlineStr">
        <is>
          <t>CHD5</t>
        </is>
      </c>
      <c r="S1" s="35" t="inlineStr">
        <is>
          <t>CHD6</t>
        </is>
      </c>
      <c r="T1" s="35" t="inlineStr">
        <is>
          <t>CHD7</t>
        </is>
      </c>
      <c r="U1" s="35" t="inlineStr">
        <is>
          <t>CHD8</t>
        </is>
      </c>
      <c r="V1" s="35" t="inlineStr">
        <is>
          <t>CHD9</t>
        </is>
      </c>
      <c r="W1" s="35" t="inlineStr">
        <is>
          <t>CHD10</t>
        </is>
      </c>
      <c r="X1" s="35" t="inlineStr">
        <is>
          <t>AIA1</t>
        </is>
      </c>
      <c r="Y1" s="35" t="inlineStr">
        <is>
          <t>AIA2</t>
        </is>
      </c>
      <c r="Z1" s="35" t="inlineStr">
        <is>
          <t>AIA3</t>
        </is>
      </c>
      <c r="AA1" s="35" t="inlineStr">
        <is>
          <t>AIA4</t>
        </is>
      </c>
      <c r="AB1" s="35" t="inlineStr">
        <is>
          <t>AIA5</t>
        </is>
      </c>
      <c r="AC1" s="35" t="inlineStr">
        <is>
          <t>AIA6</t>
        </is>
      </c>
      <c r="AD1" s="35" t="inlineStr">
        <is>
          <t>AIA7</t>
        </is>
      </c>
      <c r="AE1" s="35" t="inlineStr">
        <is>
          <t>AIA8</t>
        </is>
      </c>
      <c r="AF1" s="35" t="inlineStr">
        <is>
          <t>PAC1</t>
        </is>
      </c>
      <c r="AG1" s="35" t="inlineStr">
        <is>
          <t>PAC2</t>
        </is>
      </c>
      <c r="AH1" s="35" t="inlineStr">
        <is>
          <t>PAC3</t>
        </is>
      </c>
      <c r="AI1" s="35" t="inlineStr">
        <is>
          <t>PAC4</t>
        </is>
      </c>
      <c r="AJ1" s="35" t="inlineStr">
        <is>
          <t>PAC5</t>
        </is>
      </c>
      <c r="AK1" s="35" t="inlineStr">
        <is>
          <t>PAC6</t>
        </is>
      </c>
      <c r="AL1" s="35" t="inlineStr">
        <is>
          <t>PAC7</t>
        </is>
      </c>
      <c r="AM1" s="35" t="inlineStr">
        <is>
          <t>PAC8</t>
        </is>
      </c>
      <c r="AN1" s="35" t="inlineStr">
        <is>
          <t>MLU1</t>
        </is>
      </c>
      <c r="AO1" s="35" t="inlineStr">
        <is>
          <t>MLU2</t>
        </is>
      </c>
      <c r="AP1" s="35" t="inlineStr">
        <is>
          <t>MLU3</t>
        </is>
      </c>
      <c r="AQ1" s="35" t="inlineStr">
        <is>
          <t>MLU4</t>
        </is>
      </c>
      <c r="AR1" s="35" t="inlineStr">
        <is>
          <t>MLU5</t>
        </is>
      </c>
      <c r="AS1" s="35" t="inlineStr">
        <is>
          <t>MLU6</t>
        </is>
      </c>
      <c r="AT1" s="35" t="inlineStr">
        <is>
          <t>MLU7</t>
        </is>
      </c>
      <c r="AU1" s="35" t="inlineStr">
        <is>
          <t>MLU8</t>
        </is>
      </c>
      <c r="AV1" s="35" t="inlineStr">
        <is>
          <t>MLU9</t>
        </is>
      </c>
      <c r="AW1" s="35" t="inlineStr">
        <is>
          <t>RSO1</t>
        </is>
      </c>
      <c r="AX1" s="35" t="inlineStr">
        <is>
          <t>RSO2</t>
        </is>
      </c>
      <c r="AY1" s="35" t="inlineStr">
        <is>
          <t>RSO3</t>
        </is>
      </c>
      <c r="AZ1" s="35" t="inlineStr">
        <is>
          <t>RSO4</t>
        </is>
      </c>
      <c r="BA1" s="35" t="inlineStr">
        <is>
          <t>RSO5</t>
        </is>
      </c>
      <c r="BB1" s="35" t="inlineStr">
        <is>
          <t>RSO6</t>
        </is>
      </c>
      <c r="BC1" s="35" t="inlineStr">
        <is>
          <t>RSO7</t>
        </is>
      </c>
      <c r="BD1" s="35" t="inlineStr">
        <is>
          <t>RSO8</t>
        </is>
      </c>
      <c r="BE1" s="35" t="inlineStr">
        <is>
          <t>CRE1</t>
        </is>
      </c>
      <c r="BF1" s="35" t="inlineStr">
        <is>
          <t>CRE2</t>
        </is>
      </c>
      <c r="BG1" s="35" t="inlineStr">
        <is>
          <t>CRE3</t>
        </is>
      </c>
      <c r="BH1" s="35" t="inlineStr">
        <is>
          <t>CRE4</t>
        </is>
      </c>
      <c r="BI1" s="35" t="inlineStr">
        <is>
          <t>CRE5</t>
        </is>
      </c>
      <c r="BJ1" s="35" t="inlineStr">
        <is>
          <t>CRE6</t>
        </is>
      </c>
      <c r="BK1" s="35" t="inlineStr">
        <is>
          <t>IMP1</t>
        </is>
      </c>
      <c r="BL1" s="35" t="inlineStr">
        <is>
          <t>IMP2</t>
        </is>
      </c>
      <c r="BM1" s="35" t="inlineStr">
        <is>
          <t>IMP3</t>
        </is>
      </c>
      <c r="BN1" s="35" t="inlineStr">
        <is>
          <t>IMP4</t>
        </is>
      </c>
      <c r="BO1" s="35" t="inlineStr">
        <is>
          <t>IMP5</t>
        </is>
      </c>
      <c r="BP1" s="35" t="inlineStr">
        <is>
          <t>IMP6</t>
        </is>
      </c>
      <c r="BQ1" s="35" t="inlineStr">
        <is>
          <t>IMP7</t>
        </is>
      </c>
      <c r="BR1" s="35" t="inlineStr">
        <is>
          <t>IMP8</t>
        </is>
      </c>
      <c r="BS1" s="35" t="inlineStr">
        <is>
          <t>CHD_Mean</t>
        </is>
      </c>
      <c r="BT1" s="35" t="inlineStr">
        <is>
          <t>AIA_Mean</t>
        </is>
      </c>
      <c r="BU1" s="35" t="inlineStr">
        <is>
          <t>PAC_Mean</t>
        </is>
      </c>
      <c r="BV1" s="35" t="inlineStr">
        <is>
          <t>MLU_Mean</t>
        </is>
      </c>
      <c r="BW1" s="35" t="inlineStr">
        <is>
          <t>RSO_Mean</t>
        </is>
      </c>
      <c r="BX1" s="35" t="inlineStr">
        <is>
          <t>CRE_Mean</t>
        </is>
      </c>
      <c r="BY1" s="35" t="inlineStr">
        <is>
          <t>IMP_Mean</t>
        </is>
      </c>
    </row>
    <row r="2">
      <c r="A2" t="inlineStr">
        <is>
          <t>P001</t>
        </is>
      </c>
      <c r="B2" t="inlineStr">
        <is>
          <t>No</t>
        </is>
      </c>
      <c r="C2" t="inlineStr">
        <is>
          <t>Yes</t>
        </is>
      </c>
      <c r="D2" t="inlineStr">
        <is>
          <t>Male</t>
        </is>
      </c>
      <c r="E2" t="inlineStr">
        <is>
          <t>25-34</t>
        </is>
      </c>
      <c r="F2" t="inlineStr">
        <is>
          <t>Postgraduate Diploma</t>
        </is>
      </c>
      <c r="G2" t="inlineStr">
        <is>
          <t>Commercial bank</t>
        </is>
      </c>
      <c r="H2" t="inlineStr">
        <is>
          <t>Customer Experience/Service</t>
        </is>
      </c>
      <c r="I2" t="inlineStr">
        <is>
          <t>6-10</t>
        </is>
      </c>
      <c r="J2" t="inlineStr">
        <is>
          <t>Yes</t>
        </is>
      </c>
      <c r="K2" t="n">
        <v>2</v>
      </c>
      <c r="L2" t="inlineStr">
        <is>
          <t>Yes</t>
        </is>
      </c>
      <c r="M2" t="inlineStr">
        <is>
          <t>No</t>
        </is>
      </c>
      <c r="N2" t="n">
        <v>3</v>
      </c>
      <c r="O2" t="n">
        <v>3</v>
      </c>
      <c r="P2" t="n">
        <v>4</v>
      </c>
      <c r="Q2" t="n">
        <v>3</v>
      </c>
      <c r="R2" t="n">
        <v>3</v>
      </c>
      <c r="S2" t="n">
        <v>4</v>
      </c>
      <c r="T2" t="n">
        <v>3</v>
      </c>
      <c r="U2" t="n">
        <v>4</v>
      </c>
      <c r="V2" t="n">
        <v>4</v>
      </c>
      <c r="W2" t="n">
        <v>3</v>
      </c>
      <c r="X2" t="n">
        <v>4</v>
      </c>
      <c r="Y2" t="n">
        <v>3</v>
      </c>
      <c r="Z2" t="n">
        <v>5</v>
      </c>
      <c r="AA2" t="n">
        <v>2</v>
      </c>
      <c r="AB2" t="n">
        <v>5</v>
      </c>
      <c r="AC2" t="n">
        <v>3</v>
      </c>
      <c r="AD2" t="n">
        <v>4</v>
      </c>
      <c r="AE2" t="n">
        <v>3</v>
      </c>
      <c r="AF2" t="n">
        <v>3</v>
      </c>
      <c r="AG2" t="n">
        <v>4</v>
      </c>
      <c r="AH2" t="n">
        <v>3</v>
      </c>
      <c r="AI2" t="n">
        <v>4</v>
      </c>
      <c r="AJ2" t="n">
        <v>2</v>
      </c>
      <c r="AK2" t="n">
        <v>2</v>
      </c>
      <c r="AL2" t="n">
        <v>3</v>
      </c>
      <c r="AM2" t="n">
        <v>4</v>
      </c>
      <c r="AN2" t="n">
        <v>3</v>
      </c>
      <c r="AO2" t="n">
        <v>3</v>
      </c>
      <c r="AP2" t="n">
        <v>2</v>
      </c>
      <c r="AQ2" t="n">
        <v>3</v>
      </c>
      <c r="AR2" t="n">
        <v>2</v>
      </c>
      <c r="AS2" t="n">
        <v>3</v>
      </c>
      <c r="AT2" t="n">
        <v>3</v>
      </c>
      <c r="AU2" t="n">
        <v>3</v>
      </c>
      <c r="AV2" t="n">
        <v>3</v>
      </c>
      <c r="AW2" t="n">
        <v>5</v>
      </c>
      <c r="AX2" t="n">
        <v>4</v>
      </c>
      <c r="AY2" t="n">
        <v>5</v>
      </c>
      <c r="AZ2" t="n">
        <v>4</v>
      </c>
      <c r="BA2" t="n">
        <v>5</v>
      </c>
      <c r="BB2" t="n">
        <v>4</v>
      </c>
      <c r="BC2" t="n">
        <v>4</v>
      </c>
      <c r="BD2" t="n">
        <v>4</v>
      </c>
      <c r="BE2" t="n">
        <v>4</v>
      </c>
      <c r="BG2" t="n">
        <v>3</v>
      </c>
      <c r="BH2" t="n">
        <v>3</v>
      </c>
      <c r="BI2" t="n">
        <v>2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4</v>
      </c>
      <c r="BQ2" t="n">
        <v>2</v>
      </c>
      <c r="BR2" t="n">
        <v>2</v>
      </c>
      <c r="BS2" s="56">
        <f>IF(COUNT(N2:W2)&gt;=8,AVERAGE(N2:W2),"")</f>
        <v/>
      </c>
      <c r="BT2" s="56">
        <f>IF(COUNT(X2:AE2)&gt;=7,AVERAGE(X2:AE2),"")</f>
        <v/>
      </c>
      <c r="BU2" s="56">
        <f>IF(COUNT(AF2:AM2)&gt;=7,AVERAGE(AF2:AM2),"")</f>
        <v/>
      </c>
      <c r="BV2" s="56">
        <f>IF(COUNT(AN2:AV2)&gt;=8,AVERAGE(AN2:AV2),"")</f>
        <v/>
      </c>
      <c r="BW2" s="56">
        <f>IF(COUNT(AW2:BD2)&gt;=7,AVERAGE(AW2:BD2),"")</f>
        <v/>
      </c>
      <c r="BX2" s="56">
        <f>IF(COUNT(BE2:BJ2)&gt;=5,AVERAGE(BE2:BJ2),"")</f>
        <v/>
      </c>
      <c r="BY2" s="56">
        <f>IF(COUNT(BK2:BR2)&gt;=7,AVERAGE(BK2:BR2),"")</f>
        <v/>
      </c>
    </row>
    <row r="3">
      <c r="A3" t="inlineStr">
        <is>
          <t>P002</t>
        </is>
      </c>
      <c r="B3" t="inlineStr">
        <is>
          <t>No</t>
        </is>
      </c>
      <c r="C3" t="inlineStr">
        <is>
          <t>Yes</t>
        </is>
      </c>
      <c r="D3" t="inlineStr">
        <is>
          <t>Female</t>
        </is>
      </c>
      <c r="E3" t="inlineStr">
        <is>
          <t>18-24</t>
        </is>
      </c>
      <c r="F3" t="inlineStr">
        <is>
          <t>Bachelor/HND</t>
        </is>
      </c>
      <c r="G3" t="inlineStr">
        <is>
          <t>Insurance/investment/other licensed financial institution</t>
        </is>
      </c>
      <c r="H3" t="inlineStr">
        <is>
          <t>Digital Banking/Product</t>
        </is>
      </c>
      <c r="I3" t="inlineStr">
        <is>
          <t>2-5</t>
        </is>
      </c>
      <c r="J3" t="inlineStr">
        <is>
          <t>Yes</t>
        </is>
      </c>
      <c r="K3" t="n">
        <v>1</v>
      </c>
      <c r="L3" t="inlineStr">
        <is>
          <t>No</t>
        </is>
      </c>
      <c r="M3" t="inlineStr">
        <is>
          <t>No</t>
        </is>
      </c>
      <c r="N3" t="n">
        <v>4</v>
      </c>
      <c r="O3" t="n">
        <v>2</v>
      </c>
      <c r="P3" t="n">
        <v>4</v>
      </c>
      <c r="Q3" t="n">
        <v>3</v>
      </c>
      <c r="R3" t="n">
        <v>4</v>
      </c>
      <c r="S3" t="n">
        <v>4</v>
      </c>
      <c r="T3" t="n">
        <v>3</v>
      </c>
      <c r="U3" t="n">
        <v>3</v>
      </c>
      <c r="V3" t="n">
        <v>4</v>
      </c>
      <c r="W3" t="n">
        <v>4</v>
      </c>
      <c r="X3" t="n">
        <v>3</v>
      </c>
      <c r="Y3" t="n">
        <v>2</v>
      </c>
      <c r="Z3" t="n">
        <v>4</v>
      </c>
      <c r="AA3" t="n">
        <v>3</v>
      </c>
      <c r="AB3" t="n">
        <v>3</v>
      </c>
      <c r="AC3" t="n">
        <v>4</v>
      </c>
      <c r="AD3" t="n">
        <v>4</v>
      </c>
      <c r="AE3" t="n">
        <v>3</v>
      </c>
      <c r="AF3" t="n">
        <v>3</v>
      </c>
      <c r="AG3" t="n">
        <v>4</v>
      </c>
      <c r="AH3" t="n">
        <v>3</v>
      </c>
      <c r="AI3" t="n">
        <v>4</v>
      </c>
      <c r="AJ3" t="n">
        <v>3</v>
      </c>
      <c r="AL3" t="n">
        <v>4</v>
      </c>
      <c r="AM3" t="n">
        <v>3</v>
      </c>
      <c r="AN3" t="n">
        <v>4</v>
      </c>
      <c r="AO3" t="n">
        <v>3</v>
      </c>
      <c r="AP3" t="n">
        <v>4</v>
      </c>
      <c r="AQ3" t="n">
        <v>2</v>
      </c>
      <c r="AR3" t="n">
        <v>3</v>
      </c>
      <c r="AS3" t="n">
        <v>2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4</v>
      </c>
      <c r="AZ3" t="n">
        <v>4</v>
      </c>
      <c r="BA3" t="n">
        <v>3</v>
      </c>
      <c r="BB3" t="n">
        <v>3</v>
      </c>
      <c r="BC3" t="n">
        <v>4</v>
      </c>
      <c r="BD3" t="n">
        <v>3</v>
      </c>
      <c r="BE3" t="n">
        <v>5</v>
      </c>
      <c r="BF3" t="n">
        <v>4</v>
      </c>
      <c r="BG3" t="n">
        <v>4</v>
      </c>
      <c r="BH3" t="n">
        <v>3</v>
      </c>
      <c r="BI3" t="n">
        <v>4</v>
      </c>
      <c r="BJ3" t="n">
        <v>3</v>
      </c>
      <c r="BK3" t="n">
        <v>4</v>
      </c>
      <c r="BL3" t="n">
        <v>4</v>
      </c>
      <c r="BM3" t="n">
        <v>3</v>
      </c>
      <c r="BN3" t="n">
        <v>3</v>
      </c>
      <c r="BO3" t="n">
        <v>4</v>
      </c>
      <c r="BP3" t="n">
        <v>3</v>
      </c>
      <c r="BQ3" t="n">
        <v>4</v>
      </c>
      <c r="BR3" t="n">
        <v>3</v>
      </c>
      <c r="BS3" s="56">
        <f>IF(COUNT(N3:W3)&gt;=8,AVERAGE(N3:W3),"")</f>
        <v/>
      </c>
      <c r="BT3" s="56">
        <f>IF(COUNT(X3:AE3)&gt;=7,AVERAGE(X3:AE3),"")</f>
        <v/>
      </c>
      <c r="BU3" s="56">
        <f>IF(COUNT(AF3:AM3)&gt;=7,AVERAGE(AF3:AM3),"")</f>
        <v/>
      </c>
      <c r="BV3" s="56">
        <f>IF(COUNT(AN3:AV3)&gt;=8,AVERAGE(AN3:AV3),"")</f>
        <v/>
      </c>
      <c r="BW3" s="56">
        <f>IF(COUNT(AW3:BD3)&gt;=7,AVERAGE(AW3:BD3),"")</f>
        <v/>
      </c>
      <c r="BX3" s="56">
        <f>IF(COUNT(BE3:BJ3)&gt;=5,AVERAGE(BE3:BJ3),"")</f>
        <v/>
      </c>
      <c r="BY3" s="56">
        <f>IF(COUNT(BK3:BR3)&gt;=7,AVERAGE(BK3:BR3),"")</f>
        <v/>
      </c>
    </row>
    <row r="4">
      <c r="A4" t="inlineStr">
        <is>
          <t>P003</t>
        </is>
      </c>
      <c r="B4" t="inlineStr">
        <is>
          <t>No</t>
        </is>
      </c>
      <c r="C4" t="inlineStr">
        <is>
          <t>Yes</t>
        </is>
      </c>
      <c r="D4" t="inlineStr">
        <is>
          <t>Female</t>
        </is>
      </c>
      <c r="E4" t="inlineStr">
        <is>
          <t>55 or above</t>
        </is>
      </c>
      <c r="F4" t="inlineStr">
        <is>
          <t>Postgraduate Diploma</t>
        </is>
      </c>
      <c r="G4" t="inlineStr">
        <is>
          <t>Commercial bank</t>
        </is>
      </c>
      <c r="H4" t="inlineStr">
        <is>
          <t>Customer Experience/Service</t>
        </is>
      </c>
      <c r="I4" t="inlineStr">
        <is>
          <t>2-5</t>
        </is>
      </c>
      <c r="J4" t="inlineStr">
        <is>
          <t>Yes</t>
        </is>
      </c>
      <c r="K4" t="n">
        <v>0</v>
      </c>
      <c r="L4" t="inlineStr">
        <is>
          <t>No</t>
        </is>
      </c>
      <c r="M4" t="inlineStr">
        <is>
          <t>No</t>
        </is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4</v>
      </c>
      <c r="T4" t="n">
        <v>2</v>
      </c>
      <c r="U4" t="n">
        <v>4</v>
      </c>
      <c r="V4" t="n">
        <v>5</v>
      </c>
      <c r="W4" t="n">
        <v>4</v>
      </c>
      <c r="X4" t="n">
        <v>3</v>
      </c>
      <c r="Y4" t="n">
        <v>2</v>
      </c>
      <c r="Z4" t="n">
        <v>2</v>
      </c>
      <c r="AA4" t="n">
        <v>3</v>
      </c>
      <c r="AB4" t="n">
        <v>4</v>
      </c>
      <c r="AC4" t="n">
        <v>4</v>
      </c>
      <c r="AD4" t="n">
        <v>4</v>
      </c>
      <c r="AE4" t="n">
        <v>3</v>
      </c>
      <c r="AF4" t="n">
        <v>3</v>
      </c>
      <c r="AG4" t="n">
        <v>4</v>
      </c>
      <c r="AH4" t="n">
        <v>3</v>
      </c>
      <c r="AI4" t="n">
        <v>3</v>
      </c>
      <c r="AJ4" t="n">
        <v>4</v>
      </c>
      <c r="AK4" t="n">
        <v>3</v>
      </c>
      <c r="AL4" t="n">
        <v>4</v>
      </c>
      <c r="AM4" t="n">
        <v>3</v>
      </c>
      <c r="AO4" t="n">
        <v>2</v>
      </c>
      <c r="AP4" t="n">
        <v>3</v>
      </c>
      <c r="AQ4" t="n">
        <v>4</v>
      </c>
      <c r="AR4" t="n">
        <v>4</v>
      </c>
      <c r="AS4" t="n">
        <v>3</v>
      </c>
      <c r="AT4" t="n">
        <v>3</v>
      </c>
      <c r="AU4" t="n">
        <v>3</v>
      </c>
      <c r="AV4" t="n">
        <v>4</v>
      </c>
      <c r="AW4" t="n">
        <v>4</v>
      </c>
      <c r="AX4" t="n">
        <v>3</v>
      </c>
      <c r="AY4" t="n">
        <v>3</v>
      </c>
      <c r="AZ4" t="n">
        <v>2</v>
      </c>
      <c r="BA4" t="n">
        <v>4</v>
      </c>
      <c r="BB4" t="n">
        <v>4</v>
      </c>
      <c r="BC4" t="n">
        <v>3</v>
      </c>
      <c r="BD4" t="n">
        <v>3</v>
      </c>
      <c r="BE4" t="n">
        <v>1</v>
      </c>
      <c r="BF4" t="n">
        <v>3</v>
      </c>
      <c r="BG4" t="n">
        <v>1</v>
      </c>
      <c r="BH4" t="n">
        <v>2</v>
      </c>
      <c r="BI4" t="n">
        <v>3</v>
      </c>
      <c r="BJ4" t="n">
        <v>2</v>
      </c>
      <c r="BK4" t="n">
        <v>3</v>
      </c>
      <c r="BL4" t="n">
        <v>3</v>
      </c>
      <c r="BM4" t="n">
        <v>2</v>
      </c>
      <c r="BN4" t="n">
        <v>4</v>
      </c>
      <c r="BO4" t="n">
        <v>2</v>
      </c>
      <c r="BP4" t="n">
        <v>3</v>
      </c>
      <c r="BQ4" t="n">
        <v>3</v>
      </c>
      <c r="BR4" t="n">
        <v>2</v>
      </c>
      <c r="BS4" s="56">
        <f>IF(COUNT(N4:W4)&gt;=8,AVERAGE(N4:W4),"")</f>
        <v/>
      </c>
      <c r="BT4" s="56">
        <f>IF(COUNT(X4:AE4)&gt;=7,AVERAGE(X4:AE4),"")</f>
        <v/>
      </c>
      <c r="BU4" s="56">
        <f>IF(COUNT(AF4:AM4)&gt;=7,AVERAGE(AF4:AM4),"")</f>
        <v/>
      </c>
      <c r="BV4" s="56">
        <f>IF(COUNT(AN4:AV4)&gt;=8,AVERAGE(AN4:AV4),"")</f>
        <v/>
      </c>
      <c r="BW4" s="56">
        <f>IF(COUNT(AW4:BD4)&gt;=7,AVERAGE(AW4:BD4),"")</f>
        <v/>
      </c>
      <c r="BX4" s="56">
        <f>IF(COUNT(BE4:BJ4)&gt;=5,AVERAGE(BE4:BJ4),"")</f>
        <v/>
      </c>
      <c r="BY4" s="56">
        <f>IF(COUNT(BK4:BR4)&gt;=7,AVERAGE(BK4:BR4),"")</f>
        <v/>
      </c>
    </row>
    <row r="5">
      <c r="A5" t="inlineStr">
        <is>
          <t>P004</t>
        </is>
      </c>
      <c r="B5" t="inlineStr">
        <is>
          <t>No</t>
        </is>
      </c>
      <c r="C5" t="inlineStr">
        <is>
          <t>Yes</t>
        </is>
      </c>
      <c r="D5" t="inlineStr">
        <is>
          <t>Female</t>
        </is>
      </c>
      <c r="E5" t="inlineStr">
        <is>
          <t>45-54</t>
        </is>
      </c>
      <c r="F5" t="inlineStr">
        <is>
          <t>Bachelor/HND</t>
        </is>
      </c>
      <c r="G5" t="inlineStr">
        <is>
          <t>Microfinance bank</t>
        </is>
      </c>
      <c r="H5" t="inlineStr">
        <is>
          <t>Management/Strategy</t>
        </is>
      </c>
      <c r="I5" t="inlineStr">
        <is>
          <t>2-5</t>
        </is>
      </c>
      <c r="J5" t="inlineStr">
        <is>
          <t>Yes</t>
        </is>
      </c>
      <c r="K5" t="n">
        <v>2</v>
      </c>
      <c r="L5" t="inlineStr">
        <is>
          <t>Yes</t>
        </is>
      </c>
      <c r="M5" t="inlineStr">
        <is>
          <t>No</t>
        </is>
      </c>
      <c r="N5" t="n">
        <v>4</v>
      </c>
      <c r="O5" t="n">
        <v>3</v>
      </c>
      <c r="P5" t="n">
        <v>5</v>
      </c>
      <c r="Q5" t="n">
        <v>4</v>
      </c>
      <c r="R5" t="n">
        <v>4</v>
      </c>
      <c r="S5" t="n">
        <v>5</v>
      </c>
      <c r="U5" t="n">
        <v>3</v>
      </c>
      <c r="V5" t="n">
        <v>4</v>
      </c>
      <c r="W5" t="n">
        <v>3</v>
      </c>
      <c r="X5" t="n">
        <v>3</v>
      </c>
      <c r="Y5" t="n">
        <v>4</v>
      </c>
      <c r="AA5" t="n">
        <v>4</v>
      </c>
      <c r="AB5" t="n">
        <v>3</v>
      </c>
      <c r="AC5" t="n">
        <v>4</v>
      </c>
      <c r="AD5" t="n">
        <v>4</v>
      </c>
      <c r="AE5" t="n">
        <v>3</v>
      </c>
      <c r="AF5" t="n">
        <v>3</v>
      </c>
      <c r="AG5" t="n">
        <v>5</v>
      </c>
      <c r="AH5" t="n">
        <v>3</v>
      </c>
      <c r="AI5" t="n">
        <v>3</v>
      </c>
      <c r="AJ5" t="n">
        <v>3</v>
      </c>
      <c r="AK5" t="n">
        <v>4</v>
      </c>
      <c r="AL5" t="n">
        <v>4</v>
      </c>
      <c r="AN5" t="n">
        <v>4</v>
      </c>
      <c r="AO5" t="n">
        <v>3</v>
      </c>
      <c r="AP5" t="n">
        <v>4</v>
      </c>
      <c r="AQ5" t="n">
        <v>3</v>
      </c>
      <c r="AR5" t="n">
        <v>5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3</v>
      </c>
      <c r="AY5" t="n">
        <v>4</v>
      </c>
      <c r="AZ5" t="n">
        <v>3</v>
      </c>
      <c r="BA5" t="n">
        <v>4</v>
      </c>
      <c r="BB5" t="n">
        <v>4</v>
      </c>
      <c r="BC5" t="n">
        <v>4</v>
      </c>
      <c r="BD5" t="n">
        <v>4</v>
      </c>
      <c r="BE5" t="n">
        <v>3</v>
      </c>
      <c r="BF5" t="n">
        <v>4</v>
      </c>
      <c r="BH5" t="n">
        <v>4</v>
      </c>
      <c r="BI5" t="n">
        <v>4</v>
      </c>
      <c r="BJ5" t="n">
        <v>3</v>
      </c>
      <c r="BK5" t="n">
        <v>3</v>
      </c>
      <c r="BL5" t="n">
        <v>2</v>
      </c>
      <c r="BM5" t="n">
        <v>2</v>
      </c>
      <c r="BN5" t="n">
        <v>3</v>
      </c>
      <c r="BO5" t="n">
        <v>3</v>
      </c>
      <c r="BP5" t="n">
        <v>2</v>
      </c>
      <c r="BQ5" t="n">
        <v>4</v>
      </c>
      <c r="BR5" t="n">
        <v>3</v>
      </c>
      <c r="BS5" s="56">
        <f>IF(COUNT(N5:W5)&gt;=8,AVERAGE(N5:W5),"")</f>
        <v/>
      </c>
      <c r="BT5" s="56">
        <f>IF(COUNT(X5:AE5)&gt;=7,AVERAGE(X5:AE5),"")</f>
        <v/>
      </c>
      <c r="BU5" s="56">
        <f>IF(COUNT(AF5:AM5)&gt;=7,AVERAGE(AF5:AM5),"")</f>
        <v/>
      </c>
      <c r="BV5" s="56">
        <f>IF(COUNT(AN5:AV5)&gt;=8,AVERAGE(AN5:AV5),"")</f>
        <v/>
      </c>
      <c r="BW5" s="56">
        <f>IF(COUNT(AW5:BD5)&gt;=7,AVERAGE(AW5:BD5),"")</f>
        <v/>
      </c>
      <c r="BX5" s="56">
        <f>IF(COUNT(BE5:BJ5)&gt;=5,AVERAGE(BE5:BJ5),"")</f>
        <v/>
      </c>
      <c r="BY5" s="56">
        <f>IF(COUNT(BK5:BR5)&gt;=7,AVERAGE(BK5:BR5),"")</f>
        <v/>
      </c>
    </row>
    <row r="6">
      <c r="A6" t="inlineStr">
        <is>
          <t>P005</t>
        </is>
      </c>
      <c r="B6" t="inlineStr">
        <is>
          <t>No</t>
        </is>
      </c>
      <c r="C6" t="inlineStr">
        <is>
          <t>Yes</t>
        </is>
      </c>
      <c r="D6" t="inlineStr">
        <is>
          <t>Male</t>
        </is>
      </c>
      <c r="E6" t="inlineStr">
        <is>
          <t>55 or above</t>
        </is>
      </c>
      <c r="F6" t="inlineStr">
        <is>
          <t>Master's</t>
        </is>
      </c>
      <c r="G6" t="inlineStr">
        <is>
          <t>Commercial bank</t>
        </is>
      </c>
      <c r="H6" t="inlineStr">
        <is>
          <t>Risk/Compliance</t>
        </is>
      </c>
      <c r="I6" t="inlineStr">
        <is>
          <t>2-5</t>
        </is>
      </c>
      <c r="J6" t="inlineStr">
        <is>
          <t>Yes</t>
        </is>
      </c>
      <c r="K6" t="n">
        <v>0</v>
      </c>
      <c r="L6" t="inlineStr">
        <is>
          <t>No</t>
        </is>
      </c>
      <c r="M6" t="inlineStr">
        <is>
          <t>No</t>
        </is>
      </c>
      <c r="N6" t="n">
        <v>3</v>
      </c>
      <c r="O6" t="n">
        <v>2</v>
      </c>
      <c r="P6" t="n">
        <v>3</v>
      </c>
      <c r="Q6" t="n">
        <v>3</v>
      </c>
      <c r="R6" t="n">
        <v>3</v>
      </c>
      <c r="S6" t="n">
        <v>2</v>
      </c>
      <c r="T6" t="n">
        <v>2</v>
      </c>
      <c r="U6" t="n">
        <v>2</v>
      </c>
      <c r="V6" t="n">
        <v>2</v>
      </c>
      <c r="W6" t="n">
        <v>3</v>
      </c>
      <c r="X6" t="n">
        <v>3</v>
      </c>
      <c r="Y6" t="n">
        <v>3</v>
      </c>
      <c r="Z6" t="n">
        <v>3</v>
      </c>
      <c r="AA6" t="n">
        <v>2</v>
      </c>
      <c r="AB6" t="n">
        <v>2</v>
      </c>
      <c r="AC6" t="n">
        <v>3</v>
      </c>
      <c r="AD6" t="n">
        <v>3</v>
      </c>
      <c r="AE6" t="n">
        <v>3</v>
      </c>
      <c r="AF6" t="n">
        <v>4</v>
      </c>
      <c r="AG6" t="n">
        <v>2</v>
      </c>
      <c r="AH6" t="n">
        <v>2</v>
      </c>
      <c r="AI6" t="n">
        <v>3</v>
      </c>
      <c r="AJ6" t="n">
        <v>2</v>
      </c>
      <c r="AK6" t="n">
        <v>3</v>
      </c>
      <c r="AL6" t="n">
        <v>2</v>
      </c>
      <c r="AM6" t="n">
        <v>3</v>
      </c>
      <c r="AN6" t="n">
        <v>1</v>
      </c>
      <c r="AO6" t="n">
        <v>2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3</v>
      </c>
      <c r="AV6" t="n">
        <v>2</v>
      </c>
      <c r="AW6" t="n">
        <v>3</v>
      </c>
      <c r="AX6" t="n">
        <v>1</v>
      </c>
      <c r="AY6" t="n">
        <v>2</v>
      </c>
      <c r="AZ6" t="n">
        <v>2</v>
      </c>
      <c r="BA6" t="n">
        <v>2</v>
      </c>
      <c r="BB6" t="n">
        <v>1</v>
      </c>
      <c r="BC6" t="n">
        <v>3</v>
      </c>
      <c r="BD6" t="n">
        <v>2</v>
      </c>
      <c r="BE6" t="n">
        <v>2</v>
      </c>
      <c r="BF6" t="n">
        <v>4</v>
      </c>
      <c r="BG6" t="n">
        <v>3</v>
      </c>
      <c r="BH6" t="n">
        <v>4</v>
      </c>
      <c r="BI6" t="n">
        <v>4</v>
      </c>
      <c r="BJ6" t="n">
        <v>3</v>
      </c>
      <c r="BK6" t="n">
        <v>3</v>
      </c>
      <c r="BL6" t="n">
        <v>3</v>
      </c>
      <c r="BM6" t="n">
        <v>4</v>
      </c>
      <c r="BN6" t="n">
        <v>3</v>
      </c>
      <c r="BO6" t="n">
        <v>3</v>
      </c>
      <c r="BP6" t="n">
        <v>2</v>
      </c>
      <c r="BQ6" t="n">
        <v>4</v>
      </c>
      <c r="BR6" t="n">
        <v>2</v>
      </c>
      <c r="BS6" s="56">
        <f>IF(COUNT(N6:W6)&gt;=8,AVERAGE(N6:W6),"")</f>
        <v/>
      </c>
      <c r="BT6" s="56">
        <f>IF(COUNT(X6:AE6)&gt;=7,AVERAGE(X6:AE6),"")</f>
        <v/>
      </c>
      <c r="BU6" s="56">
        <f>IF(COUNT(AF6:AM6)&gt;=7,AVERAGE(AF6:AM6),"")</f>
        <v/>
      </c>
      <c r="BV6" s="56">
        <f>IF(COUNT(AN6:AV6)&gt;=8,AVERAGE(AN6:AV6),"")</f>
        <v/>
      </c>
      <c r="BW6" s="56">
        <f>IF(COUNT(AW6:BD6)&gt;=7,AVERAGE(AW6:BD6),"")</f>
        <v/>
      </c>
      <c r="BX6" s="56">
        <f>IF(COUNT(BE6:BJ6)&gt;=5,AVERAGE(BE6:BJ6),"")</f>
        <v/>
      </c>
      <c r="BY6" s="56">
        <f>IF(COUNT(BK6:BR6)&gt;=7,AVERAGE(BK6:BR6),"")</f>
        <v/>
      </c>
    </row>
    <row r="7">
      <c r="A7" t="inlineStr">
        <is>
          <t>P006</t>
        </is>
      </c>
      <c r="B7" t="inlineStr">
        <is>
          <t>No</t>
        </is>
      </c>
      <c r="C7" t="inlineStr">
        <is>
          <t>Yes</t>
        </is>
      </c>
      <c r="D7" t="inlineStr">
        <is>
          <t>Female</t>
        </is>
      </c>
      <c r="E7" t="inlineStr">
        <is>
          <t>35-44</t>
        </is>
      </c>
      <c r="F7" t="inlineStr">
        <is>
          <t>Bachelor/HND</t>
        </is>
      </c>
      <c r="G7" t="inlineStr">
        <is>
          <t>Commercial bank</t>
        </is>
      </c>
      <c r="H7" t="inlineStr">
        <is>
          <t>Digital Banking/Product</t>
        </is>
      </c>
      <c r="I7" t="inlineStr">
        <is>
          <t>Less than 2</t>
        </is>
      </c>
      <c r="J7" t="inlineStr">
        <is>
          <t>Yes</t>
        </is>
      </c>
      <c r="K7" t="n">
        <v>4</v>
      </c>
      <c r="L7" t="inlineStr">
        <is>
          <t>Yes</t>
        </is>
      </c>
      <c r="M7" t="inlineStr">
        <is>
          <t>No</t>
        </is>
      </c>
      <c r="N7" t="n">
        <v>2</v>
      </c>
      <c r="O7" t="n">
        <v>2</v>
      </c>
      <c r="P7" t="n">
        <v>2</v>
      </c>
      <c r="Q7" t="n">
        <v>2</v>
      </c>
      <c r="R7" t="n">
        <v>3</v>
      </c>
      <c r="S7" t="n">
        <v>3</v>
      </c>
      <c r="T7" t="n">
        <v>2</v>
      </c>
      <c r="U7" t="n">
        <v>4</v>
      </c>
      <c r="V7" t="n">
        <v>3</v>
      </c>
      <c r="W7" t="n">
        <v>2</v>
      </c>
      <c r="Y7" t="n">
        <v>3</v>
      </c>
      <c r="Z7" t="n">
        <v>5</v>
      </c>
      <c r="AA7" t="n">
        <v>3</v>
      </c>
      <c r="AB7" t="n">
        <v>4</v>
      </c>
      <c r="AC7" t="n">
        <v>4</v>
      </c>
      <c r="AD7" t="n">
        <v>3</v>
      </c>
      <c r="AE7" t="n">
        <v>3</v>
      </c>
      <c r="AF7" t="n">
        <v>4</v>
      </c>
      <c r="AG7" t="n">
        <v>2</v>
      </c>
      <c r="AH7" t="n">
        <v>3</v>
      </c>
      <c r="AI7" t="n">
        <v>4</v>
      </c>
      <c r="AJ7" t="n">
        <v>2</v>
      </c>
      <c r="AK7" t="n">
        <v>5</v>
      </c>
      <c r="AL7" t="n">
        <v>4</v>
      </c>
      <c r="AM7" t="n">
        <v>3</v>
      </c>
      <c r="AN7" t="n">
        <v>4</v>
      </c>
      <c r="AO7" t="n">
        <v>4</v>
      </c>
      <c r="AP7" t="n">
        <v>4</v>
      </c>
      <c r="AQ7" t="n">
        <v>5</v>
      </c>
      <c r="AR7" t="n">
        <v>3</v>
      </c>
      <c r="AS7" t="n">
        <v>3</v>
      </c>
      <c r="AT7" t="n">
        <v>4</v>
      </c>
      <c r="AU7" t="n">
        <v>3</v>
      </c>
      <c r="AV7" t="n">
        <v>4</v>
      </c>
      <c r="AW7" t="n">
        <v>2</v>
      </c>
      <c r="AX7" t="n">
        <v>3</v>
      </c>
      <c r="AY7" t="n">
        <v>3</v>
      </c>
      <c r="AZ7" t="n">
        <v>2</v>
      </c>
      <c r="BA7" t="n">
        <v>3</v>
      </c>
      <c r="BB7" t="n">
        <v>3</v>
      </c>
      <c r="BC7" t="n">
        <v>4</v>
      </c>
      <c r="BD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2</v>
      </c>
      <c r="BM7" t="n">
        <v>4</v>
      </c>
      <c r="BN7" t="n">
        <v>3</v>
      </c>
      <c r="BO7" t="n">
        <v>3</v>
      </c>
      <c r="BP7" t="n">
        <v>2</v>
      </c>
      <c r="BQ7" t="n">
        <v>3</v>
      </c>
      <c r="BS7" s="56">
        <f>IF(COUNT(N7:W7)&gt;=8,AVERAGE(N7:W7),"")</f>
        <v/>
      </c>
      <c r="BT7" s="56">
        <f>IF(COUNT(X7:AE7)&gt;=7,AVERAGE(X7:AE7),"")</f>
        <v/>
      </c>
      <c r="BU7" s="56">
        <f>IF(COUNT(AF7:AM7)&gt;=7,AVERAGE(AF7:AM7),"")</f>
        <v/>
      </c>
      <c r="BV7" s="56">
        <f>IF(COUNT(AN7:AV7)&gt;=8,AVERAGE(AN7:AV7),"")</f>
        <v/>
      </c>
      <c r="BW7" s="56">
        <f>IF(COUNT(AW7:BD7)&gt;=7,AVERAGE(AW7:BD7),"")</f>
        <v/>
      </c>
      <c r="BX7" s="56">
        <f>IF(COUNT(BE7:BJ7)&gt;=5,AVERAGE(BE7:BJ7),"")</f>
        <v/>
      </c>
      <c r="BY7" s="56">
        <f>IF(COUNT(BK7:BR7)&gt;=7,AVERAGE(BK7:BR7),"")</f>
        <v/>
      </c>
    </row>
    <row r="8">
      <c r="A8" t="inlineStr">
        <is>
          <t>P007</t>
        </is>
      </c>
      <c r="B8" t="inlineStr">
        <is>
          <t>No</t>
        </is>
      </c>
      <c r="C8" t="inlineStr">
        <is>
          <t>Yes</t>
        </is>
      </c>
      <c r="D8" t="inlineStr">
        <is>
          <t>Male</t>
        </is>
      </c>
      <c r="E8" t="inlineStr">
        <is>
          <t>25-34</t>
        </is>
      </c>
      <c r="F8" t="inlineStr">
        <is>
          <t>Diploma/OND/NCE</t>
        </is>
      </c>
      <c r="G8" t="inlineStr">
        <is>
          <t>Digital bank/neobank</t>
        </is>
      </c>
      <c r="H8" t="inlineStr">
        <is>
          <t>IT/Technology</t>
        </is>
      </c>
      <c r="I8" t="inlineStr">
        <is>
          <t>16 or more</t>
        </is>
      </c>
      <c r="J8" t="inlineStr">
        <is>
          <t>Yes</t>
        </is>
      </c>
      <c r="K8" t="n">
        <v>2</v>
      </c>
      <c r="L8" t="inlineStr">
        <is>
          <t>Yes</t>
        </is>
      </c>
      <c r="M8" t="inlineStr">
        <is>
          <t>No</t>
        </is>
      </c>
      <c r="N8" t="n">
        <v>3</v>
      </c>
      <c r="O8" t="n">
        <v>3</v>
      </c>
      <c r="P8" t="n">
        <v>3</v>
      </c>
      <c r="Q8" t="n">
        <v>2</v>
      </c>
      <c r="R8" t="n">
        <v>3</v>
      </c>
      <c r="S8" t="n">
        <v>3</v>
      </c>
      <c r="T8" t="n">
        <v>2</v>
      </c>
      <c r="U8" t="n">
        <v>3</v>
      </c>
      <c r="V8" t="n">
        <v>3</v>
      </c>
      <c r="W8" t="n">
        <v>2</v>
      </c>
      <c r="X8" t="n">
        <v>3</v>
      </c>
      <c r="Y8" t="n">
        <v>2</v>
      </c>
      <c r="Z8" t="n">
        <v>3</v>
      </c>
      <c r="AA8" t="n">
        <v>3</v>
      </c>
      <c r="AB8" t="n">
        <v>2</v>
      </c>
      <c r="AC8" t="n">
        <v>2</v>
      </c>
      <c r="AD8" t="n">
        <v>3</v>
      </c>
      <c r="AE8" t="n">
        <v>1</v>
      </c>
      <c r="AF8" t="n">
        <v>2</v>
      </c>
      <c r="AG8" t="n">
        <v>2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4</v>
      </c>
      <c r="AN8" t="n">
        <v>3</v>
      </c>
      <c r="AP8" t="n">
        <v>2</v>
      </c>
      <c r="AQ8" t="n">
        <v>2</v>
      </c>
      <c r="AR8" t="n">
        <v>4</v>
      </c>
      <c r="AS8" t="n">
        <v>4</v>
      </c>
      <c r="AT8" t="n">
        <v>3</v>
      </c>
      <c r="AU8" t="n">
        <v>3</v>
      </c>
      <c r="AV8" t="n">
        <v>4</v>
      </c>
      <c r="AW8" t="n">
        <v>2</v>
      </c>
      <c r="AX8" t="n">
        <v>2</v>
      </c>
      <c r="AY8" t="n">
        <v>2</v>
      </c>
      <c r="AZ8" t="n">
        <v>2</v>
      </c>
      <c r="BA8" t="n">
        <v>4</v>
      </c>
      <c r="BB8" t="n">
        <v>3</v>
      </c>
      <c r="BC8" t="n">
        <v>3</v>
      </c>
      <c r="BD8" t="n">
        <v>3</v>
      </c>
      <c r="BE8" t="n">
        <v>4</v>
      </c>
      <c r="BF8" t="n">
        <v>5</v>
      </c>
      <c r="BG8" t="n">
        <v>3</v>
      </c>
      <c r="BH8" t="n">
        <v>4</v>
      </c>
      <c r="BI8" t="n">
        <v>3</v>
      </c>
      <c r="BJ8" t="n">
        <v>3</v>
      </c>
      <c r="BK8" t="n">
        <v>3</v>
      </c>
      <c r="BL8" t="n">
        <v>2</v>
      </c>
      <c r="BM8" t="n">
        <v>3</v>
      </c>
      <c r="BN8" t="n">
        <v>3</v>
      </c>
      <c r="BO8" t="n">
        <v>4</v>
      </c>
      <c r="BP8" t="n">
        <v>4</v>
      </c>
      <c r="BQ8" t="n">
        <v>4</v>
      </c>
      <c r="BR8" t="n">
        <v>3</v>
      </c>
      <c r="BS8" s="56">
        <f>IF(COUNT(N8:W8)&gt;=8,AVERAGE(N8:W8),"")</f>
        <v/>
      </c>
      <c r="BT8" s="56">
        <f>IF(COUNT(X8:AE8)&gt;=7,AVERAGE(X8:AE8),"")</f>
        <v/>
      </c>
      <c r="BU8" s="56">
        <f>IF(COUNT(AF8:AM8)&gt;=7,AVERAGE(AF8:AM8),"")</f>
        <v/>
      </c>
      <c r="BV8" s="56">
        <f>IF(COUNT(AN8:AV8)&gt;=8,AVERAGE(AN8:AV8),"")</f>
        <v/>
      </c>
      <c r="BW8" s="56">
        <f>IF(COUNT(AW8:BD8)&gt;=7,AVERAGE(AW8:BD8),"")</f>
        <v/>
      </c>
      <c r="BX8" s="56">
        <f>IF(COUNT(BE8:BJ8)&gt;=5,AVERAGE(BE8:BJ8),"")</f>
        <v/>
      </c>
      <c r="BY8" s="56">
        <f>IF(COUNT(BK8:BR8)&gt;=7,AVERAGE(BK8:BR8),"")</f>
        <v/>
      </c>
    </row>
    <row r="9">
      <c r="A9" t="inlineStr">
        <is>
          <t>P008</t>
        </is>
      </c>
      <c r="B9" t="inlineStr">
        <is>
          <t>No</t>
        </is>
      </c>
      <c r="C9" t="inlineStr">
        <is>
          <t>Yes</t>
        </is>
      </c>
      <c r="D9" t="inlineStr">
        <is>
          <t>Male</t>
        </is>
      </c>
      <c r="E9" t="inlineStr">
        <is>
          <t>18-24</t>
        </is>
      </c>
      <c r="F9" t="inlineStr">
        <is>
          <t>Bachelor/HND</t>
        </is>
      </c>
      <c r="G9" t="inlineStr">
        <is>
          <t>Commercial bank</t>
        </is>
      </c>
      <c r="H9" t="inlineStr">
        <is>
          <t>Relationship/Marketing</t>
        </is>
      </c>
      <c r="I9" t="inlineStr">
        <is>
          <t>Less than 2</t>
        </is>
      </c>
      <c r="J9" t="inlineStr">
        <is>
          <t>Yes</t>
        </is>
      </c>
      <c r="K9" t="n">
        <v>2</v>
      </c>
      <c r="L9" t="inlineStr">
        <is>
          <t>Yes</t>
        </is>
      </c>
      <c r="M9" t="inlineStr">
        <is>
          <t>No</t>
        </is>
      </c>
      <c r="N9" t="n">
        <v>3</v>
      </c>
      <c r="O9" t="n">
        <v>2</v>
      </c>
      <c r="P9" t="n">
        <v>3</v>
      </c>
      <c r="Q9" t="n">
        <v>2</v>
      </c>
      <c r="R9" t="n">
        <v>1</v>
      </c>
      <c r="S9" t="n">
        <v>2</v>
      </c>
      <c r="T9" t="n">
        <v>2</v>
      </c>
      <c r="U9" t="n">
        <v>2</v>
      </c>
      <c r="V9" t="n">
        <v>4</v>
      </c>
      <c r="W9" t="n">
        <v>2</v>
      </c>
      <c r="X9" t="n">
        <v>3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2</v>
      </c>
      <c r="AE9" t="n">
        <v>1</v>
      </c>
      <c r="AF9" t="n">
        <v>2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3</v>
      </c>
      <c r="AM9" t="n">
        <v>2</v>
      </c>
      <c r="AN9" t="n">
        <v>3</v>
      </c>
      <c r="AO9" t="n">
        <v>3</v>
      </c>
      <c r="AP9" t="n">
        <v>3</v>
      </c>
      <c r="AQ9" t="n">
        <v>2</v>
      </c>
      <c r="AR9" t="n">
        <v>3</v>
      </c>
      <c r="AS9" t="n">
        <v>3</v>
      </c>
      <c r="AT9" t="n">
        <v>3</v>
      </c>
      <c r="AU9" t="n">
        <v>2</v>
      </c>
      <c r="AV9" t="n">
        <v>2</v>
      </c>
      <c r="AW9" t="n">
        <v>3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2</v>
      </c>
      <c r="BD9" t="n">
        <v>1</v>
      </c>
      <c r="BE9" t="n">
        <v>3</v>
      </c>
      <c r="BF9" t="n">
        <v>5</v>
      </c>
      <c r="BG9" t="n">
        <v>3</v>
      </c>
      <c r="BH9" t="n">
        <v>4</v>
      </c>
      <c r="BI9" t="n">
        <v>4</v>
      </c>
      <c r="BJ9" t="n">
        <v>3</v>
      </c>
      <c r="BK9" t="n">
        <v>3</v>
      </c>
      <c r="BL9" t="n">
        <v>3</v>
      </c>
      <c r="BM9" t="n">
        <v>4</v>
      </c>
      <c r="BN9" t="n">
        <v>3</v>
      </c>
      <c r="BO9" t="n">
        <v>4</v>
      </c>
      <c r="BQ9" t="n">
        <v>4</v>
      </c>
      <c r="BR9" t="n">
        <v>3</v>
      </c>
      <c r="BS9" s="56">
        <f>IF(COUNT(N9:W9)&gt;=8,AVERAGE(N9:W9),"")</f>
        <v/>
      </c>
      <c r="BT9" s="56">
        <f>IF(COUNT(X9:AE9)&gt;=7,AVERAGE(X9:AE9),"")</f>
        <v/>
      </c>
      <c r="BU9" s="56">
        <f>IF(COUNT(AF9:AM9)&gt;=7,AVERAGE(AF9:AM9),"")</f>
        <v/>
      </c>
      <c r="BV9" s="56">
        <f>IF(COUNT(AN9:AV9)&gt;=8,AVERAGE(AN9:AV9),"")</f>
        <v/>
      </c>
      <c r="BW9" s="56">
        <f>IF(COUNT(AW9:BD9)&gt;=7,AVERAGE(AW9:BD9),"")</f>
        <v/>
      </c>
      <c r="BX9" s="56">
        <f>IF(COUNT(BE9:BJ9)&gt;=5,AVERAGE(BE9:BJ9),"")</f>
        <v/>
      </c>
      <c r="BY9" s="56">
        <f>IF(COUNT(BK9:BR9)&gt;=7,AVERAGE(BK9:BR9),"")</f>
        <v/>
      </c>
    </row>
    <row r="10">
      <c r="A10" t="inlineStr">
        <is>
          <t>P009</t>
        </is>
      </c>
      <c r="B10" t="inlineStr">
        <is>
          <t>No</t>
        </is>
      </c>
      <c r="C10" t="inlineStr">
        <is>
          <t>Yes</t>
        </is>
      </c>
      <c r="D10" t="inlineStr">
        <is>
          <t>Male</t>
        </is>
      </c>
      <c r="E10" t="inlineStr">
        <is>
          <t>25-34</t>
        </is>
      </c>
      <c r="F10" t="inlineStr">
        <is>
          <t>Bachelor/HND</t>
        </is>
      </c>
      <c r="G10" t="inlineStr">
        <is>
          <t>Microfinance bank</t>
        </is>
      </c>
      <c r="H10" t="inlineStr">
        <is>
          <t>IT/Technology</t>
        </is>
      </c>
      <c r="I10" t="inlineStr">
        <is>
          <t>Less than 2</t>
        </is>
      </c>
      <c r="J10" t="inlineStr">
        <is>
          <t>Yes</t>
        </is>
      </c>
      <c r="K10" t="n">
        <v>1</v>
      </c>
      <c r="L10" t="inlineStr">
        <is>
          <t>No</t>
        </is>
      </c>
      <c r="M10" t="inlineStr">
        <is>
          <t>No</t>
        </is>
      </c>
      <c r="N10" t="n">
        <v>4</v>
      </c>
      <c r="O10" t="n">
        <v>3</v>
      </c>
      <c r="P10" t="n">
        <v>5</v>
      </c>
      <c r="Q10" t="n">
        <v>4</v>
      </c>
      <c r="R10" t="n">
        <v>4</v>
      </c>
      <c r="S10" t="n">
        <v>5</v>
      </c>
      <c r="T10" t="n">
        <v>4</v>
      </c>
      <c r="U10" t="n">
        <v>4</v>
      </c>
      <c r="V10" t="n">
        <v>4</v>
      </c>
      <c r="W10" t="n">
        <v>4</v>
      </c>
      <c r="X10" t="n">
        <v>1</v>
      </c>
      <c r="Y10" t="n">
        <v>2</v>
      </c>
      <c r="Z10" t="n">
        <v>3</v>
      </c>
      <c r="AA10" t="n">
        <v>3</v>
      </c>
      <c r="AB10" t="n">
        <v>2</v>
      </c>
      <c r="AC10" t="n">
        <v>3</v>
      </c>
      <c r="AD10" t="n">
        <v>3</v>
      </c>
      <c r="AE10" t="n">
        <v>3</v>
      </c>
      <c r="AF10" t="n">
        <v>2</v>
      </c>
      <c r="AG10" t="n">
        <v>3</v>
      </c>
      <c r="AH10" t="n">
        <v>2</v>
      </c>
      <c r="AI10" t="n">
        <v>4</v>
      </c>
      <c r="AJ10" t="n">
        <v>2</v>
      </c>
      <c r="AK10" t="n">
        <v>3</v>
      </c>
      <c r="AL10" t="n">
        <v>3</v>
      </c>
      <c r="AM10" t="n">
        <v>2</v>
      </c>
      <c r="AN10" t="n">
        <v>4</v>
      </c>
      <c r="AO10" t="n">
        <v>4</v>
      </c>
      <c r="AP10" t="n">
        <v>3</v>
      </c>
      <c r="AQ10" t="n">
        <v>3</v>
      </c>
      <c r="AR10" t="n">
        <v>4</v>
      </c>
      <c r="AS10" t="n">
        <v>4</v>
      </c>
      <c r="AT10" t="n">
        <v>3</v>
      </c>
      <c r="AU10" t="n">
        <v>4</v>
      </c>
      <c r="AV10" t="n">
        <v>3</v>
      </c>
      <c r="AW10" t="n">
        <v>3</v>
      </c>
      <c r="AX10" t="n">
        <v>2</v>
      </c>
      <c r="AZ10" t="n">
        <v>1</v>
      </c>
      <c r="BA10" t="n">
        <v>2</v>
      </c>
      <c r="BB10" t="n">
        <v>2</v>
      </c>
      <c r="BC10" t="n">
        <v>2</v>
      </c>
      <c r="BD10" t="n">
        <v>2</v>
      </c>
      <c r="BE10" t="n">
        <v>4</v>
      </c>
      <c r="BF10" t="n">
        <v>3</v>
      </c>
      <c r="BG10" t="n">
        <v>2</v>
      </c>
      <c r="BH10" t="n">
        <v>3</v>
      </c>
      <c r="BI10" t="n">
        <v>2</v>
      </c>
      <c r="BJ10" t="n">
        <v>3</v>
      </c>
      <c r="BK10" t="n">
        <v>4</v>
      </c>
      <c r="BL10" t="n">
        <v>3</v>
      </c>
      <c r="BM10" t="n">
        <v>5</v>
      </c>
      <c r="BN10" t="n">
        <v>3</v>
      </c>
      <c r="BO10" t="n">
        <v>3</v>
      </c>
      <c r="BP10" t="n">
        <v>3</v>
      </c>
      <c r="BQ10" t="n">
        <v>4</v>
      </c>
      <c r="BR10" t="n">
        <v>3</v>
      </c>
      <c r="BS10" s="56">
        <f>IF(COUNT(N10:W10)&gt;=8,AVERAGE(N10:W10),"")</f>
        <v/>
      </c>
      <c r="BT10" s="56">
        <f>IF(COUNT(X10:AE10)&gt;=7,AVERAGE(X10:AE10),"")</f>
        <v/>
      </c>
      <c r="BU10" s="56">
        <f>IF(COUNT(AF10:AM10)&gt;=7,AVERAGE(AF10:AM10),"")</f>
        <v/>
      </c>
      <c r="BV10" s="56">
        <f>IF(COUNT(AN10:AV10)&gt;=8,AVERAGE(AN10:AV10),"")</f>
        <v/>
      </c>
      <c r="BW10" s="56">
        <f>IF(COUNT(AW10:BD10)&gt;=7,AVERAGE(AW10:BD10),"")</f>
        <v/>
      </c>
      <c r="BX10" s="56">
        <f>IF(COUNT(BE10:BJ10)&gt;=5,AVERAGE(BE10:BJ10),"")</f>
        <v/>
      </c>
      <c r="BY10" s="56">
        <f>IF(COUNT(BK10:BR10)&gt;=7,AVERAGE(BK10:BR10),"")</f>
        <v/>
      </c>
    </row>
    <row r="11">
      <c r="A11" t="inlineStr">
        <is>
          <t>P010</t>
        </is>
      </c>
      <c r="B11" t="inlineStr">
        <is>
          <t>No</t>
        </is>
      </c>
      <c r="C11" t="inlineStr">
        <is>
          <t>Yes</t>
        </is>
      </c>
      <c r="D11" t="inlineStr">
        <is>
          <t>Female</t>
        </is>
      </c>
      <c r="E11" t="inlineStr">
        <is>
          <t>25-34</t>
        </is>
      </c>
      <c r="F11" t="inlineStr">
        <is>
          <t>Bachelor/HND</t>
        </is>
      </c>
      <c r="G11" t="inlineStr">
        <is>
          <t>Merchant bank</t>
        </is>
      </c>
      <c r="H11" t="inlineStr">
        <is>
          <t>IT/Technology</t>
        </is>
      </c>
      <c r="I11" t="inlineStr">
        <is>
          <t>Less than 2</t>
        </is>
      </c>
      <c r="J11" t="inlineStr">
        <is>
          <t>Yes</t>
        </is>
      </c>
      <c r="K11" t="n">
        <v>0</v>
      </c>
      <c r="L11" t="inlineStr">
        <is>
          <t>Yes</t>
        </is>
      </c>
      <c r="M11" t="inlineStr">
        <is>
          <t>No</t>
        </is>
      </c>
      <c r="N11" t="n">
        <v>4</v>
      </c>
      <c r="O11" t="n">
        <v>2</v>
      </c>
      <c r="P11" t="n">
        <v>4</v>
      </c>
      <c r="Q11" t="n">
        <v>3</v>
      </c>
      <c r="R11" t="n">
        <v>4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2</v>
      </c>
      <c r="Y11" t="n">
        <v>2</v>
      </c>
      <c r="Z11" t="n">
        <v>2</v>
      </c>
      <c r="AA11" t="n">
        <v>2</v>
      </c>
      <c r="AB11" t="n">
        <v>1</v>
      </c>
      <c r="AC11" t="n">
        <v>2</v>
      </c>
      <c r="AD11" t="n">
        <v>3</v>
      </c>
      <c r="AE11" t="n">
        <v>2</v>
      </c>
      <c r="AF11" t="n">
        <v>4</v>
      </c>
      <c r="AG11" t="n">
        <v>3</v>
      </c>
      <c r="AH11" t="n">
        <v>5</v>
      </c>
      <c r="AI11" t="n">
        <v>3</v>
      </c>
      <c r="AJ11" t="n">
        <v>3</v>
      </c>
      <c r="AK11" t="n">
        <v>3</v>
      </c>
      <c r="AL11" t="n">
        <v>4</v>
      </c>
      <c r="AM11" t="n">
        <v>4</v>
      </c>
      <c r="AN11" t="n">
        <v>4</v>
      </c>
      <c r="AP11" t="n">
        <v>4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4</v>
      </c>
      <c r="AY11" t="n">
        <v>2</v>
      </c>
      <c r="AZ11" t="n">
        <v>3</v>
      </c>
      <c r="BA11" t="n">
        <v>4</v>
      </c>
      <c r="BB11" t="n">
        <v>3</v>
      </c>
      <c r="BC11" t="n">
        <v>4</v>
      </c>
      <c r="BD11" t="n">
        <v>3</v>
      </c>
      <c r="BE11" t="n">
        <v>3</v>
      </c>
      <c r="BF11" t="n">
        <v>2</v>
      </c>
      <c r="BG11" t="n">
        <v>1</v>
      </c>
      <c r="BH11" t="n">
        <v>3</v>
      </c>
      <c r="BI11" t="n">
        <v>3</v>
      </c>
      <c r="BJ11" t="n">
        <v>2</v>
      </c>
      <c r="BK11" t="n">
        <v>2</v>
      </c>
      <c r="BL11" t="n">
        <v>2</v>
      </c>
      <c r="BM11" t="n">
        <v>4</v>
      </c>
      <c r="BN11" t="n">
        <v>3</v>
      </c>
      <c r="BO11" t="n">
        <v>3</v>
      </c>
      <c r="BP11" t="n">
        <v>2</v>
      </c>
      <c r="BQ11" t="n">
        <v>3</v>
      </c>
      <c r="BR11" t="n">
        <v>2</v>
      </c>
      <c r="BS11" s="56">
        <f>IF(COUNT(N11:W11)&gt;=8,AVERAGE(N11:W11),"")</f>
        <v/>
      </c>
      <c r="BT11" s="56">
        <f>IF(COUNT(X11:AE11)&gt;=7,AVERAGE(X11:AE11),"")</f>
        <v/>
      </c>
      <c r="BU11" s="56">
        <f>IF(COUNT(AF11:AM11)&gt;=7,AVERAGE(AF11:AM11),"")</f>
        <v/>
      </c>
      <c r="BV11" s="56">
        <f>IF(COUNT(AN11:AV11)&gt;=8,AVERAGE(AN11:AV11),"")</f>
        <v/>
      </c>
      <c r="BW11" s="56">
        <f>IF(COUNT(AW11:BD11)&gt;=7,AVERAGE(AW11:BD11),"")</f>
        <v/>
      </c>
      <c r="BX11" s="56">
        <f>IF(COUNT(BE11:BJ11)&gt;=5,AVERAGE(BE11:BJ11),"")</f>
        <v/>
      </c>
      <c r="BY11" s="56">
        <f>IF(COUNT(BK11:BR11)&gt;=7,AVERAGE(BK11:BR11),"")</f>
        <v/>
      </c>
    </row>
    <row r="12">
      <c r="A12" t="inlineStr">
        <is>
          <t>P011</t>
        </is>
      </c>
      <c r="B12" t="inlineStr">
        <is>
          <t>No</t>
        </is>
      </c>
      <c r="C12" t="inlineStr">
        <is>
          <t>Yes</t>
        </is>
      </c>
      <c r="D12" t="inlineStr">
        <is>
          <t>Female</t>
        </is>
      </c>
      <c r="E12" t="inlineStr">
        <is>
          <t>25-34</t>
        </is>
      </c>
      <c r="F12" t="inlineStr">
        <is>
          <t>Doctorate</t>
        </is>
      </c>
      <c r="G12" t="inlineStr">
        <is>
          <t>Commercial bank</t>
        </is>
      </c>
      <c r="H12" t="inlineStr">
        <is>
          <t>Other</t>
        </is>
      </c>
      <c r="I12" t="inlineStr">
        <is>
          <t>Less than 2</t>
        </is>
      </c>
      <c r="J12" t="inlineStr">
        <is>
          <t>Yes</t>
        </is>
      </c>
      <c r="K12" t="n">
        <v>1</v>
      </c>
      <c r="L12" t="inlineStr">
        <is>
          <t>No</t>
        </is>
      </c>
      <c r="M12" t="inlineStr">
        <is>
          <t>No</t>
        </is>
      </c>
      <c r="N12" t="n">
        <v>2</v>
      </c>
      <c r="O12" t="n">
        <v>3</v>
      </c>
      <c r="P12" t="n">
        <v>2</v>
      </c>
      <c r="Q12" t="n">
        <v>2</v>
      </c>
      <c r="R12" t="n">
        <v>3</v>
      </c>
      <c r="S12" t="n">
        <v>4</v>
      </c>
      <c r="T12" t="n">
        <v>1</v>
      </c>
      <c r="U12" t="n">
        <v>2</v>
      </c>
      <c r="V12" t="n">
        <v>3</v>
      </c>
      <c r="W12" t="n">
        <v>1</v>
      </c>
      <c r="X12" t="n">
        <v>3</v>
      </c>
      <c r="Y12" t="n">
        <v>2</v>
      </c>
      <c r="Z12" t="n">
        <v>2</v>
      </c>
      <c r="AA12" t="n">
        <v>2</v>
      </c>
      <c r="AC12" t="n">
        <v>2</v>
      </c>
      <c r="AD12" t="n">
        <v>4</v>
      </c>
      <c r="AE12" t="n">
        <v>1</v>
      </c>
      <c r="AF12" t="n">
        <v>1</v>
      </c>
      <c r="AG12" t="n">
        <v>1</v>
      </c>
      <c r="AH12" t="n">
        <v>2</v>
      </c>
      <c r="AI12" t="n">
        <v>3</v>
      </c>
      <c r="AJ12" t="n">
        <v>1</v>
      </c>
      <c r="AK12" t="n">
        <v>2</v>
      </c>
      <c r="AL12" t="n">
        <v>1</v>
      </c>
      <c r="AM12" t="n">
        <v>1</v>
      </c>
      <c r="AN12" t="n">
        <v>3</v>
      </c>
      <c r="AO12" t="n">
        <v>2</v>
      </c>
      <c r="AP12" t="n">
        <v>2</v>
      </c>
      <c r="AQ12" t="n">
        <v>2</v>
      </c>
      <c r="AR12" t="n">
        <v>3</v>
      </c>
      <c r="AS12" t="n">
        <v>3</v>
      </c>
      <c r="AT12" t="n">
        <v>3</v>
      </c>
      <c r="AU12" t="n">
        <v>1</v>
      </c>
      <c r="AV12" t="n">
        <v>2</v>
      </c>
      <c r="AW12" t="n">
        <v>2</v>
      </c>
      <c r="AX12" t="n">
        <v>3</v>
      </c>
      <c r="AY12" t="n">
        <v>2</v>
      </c>
      <c r="AZ12" t="n">
        <v>2</v>
      </c>
      <c r="BA12" t="n">
        <v>2</v>
      </c>
      <c r="BB12" t="n">
        <v>2</v>
      </c>
      <c r="BC12" t="n">
        <v>3</v>
      </c>
      <c r="BD12" t="n">
        <v>2</v>
      </c>
      <c r="BE12" t="n">
        <v>3</v>
      </c>
      <c r="BG12" t="n">
        <v>2</v>
      </c>
      <c r="BH12" t="n">
        <v>4</v>
      </c>
      <c r="BI12" t="n">
        <v>3</v>
      </c>
      <c r="BJ12" t="n">
        <v>3</v>
      </c>
      <c r="BK12" t="n">
        <v>3</v>
      </c>
      <c r="BL12" t="n">
        <v>3</v>
      </c>
      <c r="BM12" t="n">
        <v>4</v>
      </c>
      <c r="BN12" t="n">
        <v>4</v>
      </c>
      <c r="BO12" t="n">
        <v>4</v>
      </c>
      <c r="BP12" t="n">
        <v>3</v>
      </c>
      <c r="BQ12" t="n">
        <v>4</v>
      </c>
      <c r="BR12" t="n">
        <v>3</v>
      </c>
      <c r="BS12" s="56">
        <f>IF(COUNT(N12:W12)&gt;=8,AVERAGE(N12:W12),"")</f>
        <v/>
      </c>
      <c r="BT12" s="56">
        <f>IF(COUNT(X12:AE12)&gt;=7,AVERAGE(X12:AE12),"")</f>
        <v/>
      </c>
      <c r="BU12" s="56">
        <f>IF(COUNT(AF12:AM12)&gt;=7,AVERAGE(AF12:AM12),"")</f>
        <v/>
      </c>
      <c r="BV12" s="56">
        <f>IF(COUNT(AN12:AV12)&gt;=8,AVERAGE(AN12:AV12),"")</f>
        <v/>
      </c>
      <c r="BW12" s="56">
        <f>IF(COUNT(AW12:BD12)&gt;=7,AVERAGE(AW12:BD12),"")</f>
        <v/>
      </c>
      <c r="BX12" s="56">
        <f>IF(COUNT(BE12:BJ12)&gt;=5,AVERAGE(BE12:BJ12),"")</f>
        <v/>
      </c>
      <c r="BY12" s="56">
        <f>IF(COUNT(BK12:BR12)&gt;=7,AVERAGE(BK12:BR12),"")</f>
        <v/>
      </c>
    </row>
    <row r="13">
      <c r="A13" t="inlineStr">
        <is>
          <t>P012</t>
        </is>
      </c>
      <c r="B13" t="inlineStr">
        <is>
          <t>No</t>
        </is>
      </c>
      <c r="C13" t="inlineStr">
        <is>
          <t>Yes</t>
        </is>
      </c>
      <c r="D13" t="inlineStr">
        <is>
          <t>Male</t>
        </is>
      </c>
      <c r="E13" t="inlineStr">
        <is>
          <t>25-34</t>
        </is>
      </c>
      <c r="F13" t="inlineStr">
        <is>
          <t>Diploma/OND/NCE</t>
        </is>
      </c>
      <c r="G13" t="inlineStr">
        <is>
          <t>Commercial bank</t>
        </is>
      </c>
      <c r="H13" t="inlineStr">
        <is>
          <t>Digital Banking/Product</t>
        </is>
      </c>
      <c r="I13" t="inlineStr">
        <is>
          <t>2-5</t>
        </is>
      </c>
      <c r="J13" t="inlineStr">
        <is>
          <t>Yes</t>
        </is>
      </c>
      <c r="K13" t="n">
        <v>2</v>
      </c>
      <c r="L13" t="inlineStr">
        <is>
          <t>Yes</t>
        </is>
      </c>
      <c r="M13" t="inlineStr">
        <is>
          <t>No</t>
        </is>
      </c>
      <c r="N13" t="n">
        <v>3</v>
      </c>
      <c r="O13" t="n">
        <v>3</v>
      </c>
      <c r="P13" t="n">
        <v>3</v>
      </c>
      <c r="Q13" t="n">
        <v>2</v>
      </c>
      <c r="R13" t="n">
        <v>2</v>
      </c>
      <c r="S13" t="n">
        <v>3</v>
      </c>
      <c r="T13" t="n">
        <v>2</v>
      </c>
      <c r="U13" t="n">
        <v>2</v>
      </c>
      <c r="V13" t="n">
        <v>3</v>
      </c>
      <c r="W13" t="n">
        <v>2</v>
      </c>
      <c r="X13" t="n">
        <v>3</v>
      </c>
      <c r="Y13" t="n">
        <v>3</v>
      </c>
      <c r="Z13" t="n">
        <v>5</v>
      </c>
      <c r="AA13" t="n">
        <v>4</v>
      </c>
      <c r="AB13" t="n">
        <v>4</v>
      </c>
      <c r="AC13" t="n">
        <v>4</v>
      </c>
      <c r="AD13" t="n">
        <v>4</v>
      </c>
      <c r="AE13" t="n">
        <v>5</v>
      </c>
      <c r="AF13" t="n">
        <v>3</v>
      </c>
      <c r="AG13" t="n">
        <v>4</v>
      </c>
      <c r="AH13" t="n">
        <v>3</v>
      </c>
      <c r="AI13" t="n">
        <v>5</v>
      </c>
      <c r="AJ13" t="n">
        <v>4</v>
      </c>
      <c r="AK13" t="n">
        <v>3</v>
      </c>
      <c r="AL13" t="n">
        <v>3</v>
      </c>
      <c r="AM13" t="n">
        <v>3</v>
      </c>
      <c r="AN13" t="n">
        <v>4</v>
      </c>
      <c r="AO13" t="n">
        <v>4</v>
      </c>
      <c r="AP13" t="n">
        <v>3</v>
      </c>
      <c r="AQ13" t="n">
        <v>3</v>
      </c>
      <c r="AR13" t="n">
        <v>4</v>
      </c>
      <c r="AS13" t="n">
        <v>4</v>
      </c>
      <c r="AT13" t="n">
        <v>3</v>
      </c>
      <c r="AU13" t="n">
        <v>3</v>
      </c>
      <c r="AW13" t="n">
        <v>4</v>
      </c>
      <c r="AX13" t="n">
        <v>3</v>
      </c>
      <c r="AY13" t="n">
        <v>2</v>
      </c>
      <c r="AZ13" t="n">
        <v>4</v>
      </c>
      <c r="BA13" t="n">
        <v>5</v>
      </c>
      <c r="BB13" t="n">
        <v>4</v>
      </c>
      <c r="BC13" t="n">
        <v>4</v>
      </c>
      <c r="BD13" t="n">
        <v>3</v>
      </c>
      <c r="BE13" t="n">
        <v>2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3</v>
      </c>
      <c r="BL13" t="n">
        <v>3</v>
      </c>
      <c r="BM13" t="n">
        <v>5</v>
      </c>
      <c r="BN13" t="n">
        <v>3</v>
      </c>
      <c r="BO13" t="n">
        <v>5</v>
      </c>
      <c r="BP13" t="n">
        <v>2</v>
      </c>
      <c r="BQ13" t="n">
        <v>3</v>
      </c>
      <c r="BR13" t="n">
        <v>4</v>
      </c>
      <c r="BS13" s="56">
        <f>IF(COUNT(N13:W13)&gt;=8,AVERAGE(N13:W13),"")</f>
        <v/>
      </c>
      <c r="BT13" s="56">
        <f>IF(COUNT(X13:AE13)&gt;=7,AVERAGE(X13:AE13),"")</f>
        <v/>
      </c>
      <c r="BU13" s="56">
        <f>IF(COUNT(AF13:AM13)&gt;=7,AVERAGE(AF13:AM13),"")</f>
        <v/>
      </c>
      <c r="BV13" s="56">
        <f>IF(COUNT(AN13:AV13)&gt;=8,AVERAGE(AN13:AV13),"")</f>
        <v/>
      </c>
      <c r="BW13" s="56">
        <f>IF(COUNT(AW13:BD13)&gt;=7,AVERAGE(AW13:BD13),"")</f>
        <v/>
      </c>
      <c r="BX13" s="56">
        <f>IF(COUNT(BE13:BJ13)&gt;=5,AVERAGE(BE13:BJ13),"")</f>
        <v/>
      </c>
      <c r="BY13" s="56">
        <f>IF(COUNT(BK13:BR13)&gt;=7,AVERAGE(BK13:BR13),"")</f>
        <v/>
      </c>
    </row>
    <row r="14">
      <c r="A14" t="inlineStr">
        <is>
          <t>P013</t>
        </is>
      </c>
      <c r="B14" t="inlineStr">
        <is>
          <t>No</t>
        </is>
      </c>
      <c r="C14" t="inlineStr">
        <is>
          <t>Yes</t>
        </is>
      </c>
      <c r="D14" t="inlineStr">
        <is>
          <t>Female</t>
        </is>
      </c>
      <c r="E14" t="inlineStr">
        <is>
          <t>25-34</t>
        </is>
      </c>
      <c r="F14" t="inlineStr">
        <is>
          <t>Bachelor/HND</t>
        </is>
      </c>
      <c r="G14" t="inlineStr">
        <is>
          <t>Commercial bank</t>
        </is>
      </c>
      <c r="H14" t="inlineStr">
        <is>
          <t>Data/Analytics/AI</t>
        </is>
      </c>
      <c r="I14" t="inlineStr">
        <is>
          <t>2-5</t>
        </is>
      </c>
      <c r="J14" t="inlineStr">
        <is>
          <t>Yes</t>
        </is>
      </c>
      <c r="K14" t="n">
        <v>3</v>
      </c>
      <c r="L14" t="inlineStr">
        <is>
          <t>No</t>
        </is>
      </c>
      <c r="M14" t="inlineStr">
        <is>
          <t>No</t>
        </is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3</v>
      </c>
      <c r="W14" t="n">
        <v>2</v>
      </c>
      <c r="X14" t="n">
        <v>2</v>
      </c>
      <c r="Y14" t="n">
        <v>4</v>
      </c>
      <c r="Z14" t="n">
        <v>5</v>
      </c>
      <c r="AA14" t="n">
        <v>3</v>
      </c>
      <c r="AB14" t="n">
        <v>4</v>
      </c>
      <c r="AC14" t="n">
        <v>4</v>
      </c>
      <c r="AD14" t="n">
        <v>4</v>
      </c>
      <c r="AE14" t="n">
        <v>2</v>
      </c>
      <c r="AF14" t="n">
        <v>3</v>
      </c>
      <c r="AG14" t="n">
        <v>4</v>
      </c>
      <c r="AH14" t="n">
        <v>3</v>
      </c>
      <c r="AI14" t="n">
        <v>4</v>
      </c>
      <c r="AJ14" t="n">
        <v>3</v>
      </c>
      <c r="AK14" t="n">
        <v>3</v>
      </c>
      <c r="AL14" t="n">
        <v>3</v>
      </c>
      <c r="AM14" t="n">
        <v>4</v>
      </c>
      <c r="AN14" t="n">
        <v>3</v>
      </c>
      <c r="AO14" t="n">
        <v>2</v>
      </c>
      <c r="AP14" t="n">
        <v>2</v>
      </c>
      <c r="AQ14" t="n">
        <v>1</v>
      </c>
      <c r="AR14" t="n">
        <v>3</v>
      </c>
      <c r="AS14" t="n">
        <v>3</v>
      </c>
      <c r="AT14" t="n">
        <v>2</v>
      </c>
      <c r="AU14" t="n">
        <v>2</v>
      </c>
      <c r="AV14" t="n">
        <v>3</v>
      </c>
      <c r="AW14" t="n">
        <v>4</v>
      </c>
      <c r="AX14" t="n">
        <v>3</v>
      </c>
      <c r="AY14" t="n">
        <v>3</v>
      </c>
      <c r="AZ14" t="n">
        <v>3</v>
      </c>
      <c r="BA14" t="n">
        <v>3</v>
      </c>
      <c r="BB14" t="n">
        <v>4</v>
      </c>
      <c r="BC14" t="n">
        <v>3</v>
      </c>
      <c r="BD14" t="n">
        <v>2</v>
      </c>
      <c r="BE14" t="n">
        <v>4</v>
      </c>
      <c r="BF14" t="n">
        <v>3</v>
      </c>
      <c r="BG14" t="n">
        <v>4</v>
      </c>
      <c r="BH14" t="n">
        <v>4</v>
      </c>
      <c r="BI14" t="n">
        <v>4</v>
      </c>
      <c r="BJ14" t="n">
        <v>4</v>
      </c>
      <c r="BK14" t="n">
        <v>3</v>
      </c>
      <c r="BL14" t="n">
        <v>2</v>
      </c>
      <c r="BM14" t="n">
        <v>3</v>
      </c>
      <c r="BN14" t="n">
        <v>3</v>
      </c>
      <c r="BO14" t="n">
        <v>2</v>
      </c>
      <c r="BP14" t="n">
        <v>2</v>
      </c>
      <c r="BQ14" t="n">
        <v>3</v>
      </c>
      <c r="BR14" t="n">
        <v>3</v>
      </c>
      <c r="BS14" s="56">
        <f>IF(COUNT(N14:W14)&gt;=8,AVERAGE(N14:W14),"")</f>
        <v/>
      </c>
      <c r="BT14" s="56">
        <f>IF(COUNT(X14:AE14)&gt;=7,AVERAGE(X14:AE14),"")</f>
        <v/>
      </c>
      <c r="BU14" s="56">
        <f>IF(COUNT(AF14:AM14)&gt;=7,AVERAGE(AF14:AM14),"")</f>
        <v/>
      </c>
      <c r="BV14" s="56">
        <f>IF(COUNT(AN14:AV14)&gt;=8,AVERAGE(AN14:AV14),"")</f>
        <v/>
      </c>
      <c r="BW14" s="56">
        <f>IF(COUNT(AW14:BD14)&gt;=7,AVERAGE(AW14:BD14),"")</f>
        <v/>
      </c>
      <c r="BX14" s="56">
        <f>IF(COUNT(BE14:BJ14)&gt;=5,AVERAGE(BE14:BJ14),"")</f>
        <v/>
      </c>
      <c r="BY14" s="56">
        <f>IF(COUNT(BK14:BR14)&gt;=7,AVERAGE(BK14:BR14),"")</f>
        <v/>
      </c>
    </row>
    <row r="15">
      <c r="A15" t="inlineStr">
        <is>
          <t>P014</t>
        </is>
      </c>
      <c r="B15" t="inlineStr">
        <is>
          <t>No</t>
        </is>
      </c>
      <c r="C15" t="inlineStr">
        <is>
          <t>Yes</t>
        </is>
      </c>
      <c r="D15" t="inlineStr">
        <is>
          <t>Female</t>
        </is>
      </c>
      <c r="E15" t="inlineStr">
        <is>
          <t>45-54</t>
        </is>
      </c>
      <c r="F15" t="inlineStr">
        <is>
          <t>Postgraduate Diploma</t>
        </is>
      </c>
      <c r="G15" t="inlineStr">
        <is>
          <t>Commercial bank</t>
        </is>
      </c>
      <c r="H15" t="inlineStr">
        <is>
          <t>IT/Technology</t>
        </is>
      </c>
      <c r="I15" t="inlineStr">
        <is>
          <t>2-5</t>
        </is>
      </c>
      <c r="J15" t="inlineStr">
        <is>
          <t>Yes</t>
        </is>
      </c>
      <c r="K15" t="n">
        <v>4</v>
      </c>
      <c r="L15" t="inlineStr">
        <is>
          <t>Do not know</t>
        </is>
      </c>
      <c r="M15" t="inlineStr">
        <is>
          <t>No</t>
        </is>
      </c>
      <c r="N15" t="n">
        <v>3</v>
      </c>
      <c r="O15" t="n">
        <v>4</v>
      </c>
      <c r="P15" t="n">
        <v>3</v>
      </c>
      <c r="Q15" t="n">
        <v>3</v>
      </c>
      <c r="R15" t="n">
        <v>2</v>
      </c>
      <c r="S15" t="n">
        <v>3</v>
      </c>
      <c r="T15" t="n">
        <v>2</v>
      </c>
      <c r="U15" t="n">
        <v>3</v>
      </c>
      <c r="V15" t="n">
        <v>2</v>
      </c>
      <c r="W15" t="n">
        <v>2</v>
      </c>
      <c r="X15" t="n">
        <v>3</v>
      </c>
      <c r="Y15" t="n">
        <v>4</v>
      </c>
      <c r="Z15" t="n">
        <v>3</v>
      </c>
      <c r="AA15" t="n">
        <v>3</v>
      </c>
      <c r="AB15" t="n">
        <v>3</v>
      </c>
      <c r="AC15" t="n">
        <v>3</v>
      </c>
      <c r="AD15" t="n">
        <v>4</v>
      </c>
      <c r="AE15" t="n">
        <v>4</v>
      </c>
      <c r="AF15" t="n">
        <v>3</v>
      </c>
      <c r="AG15" t="n">
        <v>4</v>
      </c>
      <c r="AH15" t="n">
        <v>3</v>
      </c>
      <c r="AI15" t="n">
        <v>4</v>
      </c>
      <c r="AJ15" t="n">
        <v>4</v>
      </c>
      <c r="AK15" t="n">
        <v>3</v>
      </c>
      <c r="AL15" t="n">
        <v>4</v>
      </c>
      <c r="AM15" t="n">
        <v>4</v>
      </c>
      <c r="AN15" t="n">
        <v>3</v>
      </c>
      <c r="AO15" t="n">
        <v>4</v>
      </c>
      <c r="AP15" t="n">
        <v>5</v>
      </c>
      <c r="AQ15" t="n">
        <v>2</v>
      </c>
      <c r="AR15" t="n">
        <v>3</v>
      </c>
      <c r="AS15" t="n">
        <v>2</v>
      </c>
      <c r="AT15" t="n">
        <v>4</v>
      </c>
      <c r="AU15" t="n">
        <v>2</v>
      </c>
      <c r="AV15" t="n">
        <v>3</v>
      </c>
      <c r="AW15" t="n">
        <v>4</v>
      </c>
      <c r="AX15" t="n">
        <v>3</v>
      </c>
      <c r="AY15" t="n">
        <v>3</v>
      </c>
      <c r="AZ15" t="n">
        <v>2</v>
      </c>
      <c r="BB15" t="n">
        <v>3</v>
      </c>
      <c r="BC15" t="n">
        <v>4</v>
      </c>
      <c r="BD15" t="n">
        <v>4</v>
      </c>
      <c r="BE15" t="n">
        <v>3</v>
      </c>
      <c r="BF15" t="n">
        <v>4</v>
      </c>
      <c r="BG15" t="n">
        <v>3</v>
      </c>
      <c r="BH15" t="n">
        <v>4</v>
      </c>
      <c r="BI15" t="n">
        <v>4</v>
      </c>
      <c r="BJ15" t="n">
        <v>3</v>
      </c>
      <c r="BK15" t="n">
        <v>4</v>
      </c>
      <c r="BL15" t="n">
        <v>4</v>
      </c>
      <c r="BM15" t="n">
        <v>3</v>
      </c>
      <c r="BN15" t="n">
        <v>2</v>
      </c>
      <c r="BO15" t="n">
        <v>3</v>
      </c>
      <c r="BQ15" t="n">
        <v>3</v>
      </c>
      <c r="BR15" t="n">
        <v>2</v>
      </c>
      <c r="BS15" s="56">
        <f>IF(COUNT(N15:W15)&gt;=8,AVERAGE(N15:W15),"")</f>
        <v/>
      </c>
      <c r="BT15" s="56">
        <f>IF(COUNT(X15:AE15)&gt;=7,AVERAGE(X15:AE15),"")</f>
        <v/>
      </c>
      <c r="BU15" s="56">
        <f>IF(COUNT(AF15:AM15)&gt;=7,AVERAGE(AF15:AM15),"")</f>
        <v/>
      </c>
      <c r="BV15" s="56">
        <f>IF(COUNT(AN15:AV15)&gt;=8,AVERAGE(AN15:AV15),"")</f>
        <v/>
      </c>
      <c r="BW15" s="56">
        <f>IF(COUNT(AW15:BD15)&gt;=7,AVERAGE(AW15:BD15),"")</f>
        <v/>
      </c>
      <c r="BX15" s="56">
        <f>IF(COUNT(BE15:BJ15)&gt;=5,AVERAGE(BE15:BJ15),"")</f>
        <v/>
      </c>
      <c r="BY15" s="56">
        <f>IF(COUNT(BK15:BR15)&gt;=7,AVERAGE(BK15:BR15),"")</f>
        <v/>
      </c>
    </row>
    <row r="16">
      <c r="A16" t="inlineStr">
        <is>
          <t>P015</t>
        </is>
      </c>
      <c r="B16" t="inlineStr">
        <is>
          <t>No</t>
        </is>
      </c>
      <c r="C16" t="inlineStr">
        <is>
          <t>Yes</t>
        </is>
      </c>
      <c r="D16" t="inlineStr">
        <is>
          <t>Male</t>
        </is>
      </c>
      <c r="E16" t="inlineStr">
        <is>
          <t>35-44</t>
        </is>
      </c>
      <c r="F16" t="inlineStr">
        <is>
          <t>Other</t>
        </is>
      </c>
      <c r="G16" t="inlineStr">
        <is>
          <t>Digital bank/neobank</t>
        </is>
      </c>
      <c r="H16" t="inlineStr">
        <is>
          <t>Relationship/Marketing</t>
        </is>
      </c>
      <c r="I16" t="inlineStr">
        <is>
          <t>6-10</t>
        </is>
      </c>
      <c r="J16" t="inlineStr">
        <is>
          <t>Yes</t>
        </is>
      </c>
      <c r="K16" t="n">
        <v>1</v>
      </c>
      <c r="L16" t="inlineStr">
        <is>
          <t>No</t>
        </is>
      </c>
      <c r="M16" t="inlineStr">
        <is>
          <t>No</t>
        </is>
      </c>
      <c r="N16" t="n">
        <v>5</v>
      </c>
      <c r="O16" t="n">
        <v>4</v>
      </c>
      <c r="P16" t="n">
        <v>4</v>
      </c>
      <c r="Q16" t="n">
        <v>4</v>
      </c>
      <c r="R16" t="n">
        <v>4</v>
      </c>
      <c r="S16" t="n">
        <v>5</v>
      </c>
      <c r="T16" t="n">
        <v>3</v>
      </c>
      <c r="U16" t="n">
        <v>4</v>
      </c>
      <c r="V16" t="n">
        <v>4</v>
      </c>
      <c r="W16" t="n">
        <v>4</v>
      </c>
      <c r="X16" t="n">
        <v>5</v>
      </c>
      <c r="Y16" t="n">
        <v>4</v>
      </c>
      <c r="Z16" t="n">
        <v>5</v>
      </c>
      <c r="AA16" t="n">
        <v>3</v>
      </c>
      <c r="AB16" t="n">
        <v>4</v>
      </c>
      <c r="AC16" t="n">
        <v>4</v>
      </c>
      <c r="AD16" t="n">
        <v>4</v>
      </c>
      <c r="AE16" t="n">
        <v>3</v>
      </c>
      <c r="AG16" t="n">
        <v>4</v>
      </c>
      <c r="AH16" t="n">
        <v>3</v>
      </c>
      <c r="AI16" t="n">
        <v>5</v>
      </c>
      <c r="AJ16" t="n">
        <v>3</v>
      </c>
      <c r="AK16" t="n">
        <v>5</v>
      </c>
      <c r="AL16" t="n">
        <v>4</v>
      </c>
      <c r="AM16" t="n">
        <v>3</v>
      </c>
      <c r="AN16" t="n">
        <v>3</v>
      </c>
      <c r="AO16" t="n">
        <v>3</v>
      </c>
      <c r="AP16" t="n">
        <v>2</v>
      </c>
      <c r="AQ16" t="n">
        <v>2</v>
      </c>
      <c r="AR16" t="n">
        <v>3</v>
      </c>
      <c r="AS16" t="n">
        <v>4</v>
      </c>
      <c r="AT16" t="n">
        <v>4</v>
      </c>
      <c r="AU16" t="n">
        <v>3</v>
      </c>
      <c r="AV16" t="n">
        <v>3</v>
      </c>
      <c r="AW16" t="n">
        <v>4</v>
      </c>
      <c r="AX16" t="n">
        <v>4</v>
      </c>
      <c r="AY16" t="n">
        <v>4</v>
      </c>
      <c r="AZ16" t="n">
        <v>3</v>
      </c>
      <c r="BA16" t="n">
        <v>5</v>
      </c>
      <c r="BB16" t="n">
        <v>3</v>
      </c>
      <c r="BC16" t="n">
        <v>3</v>
      </c>
      <c r="BD16" t="n">
        <v>4</v>
      </c>
      <c r="BE16" t="n">
        <v>2</v>
      </c>
      <c r="BF16" t="n">
        <v>1</v>
      </c>
      <c r="BG16" t="n">
        <v>1</v>
      </c>
      <c r="BH16" t="n">
        <v>3</v>
      </c>
      <c r="BI16" t="n">
        <v>2</v>
      </c>
      <c r="BJ16" t="n">
        <v>2</v>
      </c>
      <c r="BK16" t="n">
        <v>3</v>
      </c>
      <c r="BL16" t="n">
        <v>3</v>
      </c>
      <c r="BM16" t="n">
        <v>2</v>
      </c>
      <c r="BN16" t="n">
        <v>1</v>
      </c>
      <c r="BO16" t="n">
        <v>3</v>
      </c>
      <c r="BP16" t="n">
        <v>3</v>
      </c>
      <c r="BQ16" t="n">
        <v>3</v>
      </c>
      <c r="BR16" t="n">
        <v>3</v>
      </c>
      <c r="BS16" s="56">
        <f>IF(COUNT(N16:W16)&gt;=8,AVERAGE(N16:W16),"")</f>
        <v/>
      </c>
      <c r="BT16" s="56">
        <f>IF(COUNT(X16:AE16)&gt;=7,AVERAGE(X16:AE16),"")</f>
        <v/>
      </c>
      <c r="BU16" s="56">
        <f>IF(COUNT(AF16:AM16)&gt;=7,AVERAGE(AF16:AM16),"")</f>
        <v/>
      </c>
      <c r="BV16" s="56">
        <f>IF(COUNT(AN16:AV16)&gt;=8,AVERAGE(AN16:AV16),"")</f>
        <v/>
      </c>
      <c r="BW16" s="56">
        <f>IF(COUNT(AW16:BD16)&gt;=7,AVERAGE(AW16:BD16),"")</f>
        <v/>
      </c>
      <c r="BX16" s="56">
        <f>IF(COUNT(BE16:BJ16)&gt;=5,AVERAGE(BE16:BJ16),"")</f>
        <v/>
      </c>
      <c r="BY16" s="56">
        <f>IF(COUNT(BK16:BR16)&gt;=7,AVERAGE(BK16:BR16),"")</f>
        <v/>
      </c>
    </row>
    <row r="17">
      <c r="A17" t="inlineStr">
        <is>
          <t>P016</t>
        </is>
      </c>
      <c r="B17" t="inlineStr">
        <is>
          <t>No</t>
        </is>
      </c>
      <c r="C17" t="inlineStr">
        <is>
          <t>Yes</t>
        </is>
      </c>
      <c r="D17" t="inlineStr">
        <is>
          <t>Prefer not to say</t>
        </is>
      </c>
      <c r="E17" t="inlineStr">
        <is>
          <t>25-34</t>
        </is>
      </c>
      <c r="F17" t="inlineStr">
        <is>
          <t>Master's</t>
        </is>
      </c>
      <c r="G17" t="inlineStr">
        <is>
          <t>Digital bank/neobank</t>
        </is>
      </c>
      <c r="H17" t="inlineStr">
        <is>
          <t>Digital Banking/Product</t>
        </is>
      </c>
      <c r="I17" t="inlineStr">
        <is>
          <t>Less than 2</t>
        </is>
      </c>
      <c r="J17" t="inlineStr">
        <is>
          <t>Yes</t>
        </is>
      </c>
      <c r="K17" t="n">
        <v>0</v>
      </c>
      <c r="L17" t="inlineStr">
        <is>
          <t>Yes</t>
        </is>
      </c>
      <c r="M17" t="inlineStr">
        <is>
          <t>No</t>
        </is>
      </c>
      <c r="N17" t="n">
        <v>3</v>
      </c>
      <c r="O17" t="n">
        <v>4</v>
      </c>
      <c r="P17" t="n">
        <v>4</v>
      </c>
      <c r="Q17" t="n">
        <v>2</v>
      </c>
      <c r="R17" t="n">
        <v>4</v>
      </c>
      <c r="S17" t="n">
        <v>2</v>
      </c>
      <c r="T17" t="n">
        <v>3</v>
      </c>
      <c r="U17" t="n">
        <v>4</v>
      </c>
      <c r="V17" t="n">
        <v>3</v>
      </c>
      <c r="W17" t="n">
        <v>3</v>
      </c>
      <c r="X17" t="n">
        <v>2</v>
      </c>
      <c r="Y17" t="n">
        <v>1</v>
      </c>
      <c r="Z17" t="n">
        <v>3</v>
      </c>
      <c r="AA17" t="n">
        <v>2</v>
      </c>
      <c r="AB17" t="n">
        <v>1</v>
      </c>
      <c r="AC17" t="n">
        <v>1</v>
      </c>
      <c r="AD17" t="n">
        <v>1</v>
      </c>
      <c r="AE17" t="n">
        <v>1</v>
      </c>
      <c r="AF17" t="n">
        <v>2</v>
      </c>
      <c r="AG17" t="n">
        <v>3</v>
      </c>
      <c r="AH17" t="n">
        <v>2</v>
      </c>
      <c r="AI17" t="n">
        <v>4</v>
      </c>
      <c r="AJ17" t="n">
        <v>2</v>
      </c>
      <c r="AK17" t="n">
        <v>3</v>
      </c>
      <c r="AL17" t="n">
        <v>3</v>
      </c>
      <c r="AM17" t="n">
        <v>1</v>
      </c>
      <c r="AN17" t="n">
        <v>2</v>
      </c>
      <c r="AO17" t="n">
        <v>2</v>
      </c>
      <c r="AP17" t="n">
        <v>2</v>
      </c>
      <c r="AQ17" t="n">
        <v>1</v>
      </c>
      <c r="AR17" t="n">
        <v>1</v>
      </c>
      <c r="AS17" t="n">
        <v>1</v>
      </c>
      <c r="AT17" t="n">
        <v>1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1</v>
      </c>
      <c r="BA17" t="n">
        <v>2</v>
      </c>
      <c r="BB17" t="n">
        <v>1</v>
      </c>
      <c r="BC17" t="n">
        <v>1</v>
      </c>
      <c r="BD17" t="n">
        <v>1</v>
      </c>
      <c r="BE17" t="n">
        <v>3</v>
      </c>
      <c r="BF17" t="n">
        <v>3</v>
      </c>
      <c r="BG17" t="n">
        <v>2</v>
      </c>
      <c r="BH17" t="n">
        <v>2</v>
      </c>
      <c r="BI17" t="n">
        <v>2</v>
      </c>
      <c r="BJ17" t="n">
        <v>2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4</v>
      </c>
      <c r="BR17" t="n">
        <v>3</v>
      </c>
      <c r="BS17" s="56">
        <f>IF(COUNT(N17:W17)&gt;=8,AVERAGE(N17:W17),"")</f>
        <v/>
      </c>
      <c r="BT17" s="56">
        <f>IF(COUNT(X17:AE17)&gt;=7,AVERAGE(X17:AE17),"")</f>
        <v/>
      </c>
      <c r="BU17" s="56">
        <f>IF(COUNT(AF17:AM17)&gt;=7,AVERAGE(AF17:AM17),"")</f>
        <v/>
      </c>
      <c r="BV17" s="56">
        <f>IF(COUNT(AN17:AV17)&gt;=8,AVERAGE(AN17:AV17),"")</f>
        <v/>
      </c>
      <c r="BW17" s="56">
        <f>IF(COUNT(AW17:BD17)&gt;=7,AVERAGE(AW17:BD17),"")</f>
        <v/>
      </c>
      <c r="BX17" s="56">
        <f>IF(COUNT(BE17:BJ17)&gt;=5,AVERAGE(BE17:BJ17),"")</f>
        <v/>
      </c>
      <c r="BY17" s="56">
        <f>IF(COUNT(BK17:BR17)&gt;=7,AVERAGE(BK17:BR17),"")</f>
        <v/>
      </c>
    </row>
    <row r="18">
      <c r="A18" t="inlineStr">
        <is>
          <t>P017</t>
        </is>
      </c>
      <c r="B18" t="inlineStr">
        <is>
          <t>No</t>
        </is>
      </c>
      <c r="C18" t="inlineStr">
        <is>
          <t>Yes</t>
        </is>
      </c>
      <c r="D18" t="inlineStr">
        <is>
          <t>Female</t>
        </is>
      </c>
      <c r="E18" t="inlineStr">
        <is>
          <t>35-44</t>
        </is>
      </c>
      <c r="F18" t="inlineStr">
        <is>
          <t>Master's</t>
        </is>
      </c>
      <c r="G18" t="inlineStr">
        <is>
          <t>Digital bank/neobank</t>
        </is>
      </c>
      <c r="H18" t="inlineStr">
        <is>
          <t>IT/Technology</t>
        </is>
      </c>
      <c r="I18" t="inlineStr">
        <is>
          <t>11-15</t>
        </is>
      </c>
      <c r="J18" t="inlineStr">
        <is>
          <t>Yes</t>
        </is>
      </c>
      <c r="K18" t="n">
        <v>4</v>
      </c>
      <c r="L18" t="inlineStr">
        <is>
          <t>Yes</t>
        </is>
      </c>
      <c r="M18" t="inlineStr">
        <is>
          <t>No</t>
        </is>
      </c>
      <c r="N18" t="n">
        <v>3</v>
      </c>
      <c r="O18" t="n">
        <v>3</v>
      </c>
      <c r="P18" t="n">
        <v>4</v>
      </c>
      <c r="Q18" t="n">
        <v>3</v>
      </c>
      <c r="R18" t="n">
        <v>3</v>
      </c>
      <c r="S18" t="n">
        <v>3</v>
      </c>
      <c r="T18" t="n">
        <v>2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2</v>
      </c>
      <c r="AA18" t="n">
        <v>3</v>
      </c>
      <c r="AB18" t="n">
        <v>2</v>
      </c>
      <c r="AC18" t="n">
        <v>3</v>
      </c>
      <c r="AD18" t="n">
        <v>3</v>
      </c>
      <c r="AE18" t="n">
        <v>2</v>
      </c>
      <c r="AF18" t="n">
        <v>2</v>
      </c>
      <c r="AG18" t="n">
        <v>3</v>
      </c>
      <c r="AH18" t="n">
        <v>3</v>
      </c>
      <c r="AI18" t="n">
        <v>4</v>
      </c>
      <c r="AJ18" t="n">
        <v>3</v>
      </c>
      <c r="AK18" t="n">
        <v>2</v>
      </c>
      <c r="AL18" t="n">
        <v>3</v>
      </c>
      <c r="AM18" t="n">
        <v>1</v>
      </c>
      <c r="AN18" t="n">
        <v>2</v>
      </c>
      <c r="AO18" t="n">
        <v>2</v>
      </c>
      <c r="AP18" t="n">
        <v>2</v>
      </c>
      <c r="AQ18" t="n">
        <v>2</v>
      </c>
      <c r="AR18" t="n">
        <v>3</v>
      </c>
      <c r="AS18" t="n">
        <v>1</v>
      </c>
      <c r="AT18" t="n">
        <v>2</v>
      </c>
      <c r="AU18" t="n">
        <v>2</v>
      </c>
      <c r="AV18" t="n">
        <v>1</v>
      </c>
      <c r="AW18" t="n">
        <v>2</v>
      </c>
      <c r="AX18" t="n">
        <v>2</v>
      </c>
      <c r="AY18" t="n">
        <v>3</v>
      </c>
      <c r="AZ18" t="n">
        <v>2</v>
      </c>
      <c r="BA18" t="n">
        <v>3</v>
      </c>
      <c r="BB18" t="n">
        <v>2</v>
      </c>
      <c r="BC18" t="n">
        <v>2</v>
      </c>
      <c r="BD18" t="n">
        <v>2</v>
      </c>
      <c r="BE18" t="n">
        <v>4</v>
      </c>
      <c r="BF18" t="n">
        <v>4</v>
      </c>
      <c r="BG18" t="n">
        <v>3</v>
      </c>
      <c r="BH18" t="n">
        <v>5</v>
      </c>
      <c r="BI18" t="n">
        <v>4</v>
      </c>
      <c r="BJ18" t="n">
        <v>4</v>
      </c>
      <c r="BK18" t="n">
        <v>4</v>
      </c>
      <c r="BL18" t="n">
        <v>4</v>
      </c>
      <c r="BM18" t="n">
        <v>5</v>
      </c>
      <c r="BN18" t="n">
        <v>4</v>
      </c>
      <c r="BO18" t="n">
        <v>4</v>
      </c>
      <c r="BP18" t="n">
        <v>4</v>
      </c>
      <c r="BQ18" t="n">
        <v>5</v>
      </c>
      <c r="BR18" t="n">
        <v>4</v>
      </c>
      <c r="BS18" s="56">
        <f>IF(COUNT(N18:W18)&gt;=8,AVERAGE(N18:W18),"")</f>
        <v/>
      </c>
      <c r="BT18" s="56">
        <f>IF(COUNT(X18:AE18)&gt;=7,AVERAGE(X18:AE18),"")</f>
        <v/>
      </c>
      <c r="BU18" s="56">
        <f>IF(COUNT(AF18:AM18)&gt;=7,AVERAGE(AF18:AM18),"")</f>
        <v/>
      </c>
      <c r="BV18" s="56">
        <f>IF(COUNT(AN18:AV18)&gt;=8,AVERAGE(AN18:AV18),"")</f>
        <v/>
      </c>
      <c r="BW18" s="56">
        <f>IF(COUNT(AW18:BD18)&gt;=7,AVERAGE(AW18:BD18),"")</f>
        <v/>
      </c>
      <c r="BX18" s="56">
        <f>IF(COUNT(BE18:BJ18)&gt;=5,AVERAGE(BE18:BJ18),"")</f>
        <v/>
      </c>
      <c r="BY18" s="56">
        <f>IF(COUNT(BK18:BR18)&gt;=7,AVERAGE(BK18:BR18),"")</f>
        <v/>
      </c>
    </row>
    <row r="19">
      <c r="A19" t="inlineStr">
        <is>
          <t>P018</t>
        </is>
      </c>
      <c r="B19" t="inlineStr">
        <is>
          <t>No</t>
        </is>
      </c>
      <c r="C19" t="inlineStr">
        <is>
          <t>Yes</t>
        </is>
      </c>
      <c r="D19" t="inlineStr">
        <is>
          <t>Female</t>
        </is>
      </c>
      <c r="E19" t="inlineStr">
        <is>
          <t>35-44</t>
        </is>
      </c>
      <c r="F19" t="inlineStr">
        <is>
          <t>Master's</t>
        </is>
      </c>
      <c r="G19" t="inlineStr">
        <is>
          <t>Fintech/payment provider</t>
        </is>
      </c>
      <c r="H19" t="inlineStr">
        <is>
          <t>Digital Banking/Product</t>
        </is>
      </c>
      <c r="I19" t="inlineStr">
        <is>
          <t>16 or more</t>
        </is>
      </c>
      <c r="J19" t="inlineStr">
        <is>
          <t>Yes</t>
        </is>
      </c>
      <c r="K19" t="n">
        <v>1</v>
      </c>
      <c r="L19" t="inlineStr">
        <is>
          <t>Yes</t>
        </is>
      </c>
      <c r="M19" t="inlineStr">
        <is>
          <t>No</t>
        </is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2</v>
      </c>
      <c r="U19" t="n">
        <v>2</v>
      </c>
      <c r="V19" t="n">
        <v>3</v>
      </c>
      <c r="W19" t="n">
        <v>2</v>
      </c>
      <c r="X19" t="n">
        <v>2</v>
      </c>
      <c r="Y19" t="n">
        <v>3</v>
      </c>
      <c r="Z19" t="n">
        <v>4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4</v>
      </c>
      <c r="AG19" t="n">
        <v>3</v>
      </c>
      <c r="AH19" t="n">
        <v>3</v>
      </c>
      <c r="AI19" t="n">
        <v>4</v>
      </c>
      <c r="AJ19" t="n">
        <v>4</v>
      </c>
      <c r="AK19" t="n">
        <v>3</v>
      </c>
      <c r="AL19" t="n">
        <v>4</v>
      </c>
      <c r="AM19" t="n">
        <v>3</v>
      </c>
      <c r="AN19" t="n">
        <v>3</v>
      </c>
      <c r="AO19" t="n">
        <v>3</v>
      </c>
      <c r="AP19" t="n">
        <v>4</v>
      </c>
      <c r="AQ19" t="n">
        <v>3</v>
      </c>
      <c r="AR19" t="n">
        <v>4</v>
      </c>
      <c r="AS19" t="n">
        <v>4</v>
      </c>
      <c r="AT19" t="n">
        <v>3</v>
      </c>
      <c r="AU19" t="n">
        <v>2</v>
      </c>
      <c r="AV19" t="n">
        <v>3</v>
      </c>
      <c r="AW19" t="n">
        <v>4</v>
      </c>
      <c r="AX19" t="n">
        <v>3</v>
      </c>
      <c r="AY19" t="n">
        <v>4</v>
      </c>
      <c r="AZ19" t="n">
        <v>3</v>
      </c>
      <c r="BA19" t="n">
        <v>4</v>
      </c>
      <c r="BB19" t="n">
        <v>4</v>
      </c>
      <c r="BC19" t="n">
        <v>4</v>
      </c>
      <c r="BD19" t="n">
        <v>4</v>
      </c>
      <c r="BE19" t="n">
        <v>3</v>
      </c>
      <c r="BF19" t="n">
        <v>4</v>
      </c>
      <c r="BG19" t="n">
        <v>3</v>
      </c>
      <c r="BH19" t="n">
        <v>4</v>
      </c>
      <c r="BI19" t="n">
        <v>4</v>
      </c>
      <c r="BJ19" t="n">
        <v>4</v>
      </c>
      <c r="BK19" t="n">
        <v>2</v>
      </c>
      <c r="BL19" t="n">
        <v>2</v>
      </c>
      <c r="BM19" t="n">
        <v>3</v>
      </c>
      <c r="BN19" t="n">
        <v>2</v>
      </c>
      <c r="BO19" t="n">
        <v>2</v>
      </c>
      <c r="BP19" t="n">
        <v>3</v>
      </c>
      <c r="BQ19" t="n">
        <v>3</v>
      </c>
      <c r="BR19" t="n">
        <v>3</v>
      </c>
      <c r="BS19" s="56">
        <f>IF(COUNT(N19:W19)&gt;=8,AVERAGE(N19:W19),"")</f>
        <v/>
      </c>
      <c r="BT19" s="56">
        <f>IF(COUNT(X19:AE19)&gt;=7,AVERAGE(X19:AE19),"")</f>
        <v/>
      </c>
      <c r="BU19" s="56">
        <f>IF(COUNT(AF19:AM19)&gt;=7,AVERAGE(AF19:AM19),"")</f>
        <v/>
      </c>
      <c r="BV19" s="56">
        <f>IF(COUNT(AN19:AV19)&gt;=8,AVERAGE(AN19:AV19),"")</f>
        <v/>
      </c>
      <c r="BW19" s="56">
        <f>IF(COUNT(AW19:BD19)&gt;=7,AVERAGE(AW19:BD19),"")</f>
        <v/>
      </c>
      <c r="BX19" s="56">
        <f>IF(COUNT(BE19:BJ19)&gt;=5,AVERAGE(BE19:BJ19),"")</f>
        <v/>
      </c>
      <c r="BY19" s="56">
        <f>IF(COUNT(BK19:BR19)&gt;=7,AVERAGE(BK19:BR19),"")</f>
        <v/>
      </c>
    </row>
    <row r="20">
      <c r="A20" t="inlineStr">
        <is>
          <t>P019</t>
        </is>
      </c>
      <c r="B20" t="inlineStr">
        <is>
          <t>No</t>
        </is>
      </c>
      <c r="C20" t="inlineStr">
        <is>
          <t>Yes</t>
        </is>
      </c>
      <c r="D20" t="inlineStr">
        <is>
          <t>Female</t>
        </is>
      </c>
      <c r="E20" t="inlineStr">
        <is>
          <t>25-34</t>
        </is>
      </c>
      <c r="F20" t="inlineStr">
        <is>
          <t>Bachelor/HND</t>
        </is>
      </c>
      <c r="G20" t="inlineStr">
        <is>
          <t>Digital bank/neobank</t>
        </is>
      </c>
      <c r="H20" t="inlineStr">
        <is>
          <t>Customer Experience/Service</t>
        </is>
      </c>
      <c r="I20" t="inlineStr">
        <is>
          <t>Less than 2</t>
        </is>
      </c>
      <c r="J20" t="inlineStr">
        <is>
          <t>Yes</t>
        </is>
      </c>
      <c r="K20" t="n">
        <v>1</v>
      </c>
      <c r="L20" t="inlineStr">
        <is>
          <t>No</t>
        </is>
      </c>
      <c r="M20" t="inlineStr">
        <is>
          <t>No</t>
        </is>
      </c>
      <c r="N20" t="n">
        <v>2</v>
      </c>
      <c r="O20" t="n">
        <v>3</v>
      </c>
      <c r="P20" t="n">
        <v>4</v>
      </c>
      <c r="Q20" t="n">
        <v>3</v>
      </c>
      <c r="R20" t="n">
        <v>3</v>
      </c>
      <c r="S20" t="n">
        <v>3</v>
      </c>
      <c r="T20" t="n">
        <v>2</v>
      </c>
      <c r="U20" t="n">
        <v>4</v>
      </c>
      <c r="V20" t="n">
        <v>2</v>
      </c>
      <c r="W20" t="n">
        <v>3</v>
      </c>
      <c r="X20" t="n">
        <v>2</v>
      </c>
      <c r="Y20" t="n">
        <v>2</v>
      </c>
      <c r="Z20" t="n">
        <v>4</v>
      </c>
      <c r="AA20" t="n">
        <v>2</v>
      </c>
      <c r="AB20" t="n">
        <v>3</v>
      </c>
      <c r="AC20" t="n">
        <v>2</v>
      </c>
      <c r="AD20" t="n">
        <v>2</v>
      </c>
      <c r="AE20" t="n">
        <v>3</v>
      </c>
      <c r="AF20" t="n">
        <v>2</v>
      </c>
      <c r="AG20" t="n">
        <v>3</v>
      </c>
      <c r="AH20" t="n">
        <v>2</v>
      </c>
      <c r="AI20" t="n">
        <v>4</v>
      </c>
      <c r="AJ20" t="n">
        <v>3</v>
      </c>
      <c r="AK20" t="n">
        <v>3</v>
      </c>
      <c r="AL20" t="n">
        <v>2</v>
      </c>
      <c r="AM20" t="n">
        <v>2</v>
      </c>
      <c r="AN20" t="n">
        <v>5</v>
      </c>
      <c r="AO20" t="n">
        <v>3</v>
      </c>
      <c r="AP20" t="n">
        <v>3</v>
      </c>
      <c r="AQ20" t="n">
        <v>3</v>
      </c>
      <c r="AR20" t="n">
        <v>5</v>
      </c>
      <c r="AS20" t="n">
        <v>5</v>
      </c>
      <c r="AT20" t="n">
        <v>4</v>
      </c>
      <c r="AU20" t="n">
        <v>3</v>
      </c>
      <c r="AV20" t="n">
        <v>4</v>
      </c>
      <c r="AW20" t="n">
        <v>3</v>
      </c>
      <c r="AX20" t="n">
        <v>2</v>
      </c>
      <c r="AY20" t="n">
        <v>3</v>
      </c>
      <c r="AZ20" t="n">
        <v>3</v>
      </c>
      <c r="BA20" t="n">
        <v>4</v>
      </c>
      <c r="BB20" t="n">
        <v>4</v>
      </c>
      <c r="BC20" t="n">
        <v>4</v>
      </c>
      <c r="BD20" t="n">
        <v>4</v>
      </c>
      <c r="BE20" t="n">
        <v>1</v>
      </c>
      <c r="BF20" t="n">
        <v>3</v>
      </c>
      <c r="BG20" t="n">
        <v>2</v>
      </c>
      <c r="BH20" t="n">
        <v>4</v>
      </c>
      <c r="BI20" t="n">
        <v>3</v>
      </c>
      <c r="BJ20" t="n">
        <v>3</v>
      </c>
      <c r="BK20" t="n">
        <v>2</v>
      </c>
      <c r="BL20" t="n">
        <v>2</v>
      </c>
      <c r="BM20" t="n">
        <v>2</v>
      </c>
      <c r="BN20" t="n">
        <v>3</v>
      </c>
      <c r="BO20" t="n">
        <v>4</v>
      </c>
      <c r="BP20" t="n">
        <v>3</v>
      </c>
      <c r="BQ20" t="n">
        <v>3</v>
      </c>
      <c r="BR20" t="n">
        <v>3</v>
      </c>
      <c r="BS20" s="56">
        <f>IF(COUNT(N20:W20)&gt;=8,AVERAGE(N20:W20),"")</f>
        <v/>
      </c>
      <c r="BT20" s="56">
        <f>IF(COUNT(X20:AE20)&gt;=7,AVERAGE(X20:AE20),"")</f>
        <v/>
      </c>
      <c r="BU20" s="56">
        <f>IF(COUNT(AF20:AM20)&gt;=7,AVERAGE(AF20:AM20),"")</f>
        <v/>
      </c>
      <c r="BV20" s="56">
        <f>IF(COUNT(AN20:AV20)&gt;=8,AVERAGE(AN20:AV20),"")</f>
        <v/>
      </c>
      <c r="BW20" s="56">
        <f>IF(COUNT(AW20:BD20)&gt;=7,AVERAGE(AW20:BD20),"")</f>
        <v/>
      </c>
      <c r="BX20" s="56">
        <f>IF(COUNT(BE20:BJ20)&gt;=5,AVERAGE(BE20:BJ20),"")</f>
        <v/>
      </c>
      <c r="BY20" s="56">
        <f>IF(COUNT(BK20:BR20)&gt;=7,AVERAGE(BK20:BR20),"")</f>
        <v/>
      </c>
    </row>
    <row r="21">
      <c r="A21" t="inlineStr">
        <is>
          <t>P020</t>
        </is>
      </c>
      <c r="B21" t="inlineStr">
        <is>
          <t>No</t>
        </is>
      </c>
      <c r="C21" t="inlineStr">
        <is>
          <t>Yes</t>
        </is>
      </c>
      <c r="D21" t="inlineStr">
        <is>
          <t>Male</t>
        </is>
      </c>
      <c r="E21" t="inlineStr">
        <is>
          <t>35-44</t>
        </is>
      </c>
      <c r="F21" t="inlineStr">
        <is>
          <t>Bachelor/HND</t>
        </is>
      </c>
      <c r="G21" t="inlineStr">
        <is>
          <t>Commercial bank</t>
        </is>
      </c>
      <c r="H21" t="inlineStr">
        <is>
          <t>Customer Experience/Service</t>
        </is>
      </c>
      <c r="I21" t="inlineStr">
        <is>
          <t>11-15</t>
        </is>
      </c>
      <c r="J21" t="inlineStr">
        <is>
          <t>Yes</t>
        </is>
      </c>
      <c r="K21" t="n">
        <v>2</v>
      </c>
      <c r="L21" t="inlineStr">
        <is>
          <t>Yes</t>
        </is>
      </c>
      <c r="M21" t="inlineStr">
        <is>
          <t>No</t>
        </is>
      </c>
      <c r="N21" t="n">
        <v>3</v>
      </c>
      <c r="O21" t="n">
        <v>2</v>
      </c>
      <c r="P21" t="n">
        <v>3</v>
      </c>
      <c r="Q21" t="n">
        <v>3</v>
      </c>
      <c r="R21" t="n">
        <v>3</v>
      </c>
      <c r="S21" t="n">
        <v>1</v>
      </c>
      <c r="T21" t="n">
        <v>2</v>
      </c>
      <c r="U21" t="n">
        <v>3</v>
      </c>
      <c r="V21" t="n">
        <v>4</v>
      </c>
      <c r="W21" t="n">
        <v>2</v>
      </c>
      <c r="X21" t="n">
        <v>4</v>
      </c>
      <c r="Y21" t="n">
        <v>4</v>
      </c>
      <c r="Z21" t="n">
        <v>5</v>
      </c>
      <c r="AA21" t="n">
        <v>3</v>
      </c>
      <c r="AB21" t="n">
        <v>4</v>
      </c>
      <c r="AC21" t="n">
        <v>3</v>
      </c>
      <c r="AD21" t="n">
        <v>3</v>
      </c>
      <c r="AE21" t="n">
        <v>3</v>
      </c>
      <c r="AF21" t="n">
        <v>4</v>
      </c>
      <c r="AG21" t="n">
        <v>4</v>
      </c>
      <c r="AH21" t="n">
        <v>3</v>
      </c>
      <c r="AI21" t="n">
        <v>5</v>
      </c>
      <c r="AJ21" t="n">
        <v>4</v>
      </c>
      <c r="AK21" t="n">
        <v>4</v>
      </c>
      <c r="AL21" t="n">
        <v>4</v>
      </c>
      <c r="AM21" t="n">
        <v>3</v>
      </c>
      <c r="AN21" t="n">
        <v>4</v>
      </c>
      <c r="AP21" t="n">
        <v>3</v>
      </c>
      <c r="AQ21" t="n">
        <v>4</v>
      </c>
      <c r="AR21" t="n">
        <v>4</v>
      </c>
      <c r="AS21" t="n">
        <v>3</v>
      </c>
      <c r="AT21" t="n">
        <v>4</v>
      </c>
      <c r="AU21" t="n">
        <v>3</v>
      </c>
      <c r="AV21" t="n">
        <v>3</v>
      </c>
      <c r="AW21" t="n">
        <v>4</v>
      </c>
      <c r="AX21" t="n">
        <v>4</v>
      </c>
      <c r="AY21" t="n">
        <v>4</v>
      </c>
      <c r="AZ21" t="n">
        <v>4</v>
      </c>
      <c r="BA21" t="n">
        <v>3</v>
      </c>
      <c r="BB21" t="n">
        <v>4</v>
      </c>
      <c r="BC21" t="n">
        <v>4</v>
      </c>
      <c r="BD21" t="n">
        <v>3</v>
      </c>
      <c r="BE21" t="n">
        <v>3</v>
      </c>
      <c r="BF21" t="n">
        <v>3</v>
      </c>
      <c r="BG21" t="n">
        <v>2</v>
      </c>
      <c r="BH21" t="n">
        <v>3</v>
      </c>
      <c r="BI21" t="n">
        <v>2</v>
      </c>
      <c r="BJ21" t="n">
        <v>2</v>
      </c>
      <c r="BK21" t="n">
        <v>3</v>
      </c>
      <c r="BL21" t="n">
        <v>2</v>
      </c>
      <c r="BN21" t="n">
        <v>3</v>
      </c>
      <c r="BO21" t="n">
        <v>3</v>
      </c>
      <c r="BP21" t="n">
        <v>3</v>
      </c>
      <c r="BQ21" t="n">
        <v>4</v>
      </c>
      <c r="BR21" t="n">
        <v>2</v>
      </c>
      <c r="BS21" s="56">
        <f>IF(COUNT(N21:W21)&gt;=8,AVERAGE(N21:W21),"")</f>
        <v/>
      </c>
      <c r="BT21" s="56">
        <f>IF(COUNT(X21:AE21)&gt;=7,AVERAGE(X21:AE21),"")</f>
        <v/>
      </c>
      <c r="BU21" s="56">
        <f>IF(COUNT(AF21:AM21)&gt;=7,AVERAGE(AF21:AM21),"")</f>
        <v/>
      </c>
      <c r="BV21" s="56">
        <f>IF(COUNT(AN21:AV21)&gt;=8,AVERAGE(AN21:AV21),"")</f>
        <v/>
      </c>
      <c r="BW21" s="56">
        <f>IF(COUNT(AW21:BD21)&gt;=7,AVERAGE(AW21:BD21),"")</f>
        <v/>
      </c>
      <c r="BX21" s="56">
        <f>IF(COUNT(BE21:BJ21)&gt;=5,AVERAGE(BE21:BJ21),"")</f>
        <v/>
      </c>
      <c r="BY21" s="56">
        <f>IF(COUNT(BK21:BR21)&gt;=7,AVERAGE(BK21:BR21),"")</f>
        <v/>
      </c>
    </row>
    <row r="22">
      <c r="A22" t="inlineStr">
        <is>
          <t>P021</t>
        </is>
      </c>
      <c r="B22" t="inlineStr">
        <is>
          <t>No</t>
        </is>
      </c>
      <c r="C22" t="inlineStr">
        <is>
          <t>Yes</t>
        </is>
      </c>
      <c r="D22" t="inlineStr">
        <is>
          <t>Female</t>
        </is>
      </c>
      <c r="E22" t="inlineStr">
        <is>
          <t>35-44</t>
        </is>
      </c>
      <c r="F22" t="inlineStr">
        <is>
          <t>Master's</t>
        </is>
      </c>
      <c r="G22" t="inlineStr">
        <is>
          <t>Fintech/payment provider</t>
        </is>
      </c>
      <c r="H22" t="inlineStr">
        <is>
          <t>Risk/Compliance</t>
        </is>
      </c>
      <c r="I22" t="inlineStr">
        <is>
          <t>2-5</t>
        </is>
      </c>
      <c r="J22" t="inlineStr">
        <is>
          <t>Yes</t>
        </is>
      </c>
      <c r="K22" t="n">
        <v>0</v>
      </c>
      <c r="L22" t="inlineStr">
        <is>
          <t>No</t>
        </is>
      </c>
      <c r="M22" t="inlineStr">
        <is>
          <t>No</t>
        </is>
      </c>
      <c r="N22" t="n">
        <v>3</v>
      </c>
      <c r="O22" t="n">
        <v>1</v>
      </c>
      <c r="P22" t="n">
        <v>2</v>
      </c>
      <c r="Q22" t="n">
        <v>1</v>
      </c>
      <c r="R22" t="n">
        <v>1</v>
      </c>
      <c r="S22" t="n">
        <v>1</v>
      </c>
      <c r="T22" t="n">
        <v>2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n">
        <v>1</v>
      </c>
      <c r="AB22" t="n">
        <v>2</v>
      </c>
      <c r="AC22" t="n">
        <v>2</v>
      </c>
      <c r="AD22" t="n">
        <v>1</v>
      </c>
      <c r="AE22" t="n">
        <v>2</v>
      </c>
      <c r="AF22" t="n">
        <v>3</v>
      </c>
      <c r="AG22" t="n">
        <v>4</v>
      </c>
      <c r="AH22" t="n">
        <v>4</v>
      </c>
      <c r="AI22" t="n">
        <v>3</v>
      </c>
      <c r="AJ22" t="n">
        <v>3</v>
      </c>
      <c r="AK22" t="n">
        <v>3</v>
      </c>
      <c r="AL22" t="n">
        <v>3</v>
      </c>
      <c r="AM22" t="n">
        <v>4</v>
      </c>
      <c r="AN22" t="n">
        <v>4</v>
      </c>
      <c r="AO22" t="n">
        <v>3</v>
      </c>
      <c r="AP22" t="n">
        <v>4</v>
      </c>
      <c r="AQ22" t="n">
        <v>3</v>
      </c>
      <c r="AR22" t="n">
        <v>3</v>
      </c>
      <c r="AS22" t="n">
        <v>2</v>
      </c>
      <c r="AT22" t="n">
        <v>4</v>
      </c>
      <c r="AU22" t="n">
        <v>3</v>
      </c>
      <c r="AV22" t="n">
        <v>4</v>
      </c>
      <c r="AW22" t="n">
        <v>4</v>
      </c>
      <c r="AX22" t="n">
        <v>4</v>
      </c>
      <c r="AY22" t="n">
        <v>4</v>
      </c>
      <c r="AZ22" t="n">
        <v>3</v>
      </c>
      <c r="BA22" t="n">
        <v>3</v>
      </c>
      <c r="BB22" t="n">
        <v>3</v>
      </c>
      <c r="BC22" t="n">
        <v>3</v>
      </c>
      <c r="BD22" t="n">
        <v>4</v>
      </c>
      <c r="BE22" t="n">
        <v>2</v>
      </c>
      <c r="BF22" t="n">
        <v>3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1</v>
      </c>
      <c r="BN22" t="n">
        <v>1</v>
      </c>
      <c r="BO22" t="n">
        <v>2</v>
      </c>
      <c r="BP22" t="n">
        <v>2</v>
      </c>
      <c r="BQ22" t="n">
        <v>3</v>
      </c>
      <c r="BR22" t="n">
        <v>1</v>
      </c>
      <c r="BS22" s="56">
        <f>IF(COUNT(N22:W22)&gt;=8,AVERAGE(N22:W22),"")</f>
        <v/>
      </c>
      <c r="BT22" s="56">
        <f>IF(COUNT(X22:AE22)&gt;=7,AVERAGE(X22:AE22),"")</f>
        <v/>
      </c>
      <c r="BU22" s="56">
        <f>IF(COUNT(AF22:AM22)&gt;=7,AVERAGE(AF22:AM22),"")</f>
        <v/>
      </c>
      <c r="BV22" s="56">
        <f>IF(COUNT(AN22:AV22)&gt;=8,AVERAGE(AN22:AV22),"")</f>
        <v/>
      </c>
      <c r="BW22" s="56">
        <f>IF(COUNT(AW22:BD22)&gt;=7,AVERAGE(AW22:BD22),"")</f>
        <v/>
      </c>
      <c r="BX22" s="56">
        <f>IF(COUNT(BE22:BJ22)&gt;=5,AVERAGE(BE22:BJ22),"")</f>
        <v/>
      </c>
      <c r="BY22" s="56">
        <f>IF(COUNT(BK22:BR22)&gt;=7,AVERAGE(BK22:BR22),"")</f>
        <v/>
      </c>
    </row>
    <row r="23">
      <c r="A23" t="inlineStr">
        <is>
          <t>P022</t>
        </is>
      </c>
      <c r="B23" t="inlineStr">
        <is>
          <t>No</t>
        </is>
      </c>
      <c r="C23" t="inlineStr">
        <is>
          <t>Yes</t>
        </is>
      </c>
      <c r="D23" t="inlineStr">
        <is>
          <t>Male</t>
        </is>
      </c>
      <c r="E23" t="inlineStr">
        <is>
          <t>25-34</t>
        </is>
      </c>
      <c r="F23" t="inlineStr">
        <is>
          <t>Bachelor/HND</t>
        </is>
      </c>
      <c r="G23" t="inlineStr">
        <is>
          <t>Digital bank/neobank</t>
        </is>
      </c>
      <c r="H23" t="inlineStr">
        <is>
          <t>Risk/Compliance</t>
        </is>
      </c>
      <c r="I23" t="inlineStr">
        <is>
          <t>2-5</t>
        </is>
      </c>
      <c r="J23" t="inlineStr">
        <is>
          <t>Yes</t>
        </is>
      </c>
      <c r="K23" t="n">
        <v>1</v>
      </c>
      <c r="L23" t="inlineStr">
        <is>
          <t>No</t>
        </is>
      </c>
      <c r="M23" t="inlineStr">
        <is>
          <t>No</t>
        </is>
      </c>
      <c r="N23" t="n">
        <v>2</v>
      </c>
      <c r="O23" t="n">
        <v>2</v>
      </c>
      <c r="P23" t="n">
        <v>4</v>
      </c>
      <c r="Q23" t="n">
        <v>2</v>
      </c>
      <c r="R23" t="n">
        <v>2</v>
      </c>
      <c r="S23" t="n">
        <v>2</v>
      </c>
      <c r="T23" t="n">
        <v>1</v>
      </c>
      <c r="U23" t="n">
        <v>3</v>
      </c>
      <c r="V23" t="n">
        <v>3</v>
      </c>
      <c r="W23" t="n">
        <v>2</v>
      </c>
      <c r="X23" t="n">
        <v>2</v>
      </c>
      <c r="Y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2</v>
      </c>
      <c r="AH23" t="n">
        <v>2</v>
      </c>
      <c r="AI23" t="n">
        <v>3</v>
      </c>
      <c r="AJ23" t="n">
        <v>3</v>
      </c>
      <c r="AK23" t="n">
        <v>3</v>
      </c>
      <c r="AL23" t="n">
        <v>2</v>
      </c>
      <c r="AM23" t="n">
        <v>2</v>
      </c>
      <c r="AO23" t="n">
        <v>2</v>
      </c>
      <c r="AP23" t="n">
        <v>3</v>
      </c>
      <c r="AQ23" t="n">
        <v>2</v>
      </c>
      <c r="AR23" t="n">
        <v>3</v>
      </c>
      <c r="AS23" t="n">
        <v>3</v>
      </c>
      <c r="AU23" t="n">
        <v>2</v>
      </c>
      <c r="AV23" t="n">
        <v>3</v>
      </c>
      <c r="AW23" t="n">
        <v>2</v>
      </c>
      <c r="AX23" t="n">
        <v>1</v>
      </c>
      <c r="AY23" t="n">
        <v>1</v>
      </c>
      <c r="BA23" t="n">
        <v>3</v>
      </c>
      <c r="BB23" t="n">
        <v>1</v>
      </c>
      <c r="BC23" t="n">
        <v>2</v>
      </c>
      <c r="BD23" t="n">
        <v>2</v>
      </c>
      <c r="BE23" t="n">
        <v>1</v>
      </c>
      <c r="BF23" t="n">
        <v>3</v>
      </c>
      <c r="BG23" t="n">
        <v>1</v>
      </c>
      <c r="BH23" t="n">
        <v>3</v>
      </c>
      <c r="BI23" t="n">
        <v>3</v>
      </c>
      <c r="BJ23" t="n">
        <v>1</v>
      </c>
      <c r="BK23" t="n">
        <v>3</v>
      </c>
      <c r="BL23" t="n">
        <v>3</v>
      </c>
      <c r="BM23" t="n">
        <v>2</v>
      </c>
      <c r="BN23" t="n">
        <v>2</v>
      </c>
      <c r="BO23" t="n">
        <v>4</v>
      </c>
      <c r="BP23" t="n">
        <v>2</v>
      </c>
      <c r="BQ23" t="n">
        <v>3</v>
      </c>
      <c r="BR23" t="n">
        <v>3</v>
      </c>
      <c r="BS23" s="56">
        <f>IF(COUNT(N23:W23)&gt;=8,AVERAGE(N23:W23),"")</f>
        <v/>
      </c>
      <c r="BT23" s="56">
        <f>IF(COUNT(X23:AE23)&gt;=7,AVERAGE(X23:AE23),"")</f>
        <v/>
      </c>
      <c r="BU23" s="56">
        <f>IF(COUNT(AF23:AM23)&gt;=7,AVERAGE(AF23:AM23),"")</f>
        <v/>
      </c>
      <c r="BV23" s="56">
        <f>IF(COUNT(AN23:AV23)&gt;=8,AVERAGE(AN23:AV23),"")</f>
        <v/>
      </c>
      <c r="BW23" s="56">
        <f>IF(COUNT(AW23:BD23)&gt;=7,AVERAGE(AW23:BD23),"")</f>
        <v/>
      </c>
      <c r="BX23" s="56">
        <f>IF(COUNT(BE23:BJ23)&gt;=5,AVERAGE(BE23:BJ23),"")</f>
        <v/>
      </c>
      <c r="BY23" s="56">
        <f>IF(COUNT(BK23:BR23)&gt;=7,AVERAGE(BK23:BR23),"")</f>
        <v/>
      </c>
    </row>
    <row r="24">
      <c r="A24" t="inlineStr">
        <is>
          <t>P023</t>
        </is>
      </c>
      <c r="B24" t="inlineStr">
        <is>
          <t>No</t>
        </is>
      </c>
      <c r="C24" t="inlineStr">
        <is>
          <t>Yes</t>
        </is>
      </c>
      <c r="D24" t="inlineStr">
        <is>
          <t>Female</t>
        </is>
      </c>
      <c r="E24" t="inlineStr">
        <is>
          <t>25-34</t>
        </is>
      </c>
      <c r="F24" t="inlineStr">
        <is>
          <t>Other</t>
        </is>
      </c>
      <c r="G24" t="inlineStr">
        <is>
          <t>Commercial bank</t>
        </is>
      </c>
      <c r="H24" t="inlineStr">
        <is>
          <t>Digital Banking/Product</t>
        </is>
      </c>
      <c r="I24" t="inlineStr">
        <is>
          <t>6-10</t>
        </is>
      </c>
      <c r="J24" t="inlineStr">
        <is>
          <t>Yes</t>
        </is>
      </c>
      <c r="K24" t="n">
        <v>0</v>
      </c>
      <c r="L24" t="inlineStr">
        <is>
          <t>No</t>
        </is>
      </c>
      <c r="M24" t="inlineStr">
        <is>
          <t>No</t>
        </is>
      </c>
      <c r="N24" t="n">
        <v>1</v>
      </c>
      <c r="O24" t="n">
        <v>2</v>
      </c>
      <c r="P24" t="n">
        <v>3</v>
      </c>
      <c r="Q24" t="n">
        <v>3</v>
      </c>
      <c r="R24" t="n">
        <v>2</v>
      </c>
      <c r="S24" t="n">
        <v>3</v>
      </c>
      <c r="T24" t="n">
        <v>1</v>
      </c>
      <c r="U24" t="n">
        <v>3</v>
      </c>
      <c r="V24" t="n">
        <v>3</v>
      </c>
      <c r="W24" t="n">
        <v>2</v>
      </c>
      <c r="X24" t="n">
        <v>3</v>
      </c>
      <c r="Y24" t="n">
        <v>3</v>
      </c>
      <c r="Z24" t="n">
        <v>4</v>
      </c>
      <c r="AA24" t="n">
        <v>4</v>
      </c>
      <c r="AB24" t="n">
        <v>4</v>
      </c>
      <c r="AC24" t="n">
        <v>3</v>
      </c>
      <c r="AD24" t="n">
        <v>3</v>
      </c>
      <c r="AE24" t="n">
        <v>3</v>
      </c>
      <c r="AF24" t="n">
        <v>2</v>
      </c>
      <c r="AG24" t="n">
        <v>3</v>
      </c>
      <c r="AH24" t="n">
        <v>2</v>
      </c>
      <c r="AI24" t="n">
        <v>2</v>
      </c>
      <c r="AJ24" t="n">
        <v>2</v>
      </c>
      <c r="AK24" t="n">
        <v>3</v>
      </c>
      <c r="AL24" t="n">
        <v>1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3</v>
      </c>
      <c r="AT24" t="n">
        <v>3</v>
      </c>
      <c r="AU24" t="n">
        <v>2</v>
      </c>
      <c r="AV24" t="n">
        <v>3</v>
      </c>
      <c r="AW24" t="n">
        <v>4</v>
      </c>
      <c r="AX24" t="n">
        <v>2</v>
      </c>
      <c r="AY24" t="n">
        <v>2</v>
      </c>
      <c r="AZ24" t="n">
        <v>3</v>
      </c>
      <c r="BA24" t="n">
        <v>3</v>
      </c>
      <c r="BB24" t="n">
        <v>3</v>
      </c>
      <c r="BD24" t="n">
        <v>1</v>
      </c>
      <c r="BE24" t="n">
        <v>4</v>
      </c>
      <c r="BF24" t="n">
        <v>4</v>
      </c>
      <c r="BG24" t="n">
        <v>2</v>
      </c>
      <c r="BH24" t="n">
        <v>3</v>
      </c>
      <c r="BI24" t="n">
        <v>3</v>
      </c>
      <c r="BJ24" t="n">
        <v>4</v>
      </c>
      <c r="BK24" t="n">
        <v>4</v>
      </c>
      <c r="BL24" t="n">
        <v>3</v>
      </c>
      <c r="BM24" t="n">
        <v>4</v>
      </c>
      <c r="BN24" t="n">
        <v>3</v>
      </c>
      <c r="BO24" t="n">
        <v>5</v>
      </c>
      <c r="BP24" t="n">
        <v>4</v>
      </c>
      <c r="BQ24" t="n">
        <v>4</v>
      </c>
      <c r="BR24" t="n">
        <v>4</v>
      </c>
      <c r="BS24" s="56">
        <f>IF(COUNT(N24:W24)&gt;=8,AVERAGE(N24:W24),"")</f>
        <v/>
      </c>
      <c r="BT24" s="56">
        <f>IF(COUNT(X24:AE24)&gt;=7,AVERAGE(X24:AE24),"")</f>
        <v/>
      </c>
      <c r="BU24" s="56">
        <f>IF(COUNT(AF24:AM24)&gt;=7,AVERAGE(AF24:AM24),"")</f>
        <v/>
      </c>
      <c r="BV24" s="56">
        <f>IF(COUNT(AN24:AV24)&gt;=8,AVERAGE(AN24:AV24),"")</f>
        <v/>
      </c>
      <c r="BW24" s="56">
        <f>IF(COUNT(AW24:BD24)&gt;=7,AVERAGE(AW24:BD24),"")</f>
        <v/>
      </c>
      <c r="BX24" s="56">
        <f>IF(COUNT(BE24:BJ24)&gt;=5,AVERAGE(BE24:BJ24),"")</f>
        <v/>
      </c>
      <c r="BY24" s="56">
        <f>IF(COUNT(BK24:BR24)&gt;=7,AVERAGE(BK24:BR24),"")</f>
        <v/>
      </c>
    </row>
    <row r="25">
      <c r="A25" t="inlineStr">
        <is>
          <t>P024</t>
        </is>
      </c>
      <c r="B25" t="inlineStr">
        <is>
          <t>No</t>
        </is>
      </c>
      <c r="C25" t="inlineStr">
        <is>
          <t>Yes</t>
        </is>
      </c>
      <c r="D25" t="inlineStr">
        <is>
          <t>Male</t>
        </is>
      </c>
      <c r="E25" t="inlineStr">
        <is>
          <t>35-44</t>
        </is>
      </c>
      <c r="F25" t="inlineStr">
        <is>
          <t>Master's</t>
        </is>
      </c>
      <c r="G25" t="inlineStr">
        <is>
          <t>Commercial bank</t>
        </is>
      </c>
      <c r="H25" t="inlineStr">
        <is>
          <t>Other</t>
        </is>
      </c>
      <c r="I25" t="inlineStr">
        <is>
          <t>2-5</t>
        </is>
      </c>
      <c r="J25" t="inlineStr">
        <is>
          <t>Yes</t>
        </is>
      </c>
      <c r="K25" t="n">
        <v>1</v>
      </c>
      <c r="L25" t="inlineStr">
        <is>
          <t>No</t>
        </is>
      </c>
      <c r="M25" t="inlineStr">
        <is>
          <t>No</t>
        </is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4</v>
      </c>
      <c r="T25" t="n">
        <v>4</v>
      </c>
      <c r="U25" t="n">
        <v>3</v>
      </c>
      <c r="V25" t="n">
        <v>3</v>
      </c>
      <c r="W25" t="n">
        <v>4</v>
      </c>
      <c r="X25" t="n">
        <v>3</v>
      </c>
      <c r="Y25" t="n">
        <v>4</v>
      </c>
      <c r="Z25" t="n">
        <v>3</v>
      </c>
      <c r="AA25" t="n">
        <v>4</v>
      </c>
      <c r="AB25" t="n">
        <v>3</v>
      </c>
      <c r="AC25" t="n">
        <v>4</v>
      </c>
      <c r="AD25" t="n">
        <v>4</v>
      </c>
      <c r="AE25" t="n">
        <v>4</v>
      </c>
      <c r="AF25" t="n">
        <v>3</v>
      </c>
      <c r="AG25" t="n">
        <v>3</v>
      </c>
      <c r="AH25" t="n">
        <v>3</v>
      </c>
      <c r="AJ25" t="n">
        <v>4</v>
      </c>
      <c r="AK25" t="n">
        <v>4</v>
      </c>
      <c r="AL25" t="n">
        <v>3</v>
      </c>
      <c r="AM25" t="n">
        <v>3</v>
      </c>
      <c r="AN25" t="n">
        <v>4</v>
      </c>
      <c r="AO25" t="n">
        <v>3</v>
      </c>
      <c r="AP25" t="n">
        <v>4</v>
      </c>
      <c r="AQ25" t="n">
        <v>3</v>
      </c>
      <c r="AR25" t="n">
        <v>4</v>
      </c>
      <c r="AS25" t="n">
        <v>3</v>
      </c>
      <c r="AT25" t="n">
        <v>3</v>
      </c>
      <c r="AU25" t="n">
        <v>3</v>
      </c>
      <c r="AV25" t="n">
        <v>3</v>
      </c>
      <c r="AW25" t="n">
        <v>4</v>
      </c>
      <c r="AX25" t="n">
        <v>3</v>
      </c>
      <c r="AZ25" t="n">
        <v>3</v>
      </c>
      <c r="BA25" t="n">
        <v>4</v>
      </c>
      <c r="BB25" t="n">
        <v>4</v>
      </c>
      <c r="BC25" t="n">
        <v>3</v>
      </c>
      <c r="BD25" t="n">
        <v>3</v>
      </c>
      <c r="BE25" t="n">
        <v>3</v>
      </c>
      <c r="BF25" t="n">
        <v>2</v>
      </c>
      <c r="BG25" t="n">
        <v>1</v>
      </c>
      <c r="BH25" t="n">
        <v>3</v>
      </c>
      <c r="BI25" t="n">
        <v>3</v>
      </c>
      <c r="BJ25" t="n">
        <v>2</v>
      </c>
      <c r="BK25" t="n">
        <v>3</v>
      </c>
      <c r="BL25" t="n">
        <v>1</v>
      </c>
      <c r="BM25" t="n">
        <v>2</v>
      </c>
      <c r="BN25" t="n">
        <v>2</v>
      </c>
      <c r="BO25" t="n">
        <v>2</v>
      </c>
      <c r="BP25" t="n">
        <v>2</v>
      </c>
      <c r="BQ25" t="n">
        <v>3</v>
      </c>
      <c r="BR25" t="n">
        <v>1</v>
      </c>
      <c r="BS25" s="56">
        <f>IF(COUNT(N25:W25)&gt;=8,AVERAGE(N25:W25),"")</f>
        <v/>
      </c>
      <c r="BT25" s="56">
        <f>IF(COUNT(X25:AE25)&gt;=7,AVERAGE(X25:AE25),"")</f>
        <v/>
      </c>
      <c r="BU25" s="56">
        <f>IF(COUNT(AF25:AM25)&gt;=7,AVERAGE(AF25:AM25),"")</f>
        <v/>
      </c>
      <c r="BV25" s="56">
        <f>IF(COUNT(AN25:AV25)&gt;=8,AVERAGE(AN25:AV25),"")</f>
        <v/>
      </c>
      <c r="BW25" s="56">
        <f>IF(COUNT(AW25:BD25)&gt;=7,AVERAGE(AW25:BD25),"")</f>
        <v/>
      </c>
      <c r="BX25" s="56">
        <f>IF(COUNT(BE25:BJ25)&gt;=5,AVERAGE(BE25:BJ25),"")</f>
        <v/>
      </c>
      <c r="BY25" s="56">
        <f>IF(COUNT(BK25:BR25)&gt;=7,AVERAGE(BK25:BR25),"")</f>
        <v/>
      </c>
    </row>
    <row r="26">
      <c r="A26" t="inlineStr">
        <is>
          <t>P025</t>
        </is>
      </c>
      <c r="B26" t="inlineStr">
        <is>
          <t>No</t>
        </is>
      </c>
      <c r="C26" t="inlineStr">
        <is>
          <t>Yes</t>
        </is>
      </c>
      <c r="D26" t="inlineStr">
        <is>
          <t>Male</t>
        </is>
      </c>
      <c r="E26" t="inlineStr">
        <is>
          <t>35-44</t>
        </is>
      </c>
      <c r="F26" t="inlineStr">
        <is>
          <t>Diploma/OND/NCE</t>
        </is>
      </c>
      <c r="G26" t="inlineStr">
        <is>
          <t>Commercial bank</t>
        </is>
      </c>
      <c r="H26" t="inlineStr">
        <is>
          <t>Other</t>
        </is>
      </c>
      <c r="I26" t="inlineStr">
        <is>
          <t>Less than 2</t>
        </is>
      </c>
      <c r="J26" t="inlineStr">
        <is>
          <t>Yes</t>
        </is>
      </c>
      <c r="K26" t="n">
        <v>1</v>
      </c>
      <c r="L26" t="inlineStr">
        <is>
          <t>No</t>
        </is>
      </c>
      <c r="M26" t="inlineStr">
        <is>
          <t>No</t>
        </is>
      </c>
      <c r="O26" t="n">
        <v>5</v>
      </c>
      <c r="P26" t="n">
        <v>5</v>
      </c>
      <c r="Q26" t="n">
        <v>3</v>
      </c>
      <c r="R26" t="n">
        <v>3</v>
      </c>
      <c r="S26" t="n">
        <v>4</v>
      </c>
      <c r="T26" t="n">
        <v>3</v>
      </c>
      <c r="U26" t="n">
        <v>5</v>
      </c>
      <c r="V26" t="n">
        <v>5</v>
      </c>
      <c r="W26" t="n">
        <v>4</v>
      </c>
      <c r="X26" t="n">
        <v>4</v>
      </c>
      <c r="Y26" t="n">
        <v>2</v>
      </c>
      <c r="Z26" t="n">
        <v>3</v>
      </c>
      <c r="AA26" t="n">
        <v>1</v>
      </c>
      <c r="AB26" t="n">
        <v>3</v>
      </c>
      <c r="AC26" t="n">
        <v>3</v>
      </c>
      <c r="AD26" t="n">
        <v>2</v>
      </c>
      <c r="AE26" t="n">
        <v>3</v>
      </c>
      <c r="AF26" t="n">
        <v>3</v>
      </c>
      <c r="AG26" t="n">
        <v>3</v>
      </c>
      <c r="AH26" t="n">
        <v>1</v>
      </c>
      <c r="AI26" t="n">
        <v>2</v>
      </c>
      <c r="AJ26" t="n">
        <v>2</v>
      </c>
      <c r="AL26" t="n">
        <v>1</v>
      </c>
      <c r="AM26" t="n">
        <v>2</v>
      </c>
      <c r="AN26" t="n">
        <v>3</v>
      </c>
      <c r="AO26" t="n">
        <v>2</v>
      </c>
      <c r="AP26" t="n">
        <v>3</v>
      </c>
      <c r="AQ26" t="n">
        <v>3</v>
      </c>
      <c r="AR26" t="n">
        <v>3</v>
      </c>
      <c r="AS26" t="n">
        <v>1</v>
      </c>
      <c r="AT26" t="n">
        <v>2</v>
      </c>
      <c r="AU26" t="n">
        <v>2</v>
      </c>
      <c r="AV26" t="n">
        <v>3</v>
      </c>
      <c r="AW26" t="n">
        <v>3</v>
      </c>
      <c r="AX26" t="n">
        <v>2</v>
      </c>
      <c r="AY26" t="n">
        <v>1</v>
      </c>
      <c r="AZ26" t="n">
        <v>2</v>
      </c>
      <c r="BA26" t="n">
        <v>2</v>
      </c>
      <c r="BB26" t="n">
        <v>3</v>
      </c>
      <c r="BC26" t="n">
        <v>2</v>
      </c>
      <c r="BD26" t="n">
        <v>1</v>
      </c>
      <c r="BE26" t="n">
        <v>3</v>
      </c>
      <c r="BF26" t="n">
        <v>5</v>
      </c>
      <c r="BG26" t="n">
        <v>3</v>
      </c>
      <c r="BH26" t="n">
        <v>3</v>
      </c>
      <c r="BI26" t="n">
        <v>4</v>
      </c>
      <c r="BJ26" t="n">
        <v>3</v>
      </c>
      <c r="BK26" t="n">
        <v>4</v>
      </c>
      <c r="BL26" t="n">
        <v>4</v>
      </c>
      <c r="BM26" t="n">
        <v>5</v>
      </c>
      <c r="BN26" t="n">
        <v>3</v>
      </c>
      <c r="BO26" t="n">
        <v>4</v>
      </c>
      <c r="BP26" t="n">
        <v>4</v>
      </c>
      <c r="BQ26" t="n">
        <v>4</v>
      </c>
      <c r="BR26" t="n">
        <v>5</v>
      </c>
      <c r="BS26" s="56">
        <f>IF(COUNT(N26:W26)&gt;=8,AVERAGE(N26:W26),"")</f>
        <v/>
      </c>
      <c r="BT26" s="56">
        <f>IF(COUNT(X26:AE26)&gt;=7,AVERAGE(X26:AE26),"")</f>
        <v/>
      </c>
      <c r="BU26" s="56">
        <f>IF(COUNT(AF26:AM26)&gt;=7,AVERAGE(AF26:AM26),"")</f>
        <v/>
      </c>
      <c r="BV26" s="56">
        <f>IF(COUNT(AN26:AV26)&gt;=8,AVERAGE(AN26:AV26),"")</f>
        <v/>
      </c>
      <c r="BW26" s="56">
        <f>IF(COUNT(AW26:BD26)&gt;=7,AVERAGE(AW26:BD26),"")</f>
        <v/>
      </c>
      <c r="BX26" s="56">
        <f>IF(COUNT(BE26:BJ26)&gt;=5,AVERAGE(BE26:BJ26),"")</f>
        <v/>
      </c>
      <c r="BY26" s="56">
        <f>IF(COUNT(BK26:BR26)&gt;=7,AVERAGE(BK26:BR26),"")</f>
        <v/>
      </c>
    </row>
    <row r="27">
      <c r="A27" t="inlineStr">
        <is>
          <t>P026</t>
        </is>
      </c>
      <c r="B27" t="inlineStr">
        <is>
          <t>No</t>
        </is>
      </c>
      <c r="C27" t="inlineStr">
        <is>
          <t>Yes</t>
        </is>
      </c>
      <c r="D27" t="inlineStr">
        <is>
          <t>Female</t>
        </is>
      </c>
      <c r="E27" t="inlineStr">
        <is>
          <t>35-44</t>
        </is>
      </c>
      <c r="F27" t="inlineStr">
        <is>
          <t>Diploma/OND/NCE</t>
        </is>
      </c>
      <c r="G27" t="inlineStr">
        <is>
          <t>Microfinance bank</t>
        </is>
      </c>
      <c r="H27" t="inlineStr">
        <is>
          <t>Relationship/Marketing</t>
        </is>
      </c>
      <c r="I27" t="inlineStr">
        <is>
          <t>6-10</t>
        </is>
      </c>
      <c r="J27" t="inlineStr">
        <is>
          <t>Yes</t>
        </is>
      </c>
      <c r="K27" t="n">
        <v>1</v>
      </c>
      <c r="L27" t="inlineStr">
        <is>
          <t>Yes</t>
        </is>
      </c>
      <c r="M27" t="inlineStr">
        <is>
          <t>No</t>
        </is>
      </c>
      <c r="N27" t="n">
        <v>5</v>
      </c>
      <c r="O27" t="n">
        <v>4</v>
      </c>
      <c r="P27" t="n">
        <v>5</v>
      </c>
      <c r="Q27" t="n">
        <v>3</v>
      </c>
      <c r="R27" t="n">
        <v>5</v>
      </c>
      <c r="S27" t="n">
        <v>5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5</v>
      </c>
      <c r="AA27" t="n">
        <v>5</v>
      </c>
      <c r="AB27" t="n">
        <v>4</v>
      </c>
      <c r="AC27" t="n">
        <v>5</v>
      </c>
      <c r="AD27" t="n">
        <v>4</v>
      </c>
      <c r="AE27" t="n">
        <v>5</v>
      </c>
      <c r="AF27" t="n">
        <v>4</v>
      </c>
      <c r="AG27" t="n">
        <v>4</v>
      </c>
      <c r="AH27" t="n">
        <v>3</v>
      </c>
      <c r="AI27" t="n">
        <v>3</v>
      </c>
      <c r="AJ27" t="n">
        <v>4</v>
      </c>
      <c r="AK27" t="n">
        <v>4</v>
      </c>
      <c r="AL27" t="n">
        <v>3</v>
      </c>
      <c r="AM27" t="n">
        <v>4</v>
      </c>
      <c r="AN27" t="n">
        <v>5</v>
      </c>
      <c r="AO27" t="n">
        <v>4</v>
      </c>
      <c r="AP27" t="n">
        <v>5</v>
      </c>
      <c r="AQ27" t="n">
        <v>5</v>
      </c>
      <c r="AR27" t="n">
        <v>5</v>
      </c>
      <c r="AS27" t="n">
        <v>5</v>
      </c>
      <c r="AT27" t="n">
        <v>4</v>
      </c>
      <c r="AU27" t="n">
        <v>5</v>
      </c>
      <c r="AV27" t="n">
        <v>4</v>
      </c>
      <c r="AW27" t="n">
        <v>5</v>
      </c>
      <c r="AX27" t="n">
        <v>4</v>
      </c>
      <c r="AY27" t="n">
        <v>5</v>
      </c>
      <c r="AZ27" t="n">
        <v>3</v>
      </c>
      <c r="BA27" t="n">
        <v>4</v>
      </c>
      <c r="BB27" t="n">
        <v>3</v>
      </c>
      <c r="BC27" t="n">
        <v>4</v>
      </c>
      <c r="BD27" t="n">
        <v>4</v>
      </c>
      <c r="BE27" t="n">
        <v>3</v>
      </c>
      <c r="BF27" t="n">
        <v>3</v>
      </c>
      <c r="BG27" t="n">
        <v>2</v>
      </c>
      <c r="BH27" t="n">
        <v>4</v>
      </c>
      <c r="BI27" t="n">
        <v>3</v>
      </c>
      <c r="BJ27" t="n">
        <v>3</v>
      </c>
      <c r="BK27" t="n">
        <v>2</v>
      </c>
      <c r="BL27" t="n">
        <v>2</v>
      </c>
      <c r="BM27" t="n">
        <v>3</v>
      </c>
      <c r="BN27" t="n">
        <v>2</v>
      </c>
      <c r="BO27" t="n">
        <v>3</v>
      </c>
      <c r="BP27" t="n">
        <v>3</v>
      </c>
      <c r="BQ27" t="n">
        <v>3</v>
      </c>
      <c r="BR27" t="n">
        <v>2</v>
      </c>
      <c r="BS27" s="56">
        <f>IF(COUNT(N27:W27)&gt;=8,AVERAGE(N27:W27),"")</f>
        <v/>
      </c>
      <c r="BT27" s="56">
        <f>IF(COUNT(X27:AE27)&gt;=7,AVERAGE(X27:AE27),"")</f>
        <v/>
      </c>
      <c r="BU27" s="56">
        <f>IF(COUNT(AF27:AM27)&gt;=7,AVERAGE(AF27:AM27),"")</f>
        <v/>
      </c>
      <c r="BV27" s="56">
        <f>IF(COUNT(AN27:AV27)&gt;=8,AVERAGE(AN27:AV27),"")</f>
        <v/>
      </c>
      <c r="BW27" s="56">
        <f>IF(COUNT(AW27:BD27)&gt;=7,AVERAGE(AW27:BD27),"")</f>
        <v/>
      </c>
      <c r="BX27" s="56">
        <f>IF(COUNT(BE27:BJ27)&gt;=5,AVERAGE(BE27:BJ27),"")</f>
        <v/>
      </c>
      <c r="BY27" s="56">
        <f>IF(COUNT(BK27:BR27)&gt;=7,AVERAGE(BK27:BR27),"")</f>
        <v/>
      </c>
    </row>
    <row r="28">
      <c r="A28" t="inlineStr">
        <is>
          <t>P027</t>
        </is>
      </c>
      <c r="B28" t="inlineStr">
        <is>
          <t>No</t>
        </is>
      </c>
      <c r="C28" t="inlineStr">
        <is>
          <t>Yes</t>
        </is>
      </c>
      <c r="D28" t="inlineStr">
        <is>
          <t>Female</t>
        </is>
      </c>
      <c r="E28" t="inlineStr">
        <is>
          <t>25-34</t>
        </is>
      </c>
      <c r="F28" t="inlineStr">
        <is>
          <t>Bachelor/HND</t>
        </is>
      </c>
      <c r="G28" t="inlineStr">
        <is>
          <t>Digital bank/neobank</t>
        </is>
      </c>
      <c r="H28" t="inlineStr">
        <is>
          <t>IT/Technology</t>
        </is>
      </c>
      <c r="I28" t="inlineStr">
        <is>
          <t>16 or more</t>
        </is>
      </c>
      <c r="J28" t="inlineStr">
        <is>
          <t>Yes</t>
        </is>
      </c>
      <c r="K28" t="n">
        <v>0</v>
      </c>
      <c r="L28" t="inlineStr">
        <is>
          <t>No</t>
        </is>
      </c>
      <c r="M28" t="inlineStr">
        <is>
          <t>No</t>
        </is>
      </c>
      <c r="N28" t="n">
        <v>3</v>
      </c>
      <c r="O28" t="n">
        <v>2</v>
      </c>
      <c r="P28" t="n">
        <v>3</v>
      </c>
      <c r="Q28" t="n">
        <v>2</v>
      </c>
      <c r="R28" t="n">
        <v>2</v>
      </c>
      <c r="S28" t="n">
        <v>4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2</v>
      </c>
      <c r="AB28" t="n">
        <v>3</v>
      </c>
      <c r="AC28" t="n">
        <v>3</v>
      </c>
      <c r="AD28" t="n">
        <v>4</v>
      </c>
      <c r="AE28" t="n">
        <v>3</v>
      </c>
      <c r="AF28" t="n">
        <v>1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3</v>
      </c>
      <c r="AR28" t="n">
        <v>2</v>
      </c>
      <c r="AS28" t="n">
        <v>2</v>
      </c>
      <c r="AT28" t="n">
        <v>3</v>
      </c>
      <c r="AV28" t="n">
        <v>3</v>
      </c>
      <c r="AW28" t="n">
        <v>2</v>
      </c>
      <c r="AX28" t="n">
        <v>2</v>
      </c>
      <c r="AY28" t="n">
        <v>3</v>
      </c>
      <c r="AZ28" t="n">
        <v>2</v>
      </c>
      <c r="BA28" t="n">
        <v>3</v>
      </c>
      <c r="BB28" t="n">
        <v>3</v>
      </c>
      <c r="BC28" t="n">
        <v>2</v>
      </c>
      <c r="BD28" t="n">
        <v>2</v>
      </c>
      <c r="BE28" t="n">
        <v>3</v>
      </c>
      <c r="BF28" t="n">
        <v>3</v>
      </c>
      <c r="BG28" t="n">
        <v>3</v>
      </c>
      <c r="BH28" t="n">
        <v>3</v>
      </c>
      <c r="BI28" t="n">
        <v>2</v>
      </c>
      <c r="BJ28" t="n">
        <v>3</v>
      </c>
      <c r="BK28" t="n">
        <v>2</v>
      </c>
      <c r="BL28" t="n">
        <v>4</v>
      </c>
      <c r="BM28" t="n">
        <v>4</v>
      </c>
      <c r="BN28" t="n">
        <v>3</v>
      </c>
      <c r="BO28" t="n">
        <v>4</v>
      </c>
      <c r="BP28" t="n">
        <v>4</v>
      </c>
      <c r="BQ28" t="n">
        <v>3</v>
      </c>
      <c r="BR28" t="n">
        <v>3</v>
      </c>
      <c r="BS28" s="56">
        <f>IF(COUNT(N28:W28)&gt;=8,AVERAGE(N28:W28),"")</f>
        <v/>
      </c>
      <c r="BT28" s="56">
        <f>IF(COUNT(X28:AE28)&gt;=7,AVERAGE(X28:AE28),"")</f>
        <v/>
      </c>
      <c r="BU28" s="56">
        <f>IF(COUNT(AF28:AM28)&gt;=7,AVERAGE(AF28:AM28),"")</f>
        <v/>
      </c>
      <c r="BV28" s="56">
        <f>IF(COUNT(AN28:AV28)&gt;=8,AVERAGE(AN28:AV28),"")</f>
        <v/>
      </c>
      <c r="BW28" s="56">
        <f>IF(COUNT(AW28:BD28)&gt;=7,AVERAGE(AW28:BD28),"")</f>
        <v/>
      </c>
      <c r="BX28" s="56">
        <f>IF(COUNT(BE28:BJ28)&gt;=5,AVERAGE(BE28:BJ28),"")</f>
        <v/>
      </c>
      <c r="BY28" s="56">
        <f>IF(COUNT(BK28:BR28)&gt;=7,AVERAGE(BK28:BR28),"")</f>
        <v/>
      </c>
    </row>
    <row r="29">
      <c r="A29" t="inlineStr">
        <is>
          <t>P028</t>
        </is>
      </c>
      <c r="B29" t="inlineStr">
        <is>
          <t>No</t>
        </is>
      </c>
      <c r="C29" t="inlineStr">
        <is>
          <t>Yes</t>
        </is>
      </c>
      <c r="D29" t="inlineStr">
        <is>
          <t>Male</t>
        </is>
      </c>
      <c r="E29" t="inlineStr">
        <is>
          <t>45-54</t>
        </is>
      </c>
      <c r="F29" t="inlineStr">
        <is>
          <t>Bachelor/HND</t>
        </is>
      </c>
      <c r="G29" t="inlineStr">
        <is>
          <t>Commercial bank</t>
        </is>
      </c>
      <c r="H29" t="inlineStr">
        <is>
          <t>Management/Strategy</t>
        </is>
      </c>
      <c r="I29" t="inlineStr">
        <is>
          <t>2-5</t>
        </is>
      </c>
      <c r="J29" t="inlineStr">
        <is>
          <t>Yes</t>
        </is>
      </c>
      <c r="K29" t="n">
        <v>3</v>
      </c>
      <c r="L29" t="inlineStr">
        <is>
          <t>Yes</t>
        </is>
      </c>
      <c r="M29" t="inlineStr">
        <is>
          <t>No</t>
        </is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4</v>
      </c>
      <c r="T29" t="n">
        <v>3</v>
      </c>
      <c r="U29" t="n">
        <v>3</v>
      </c>
      <c r="V29" t="n">
        <v>5</v>
      </c>
      <c r="W29" t="n">
        <v>3</v>
      </c>
      <c r="X29" t="n">
        <v>4</v>
      </c>
      <c r="Z29" t="n">
        <v>4</v>
      </c>
      <c r="AA29" t="n">
        <v>4</v>
      </c>
      <c r="AB29" t="n">
        <v>3</v>
      </c>
      <c r="AC29" t="n">
        <v>4</v>
      </c>
      <c r="AD29" t="n">
        <v>4</v>
      </c>
      <c r="AE29" t="n">
        <v>3</v>
      </c>
      <c r="AF29" t="n">
        <v>4</v>
      </c>
      <c r="AG29" t="n">
        <v>4</v>
      </c>
      <c r="AH29" t="n">
        <v>4</v>
      </c>
      <c r="AI29" t="n">
        <v>5</v>
      </c>
      <c r="AJ29" t="n">
        <v>4</v>
      </c>
      <c r="AK29" t="n">
        <v>5</v>
      </c>
      <c r="AL29" t="n">
        <v>5</v>
      </c>
      <c r="AM29" t="n">
        <v>4</v>
      </c>
      <c r="AN29" t="n">
        <v>4</v>
      </c>
      <c r="AO29" t="n">
        <v>3</v>
      </c>
      <c r="AP29" t="n">
        <v>3</v>
      </c>
      <c r="AQ29" t="n">
        <v>4</v>
      </c>
      <c r="AR29" t="n">
        <v>4</v>
      </c>
      <c r="AS29" t="n">
        <v>3</v>
      </c>
      <c r="AT29" t="n">
        <v>4</v>
      </c>
      <c r="AU29" t="n">
        <v>3</v>
      </c>
      <c r="AV29" t="n">
        <v>3</v>
      </c>
      <c r="AW29" t="n">
        <v>5</v>
      </c>
      <c r="AY29" t="n">
        <v>5</v>
      </c>
      <c r="AZ29" t="n">
        <v>4</v>
      </c>
      <c r="BA29" t="n">
        <v>5</v>
      </c>
      <c r="BB29" t="n">
        <v>5</v>
      </c>
      <c r="BC29" t="n">
        <v>3</v>
      </c>
      <c r="BD29" t="n">
        <v>4</v>
      </c>
      <c r="BE29" t="n">
        <v>4</v>
      </c>
      <c r="BF29" t="n">
        <v>3</v>
      </c>
      <c r="BG29" t="n">
        <v>4</v>
      </c>
      <c r="BH29" t="n">
        <v>5</v>
      </c>
      <c r="BI29" t="n">
        <v>5</v>
      </c>
      <c r="BJ29" t="n">
        <v>3</v>
      </c>
      <c r="BK29" t="n">
        <v>4</v>
      </c>
      <c r="BL29" t="n">
        <v>2</v>
      </c>
      <c r="BM29" t="n">
        <v>4</v>
      </c>
      <c r="BN29" t="n">
        <v>4</v>
      </c>
      <c r="BO29" t="n">
        <v>3</v>
      </c>
      <c r="BP29" t="n">
        <v>3</v>
      </c>
      <c r="BQ29" t="n">
        <v>5</v>
      </c>
      <c r="BR29" t="n">
        <v>2</v>
      </c>
      <c r="BS29" s="56">
        <f>IF(COUNT(N29:W29)&gt;=8,AVERAGE(N29:W29),"")</f>
        <v/>
      </c>
      <c r="BT29" s="56">
        <f>IF(COUNT(X29:AE29)&gt;=7,AVERAGE(X29:AE29),"")</f>
        <v/>
      </c>
      <c r="BU29" s="56">
        <f>IF(COUNT(AF29:AM29)&gt;=7,AVERAGE(AF29:AM29),"")</f>
        <v/>
      </c>
      <c r="BV29" s="56">
        <f>IF(COUNT(AN29:AV29)&gt;=8,AVERAGE(AN29:AV29),"")</f>
        <v/>
      </c>
      <c r="BW29" s="56">
        <f>IF(COUNT(AW29:BD29)&gt;=7,AVERAGE(AW29:BD29),"")</f>
        <v/>
      </c>
      <c r="BX29" s="56">
        <f>IF(COUNT(BE29:BJ29)&gt;=5,AVERAGE(BE29:BJ29),"")</f>
        <v/>
      </c>
      <c r="BY29" s="56">
        <f>IF(COUNT(BK29:BR29)&gt;=7,AVERAGE(BK29:BR29),"")</f>
        <v/>
      </c>
    </row>
    <row r="30">
      <c r="A30" t="inlineStr">
        <is>
          <t>P029</t>
        </is>
      </c>
      <c r="B30" t="inlineStr">
        <is>
          <t>No</t>
        </is>
      </c>
      <c r="C30" t="inlineStr">
        <is>
          <t>Yes</t>
        </is>
      </c>
      <c r="D30" t="inlineStr">
        <is>
          <t>Female</t>
        </is>
      </c>
      <c r="E30" t="inlineStr">
        <is>
          <t>55 or above</t>
        </is>
      </c>
      <c r="F30" t="inlineStr">
        <is>
          <t>Bachelor/HND</t>
        </is>
      </c>
      <c r="G30" t="inlineStr">
        <is>
          <t>Insurance/investment/other licensed financial institution</t>
        </is>
      </c>
      <c r="H30" t="inlineStr">
        <is>
          <t>Customer Experience/Service</t>
        </is>
      </c>
      <c r="I30" t="inlineStr">
        <is>
          <t>Less than 2</t>
        </is>
      </c>
      <c r="J30" t="inlineStr">
        <is>
          <t>Yes</t>
        </is>
      </c>
      <c r="K30" t="n">
        <v>3</v>
      </c>
      <c r="L30" t="inlineStr">
        <is>
          <t>Yes</t>
        </is>
      </c>
      <c r="M30" t="inlineStr">
        <is>
          <t>No</t>
        </is>
      </c>
      <c r="N30" t="n">
        <v>4</v>
      </c>
      <c r="O30" t="n">
        <v>5</v>
      </c>
      <c r="P30" t="n">
        <v>5</v>
      </c>
      <c r="Q30" t="n">
        <v>5</v>
      </c>
      <c r="R30" t="n">
        <v>4</v>
      </c>
      <c r="S30" t="n">
        <v>4</v>
      </c>
      <c r="T30" t="n">
        <v>5</v>
      </c>
      <c r="U30" t="n">
        <v>4</v>
      </c>
      <c r="V30" t="n">
        <v>5</v>
      </c>
      <c r="W30" t="n">
        <v>4</v>
      </c>
      <c r="X30" t="n">
        <v>5</v>
      </c>
      <c r="Y30" t="n">
        <v>4</v>
      </c>
      <c r="Z30" t="n">
        <v>4</v>
      </c>
      <c r="AA30" t="n">
        <v>3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2</v>
      </c>
      <c r="AH30" t="n">
        <v>2</v>
      </c>
      <c r="AI30" t="n">
        <v>3</v>
      </c>
      <c r="AJ30" t="n">
        <v>4</v>
      </c>
      <c r="AK30" t="n">
        <v>3</v>
      </c>
      <c r="AL30" t="n">
        <v>3</v>
      </c>
      <c r="AM30" t="n">
        <v>4</v>
      </c>
      <c r="AN30" t="n">
        <v>5</v>
      </c>
      <c r="AO30" t="n">
        <v>3</v>
      </c>
      <c r="AP30" t="n">
        <v>5</v>
      </c>
      <c r="AR30" t="n">
        <v>5</v>
      </c>
      <c r="AS30" t="n">
        <v>5</v>
      </c>
      <c r="AT30" t="n">
        <v>4</v>
      </c>
      <c r="AU30" t="n">
        <v>3</v>
      </c>
      <c r="AV30" t="n">
        <v>4</v>
      </c>
      <c r="AW30" t="n">
        <v>3</v>
      </c>
      <c r="AX30" t="n">
        <v>3</v>
      </c>
      <c r="AY30" t="n">
        <v>5</v>
      </c>
      <c r="AZ30" t="n">
        <v>3</v>
      </c>
      <c r="BA30" t="n">
        <v>4</v>
      </c>
      <c r="BB30" t="n">
        <v>4</v>
      </c>
      <c r="BC30" t="n">
        <v>4</v>
      </c>
      <c r="BD30" t="n">
        <v>3</v>
      </c>
      <c r="BE30" t="n">
        <v>3</v>
      </c>
      <c r="BF30" t="n">
        <v>4</v>
      </c>
      <c r="BG30" t="n">
        <v>3</v>
      </c>
      <c r="BH30" t="n">
        <v>3</v>
      </c>
      <c r="BI30" t="n">
        <v>3</v>
      </c>
      <c r="BJ30" t="n">
        <v>4</v>
      </c>
      <c r="BK30" t="n">
        <v>4</v>
      </c>
      <c r="BL30" t="n">
        <v>2</v>
      </c>
      <c r="BM30" t="n">
        <v>3</v>
      </c>
      <c r="BN30" t="n">
        <v>2</v>
      </c>
      <c r="BO30" t="n">
        <v>3</v>
      </c>
      <c r="BP30" t="n">
        <v>2</v>
      </c>
      <c r="BQ30" t="n">
        <v>2</v>
      </c>
      <c r="BR30" t="n">
        <v>2</v>
      </c>
      <c r="BS30" s="56">
        <f>IF(COUNT(N30:W30)&gt;=8,AVERAGE(N30:W30),"")</f>
        <v/>
      </c>
      <c r="BT30" s="56">
        <f>IF(COUNT(X30:AE30)&gt;=7,AVERAGE(X30:AE30),"")</f>
        <v/>
      </c>
      <c r="BU30" s="56">
        <f>IF(COUNT(AF30:AM30)&gt;=7,AVERAGE(AF30:AM30),"")</f>
        <v/>
      </c>
      <c r="BV30" s="56">
        <f>IF(COUNT(AN30:AV30)&gt;=8,AVERAGE(AN30:AV30),"")</f>
        <v/>
      </c>
      <c r="BW30" s="56">
        <f>IF(COUNT(AW30:BD30)&gt;=7,AVERAGE(AW30:BD30),"")</f>
        <v/>
      </c>
      <c r="BX30" s="56">
        <f>IF(COUNT(BE30:BJ30)&gt;=5,AVERAGE(BE30:BJ30),"")</f>
        <v/>
      </c>
      <c r="BY30" s="56">
        <f>IF(COUNT(BK30:BR30)&gt;=7,AVERAGE(BK30:BR30),"")</f>
        <v/>
      </c>
    </row>
    <row r="31">
      <c r="A31" t="inlineStr">
        <is>
          <t>P030</t>
        </is>
      </c>
      <c r="B31" t="inlineStr">
        <is>
          <t>No</t>
        </is>
      </c>
      <c r="C31" t="inlineStr">
        <is>
          <t>Yes</t>
        </is>
      </c>
      <c r="D31" t="inlineStr">
        <is>
          <t>Female</t>
        </is>
      </c>
      <c r="E31" t="inlineStr">
        <is>
          <t>35-44</t>
        </is>
      </c>
      <c r="F31" t="inlineStr">
        <is>
          <t>Diploma/OND/NCE</t>
        </is>
      </c>
      <c r="G31" t="inlineStr">
        <is>
          <t>Merchant bank</t>
        </is>
      </c>
      <c r="H31" t="inlineStr">
        <is>
          <t>Digital Banking/Product</t>
        </is>
      </c>
      <c r="I31" t="inlineStr">
        <is>
          <t>11-15</t>
        </is>
      </c>
      <c r="J31" t="inlineStr">
        <is>
          <t>Yes</t>
        </is>
      </c>
      <c r="K31" t="n">
        <v>1</v>
      </c>
      <c r="L31" t="inlineStr">
        <is>
          <t>No</t>
        </is>
      </c>
      <c r="M31" t="inlineStr">
        <is>
          <t>No</t>
        </is>
      </c>
      <c r="N31" t="n">
        <v>2</v>
      </c>
      <c r="O31" t="n">
        <v>3</v>
      </c>
      <c r="P31" t="n">
        <v>3</v>
      </c>
      <c r="Q31" t="n">
        <v>1</v>
      </c>
      <c r="R31" t="n">
        <v>4</v>
      </c>
      <c r="S31" t="n">
        <v>4</v>
      </c>
      <c r="T31" t="n">
        <v>3</v>
      </c>
      <c r="U31" t="n">
        <v>3</v>
      </c>
      <c r="V31" t="n">
        <v>3</v>
      </c>
      <c r="W31" t="n">
        <v>1</v>
      </c>
      <c r="X31" t="n">
        <v>4</v>
      </c>
      <c r="Y31" t="n">
        <v>3</v>
      </c>
      <c r="AA31" t="n">
        <v>2</v>
      </c>
      <c r="AB31" t="n">
        <v>3</v>
      </c>
      <c r="AC31" t="n">
        <v>3</v>
      </c>
      <c r="AD31" t="n">
        <v>4</v>
      </c>
      <c r="AE31" t="n">
        <v>4</v>
      </c>
      <c r="AF31" t="n">
        <v>2</v>
      </c>
      <c r="AG31" t="n">
        <v>3</v>
      </c>
      <c r="AH31" t="n">
        <v>3</v>
      </c>
      <c r="AI31" t="n">
        <v>2</v>
      </c>
      <c r="AJ31" t="n">
        <v>4</v>
      </c>
      <c r="AK31" t="n">
        <v>3</v>
      </c>
      <c r="AL31" t="n">
        <v>4</v>
      </c>
      <c r="AM31" t="n">
        <v>3</v>
      </c>
      <c r="AN31" t="n">
        <v>4</v>
      </c>
      <c r="AO31" t="n">
        <v>4</v>
      </c>
      <c r="AP31" t="n">
        <v>3</v>
      </c>
      <c r="AQ31" t="n">
        <v>3</v>
      </c>
      <c r="AR31" t="n">
        <v>4</v>
      </c>
      <c r="AS31" t="n">
        <v>3</v>
      </c>
      <c r="AT31" t="n">
        <v>3</v>
      </c>
      <c r="AU31" t="n">
        <v>3</v>
      </c>
      <c r="AV31" t="n">
        <v>4</v>
      </c>
      <c r="AW31" t="n">
        <v>4</v>
      </c>
      <c r="AX31" t="n">
        <v>4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2</v>
      </c>
      <c r="BE31" t="n">
        <v>2</v>
      </c>
      <c r="BF31" t="n">
        <v>3</v>
      </c>
      <c r="BG31" t="n">
        <v>2</v>
      </c>
      <c r="BH31" t="n">
        <v>3</v>
      </c>
      <c r="BJ31" t="n">
        <v>2</v>
      </c>
      <c r="BK31" t="n">
        <v>2</v>
      </c>
      <c r="BL31" t="n">
        <v>2</v>
      </c>
      <c r="BM31" t="n">
        <v>4</v>
      </c>
      <c r="BN31" t="n">
        <v>3</v>
      </c>
      <c r="BO31" t="n">
        <v>2</v>
      </c>
      <c r="BP31" t="n">
        <v>4</v>
      </c>
      <c r="BQ31" t="n">
        <v>4</v>
      </c>
      <c r="BR31" t="n">
        <v>2</v>
      </c>
      <c r="BS31" s="56">
        <f>IF(COUNT(N31:W31)&gt;=8,AVERAGE(N31:W31),"")</f>
        <v/>
      </c>
      <c r="BT31" s="56">
        <f>IF(COUNT(X31:AE31)&gt;=7,AVERAGE(X31:AE31),"")</f>
        <v/>
      </c>
      <c r="BU31" s="56">
        <f>IF(COUNT(AF31:AM31)&gt;=7,AVERAGE(AF31:AM31),"")</f>
        <v/>
      </c>
      <c r="BV31" s="56">
        <f>IF(COUNT(AN31:AV31)&gt;=8,AVERAGE(AN31:AV31),"")</f>
        <v/>
      </c>
      <c r="BW31" s="56">
        <f>IF(COUNT(AW31:BD31)&gt;=7,AVERAGE(AW31:BD31),"")</f>
        <v/>
      </c>
      <c r="BX31" s="56">
        <f>IF(COUNT(BE31:BJ31)&gt;=5,AVERAGE(BE31:BJ31),"")</f>
        <v/>
      </c>
      <c r="BY31" s="56">
        <f>IF(COUNT(BK31:BR31)&gt;=7,AVERAGE(BK31:BR31),"")</f>
        <v/>
      </c>
    </row>
    <row r="32">
      <c r="A32" t="inlineStr">
        <is>
          <t>R001</t>
        </is>
      </c>
      <c r="B32" t="inlineStr">
        <is>
          <t>No</t>
        </is>
      </c>
      <c r="C32" t="inlineStr">
        <is>
          <t>No</t>
        </is>
      </c>
      <c r="D32" t="inlineStr">
        <is>
          <t>Male</t>
        </is>
      </c>
      <c r="E32" t="inlineStr">
        <is>
          <t>18-24</t>
        </is>
      </c>
      <c r="F32" t="inlineStr">
        <is>
          <t>Master's</t>
        </is>
      </c>
      <c r="G32" t="inlineStr">
        <is>
          <t>Commercial bank</t>
        </is>
      </c>
      <c r="H32" t="inlineStr">
        <is>
          <t>Customer Experience/Service</t>
        </is>
      </c>
      <c r="I32" t="inlineStr">
        <is>
          <t>2-5</t>
        </is>
      </c>
      <c r="J32" t="inlineStr">
        <is>
          <t>Yes</t>
        </is>
      </c>
      <c r="K32" t="n">
        <v>4</v>
      </c>
      <c r="L32" t="inlineStr">
        <is>
          <t>Yes</t>
        </is>
      </c>
      <c r="M32" t="inlineStr">
        <is>
          <t>Yes</t>
        </is>
      </c>
      <c r="N32" t="n">
        <v>3</v>
      </c>
      <c r="O32" t="n">
        <v>4</v>
      </c>
      <c r="P32" t="n">
        <v>5</v>
      </c>
      <c r="Q32" t="n">
        <v>5</v>
      </c>
      <c r="R32" t="n">
        <v>4</v>
      </c>
      <c r="S32" t="n">
        <v>3</v>
      </c>
      <c r="T32" t="n">
        <v>3</v>
      </c>
      <c r="U32" t="n">
        <v>4</v>
      </c>
      <c r="V32" t="n">
        <v>4</v>
      </c>
      <c r="W32" t="n">
        <v>4</v>
      </c>
      <c r="X32" t="n">
        <v>3</v>
      </c>
      <c r="Y32" t="n">
        <v>1</v>
      </c>
      <c r="Z32" t="n">
        <v>2</v>
      </c>
      <c r="AA32" t="n">
        <v>3</v>
      </c>
      <c r="AB32" t="n">
        <v>3</v>
      </c>
      <c r="AC32" t="n">
        <v>2</v>
      </c>
      <c r="AD32" t="n">
        <v>2</v>
      </c>
      <c r="AE32" t="n">
        <v>2</v>
      </c>
      <c r="AF32" t="n">
        <v>3</v>
      </c>
      <c r="AG32" t="n">
        <v>3</v>
      </c>
      <c r="AH32" t="n">
        <v>2</v>
      </c>
      <c r="AI32" t="n">
        <v>2</v>
      </c>
      <c r="AJ32" t="n">
        <v>2</v>
      </c>
      <c r="AK32" t="n">
        <v>3</v>
      </c>
      <c r="AL32" t="n">
        <v>2</v>
      </c>
      <c r="AM32" t="n">
        <v>2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2</v>
      </c>
      <c r="AU32" t="n">
        <v>1</v>
      </c>
      <c r="AV32" t="n">
        <v>2</v>
      </c>
      <c r="AW32" t="n">
        <v>1</v>
      </c>
      <c r="AX32" t="n">
        <v>1</v>
      </c>
      <c r="AY32" t="n">
        <v>2</v>
      </c>
      <c r="AZ32" t="n">
        <v>1</v>
      </c>
      <c r="BA32" t="n">
        <v>2</v>
      </c>
      <c r="BB32" t="n">
        <v>2</v>
      </c>
      <c r="BC32" t="n">
        <v>1</v>
      </c>
      <c r="BD32" t="n">
        <v>1</v>
      </c>
      <c r="BE32" t="n">
        <v>4</v>
      </c>
      <c r="BF32" t="n">
        <v>4</v>
      </c>
      <c r="BG32" t="n">
        <v>3</v>
      </c>
      <c r="BH32" t="n">
        <v>4</v>
      </c>
      <c r="BI32" t="n">
        <v>2</v>
      </c>
      <c r="BJ32" t="n">
        <v>4</v>
      </c>
      <c r="BK32" t="n">
        <v>3</v>
      </c>
      <c r="BL32" t="n">
        <v>3</v>
      </c>
      <c r="BM32" t="n">
        <v>4</v>
      </c>
      <c r="BN32" t="n">
        <v>3</v>
      </c>
      <c r="BO32" t="n">
        <v>5</v>
      </c>
      <c r="BP32" t="n">
        <v>5</v>
      </c>
      <c r="BQ32" t="n">
        <v>4</v>
      </c>
      <c r="BR32" t="n">
        <v>4</v>
      </c>
      <c r="BS32" s="56">
        <f>IF(COUNT(N32:W32)&gt;=8,AVERAGE(N32:W32),"")</f>
        <v/>
      </c>
      <c r="BT32" s="56">
        <f>IF(COUNT(X32:AE32)&gt;=7,AVERAGE(X32:AE32),"")</f>
        <v/>
      </c>
      <c r="BU32" s="56">
        <f>IF(COUNT(AF32:AM32)&gt;=7,AVERAGE(AF32:AM32),"")</f>
        <v/>
      </c>
      <c r="BV32" s="56">
        <f>IF(COUNT(AN32:AV32)&gt;=8,AVERAGE(AN32:AV32),"")</f>
        <v/>
      </c>
      <c r="BW32" s="56">
        <f>IF(COUNT(AW32:BD32)&gt;=7,AVERAGE(AW32:BD32),"")</f>
        <v/>
      </c>
      <c r="BX32" s="56">
        <f>IF(COUNT(BE32:BJ32)&gt;=5,AVERAGE(BE32:BJ32),"")</f>
        <v/>
      </c>
      <c r="BY32" s="56">
        <f>IF(COUNT(BK32:BR32)&gt;=7,AVERAGE(BK32:BR32),"")</f>
        <v/>
      </c>
    </row>
    <row r="33">
      <c r="A33" t="inlineStr">
        <is>
          <t>R002</t>
        </is>
      </c>
      <c r="B33" t="inlineStr">
        <is>
          <t>No</t>
        </is>
      </c>
      <c r="C33" t="inlineStr">
        <is>
          <t>No</t>
        </is>
      </c>
      <c r="D33" t="inlineStr">
        <is>
          <t>Male</t>
        </is>
      </c>
      <c r="E33" t="inlineStr">
        <is>
          <t>35-44</t>
        </is>
      </c>
      <c r="F33" t="inlineStr">
        <is>
          <t>Master's</t>
        </is>
      </c>
      <c r="G33" t="inlineStr">
        <is>
          <t>Commercial bank</t>
        </is>
      </c>
      <c r="H33" t="inlineStr">
        <is>
          <t>Risk/Compliance</t>
        </is>
      </c>
      <c r="I33" t="inlineStr">
        <is>
          <t>11-15</t>
        </is>
      </c>
      <c r="J33" t="inlineStr">
        <is>
          <t>Yes</t>
        </is>
      </c>
      <c r="K33" t="n">
        <v>0</v>
      </c>
      <c r="L33" t="inlineStr">
        <is>
          <t>No</t>
        </is>
      </c>
      <c r="M33" t="inlineStr">
        <is>
          <t>Yes</t>
        </is>
      </c>
      <c r="N33" t="n">
        <v>2</v>
      </c>
      <c r="O33" t="n">
        <v>2</v>
      </c>
      <c r="P33" t="n">
        <v>3</v>
      </c>
      <c r="Q33" t="n">
        <v>2</v>
      </c>
      <c r="R33" t="n">
        <v>2</v>
      </c>
      <c r="S33" t="n">
        <v>3</v>
      </c>
      <c r="T33" t="n">
        <v>1</v>
      </c>
      <c r="V33" t="n">
        <v>2</v>
      </c>
      <c r="W33" t="n">
        <v>2</v>
      </c>
      <c r="X33" t="n">
        <v>2</v>
      </c>
      <c r="Y33" t="n">
        <v>1</v>
      </c>
      <c r="Z33" t="n">
        <v>2</v>
      </c>
      <c r="AA33" t="n">
        <v>1</v>
      </c>
      <c r="AC33" t="n">
        <v>2</v>
      </c>
      <c r="AD33" t="n">
        <v>2</v>
      </c>
      <c r="AE33" t="n">
        <v>2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2</v>
      </c>
      <c r="AL33" t="n">
        <v>2</v>
      </c>
      <c r="AM33" t="n">
        <v>2</v>
      </c>
      <c r="AN33" t="n">
        <v>3</v>
      </c>
      <c r="AO33" t="n">
        <v>2</v>
      </c>
      <c r="AP33" t="n">
        <v>2</v>
      </c>
      <c r="AQ33" t="n">
        <v>2</v>
      </c>
      <c r="AR33" t="n">
        <v>3</v>
      </c>
      <c r="AS33" t="n">
        <v>3</v>
      </c>
      <c r="AT33" t="n">
        <v>2</v>
      </c>
      <c r="AU33" t="n">
        <v>2</v>
      </c>
      <c r="AV33" t="n">
        <v>4</v>
      </c>
      <c r="AW33" t="n">
        <v>2</v>
      </c>
      <c r="AX33" t="n">
        <v>1</v>
      </c>
      <c r="AY33" t="n">
        <v>2</v>
      </c>
      <c r="AZ33" t="n">
        <v>2</v>
      </c>
      <c r="BA33" t="n">
        <v>3</v>
      </c>
      <c r="BB33" t="n">
        <v>2</v>
      </c>
      <c r="BC33" t="n">
        <v>2</v>
      </c>
      <c r="BD33" t="n">
        <v>2</v>
      </c>
      <c r="BE33" t="n">
        <v>3</v>
      </c>
      <c r="BF33" t="n">
        <v>3</v>
      </c>
      <c r="BG33" t="n">
        <v>2</v>
      </c>
      <c r="BH33" t="n">
        <v>3</v>
      </c>
      <c r="BI33" t="n">
        <v>3</v>
      </c>
      <c r="BK33" t="n">
        <v>5</v>
      </c>
      <c r="BL33" t="n">
        <v>4</v>
      </c>
      <c r="BM33" t="n">
        <v>5</v>
      </c>
      <c r="BN33" t="n">
        <v>4</v>
      </c>
      <c r="BO33" t="n">
        <v>5</v>
      </c>
      <c r="BP33" t="n">
        <v>3</v>
      </c>
      <c r="BQ33" t="n">
        <v>5</v>
      </c>
      <c r="BR33" t="n">
        <v>4</v>
      </c>
      <c r="BS33" s="56">
        <f>IF(COUNT(N33:W33)&gt;=8,AVERAGE(N33:W33),"")</f>
        <v/>
      </c>
      <c r="BT33" s="56">
        <f>IF(COUNT(X33:AE33)&gt;=7,AVERAGE(X33:AE33),"")</f>
        <v/>
      </c>
      <c r="BU33" s="56">
        <f>IF(COUNT(AF33:AM33)&gt;=7,AVERAGE(AF33:AM33),"")</f>
        <v/>
      </c>
      <c r="BV33" s="56">
        <f>IF(COUNT(AN33:AV33)&gt;=8,AVERAGE(AN33:AV33),"")</f>
        <v/>
      </c>
      <c r="BW33" s="56">
        <f>IF(COUNT(AW33:BD33)&gt;=7,AVERAGE(AW33:BD33),"")</f>
        <v/>
      </c>
      <c r="BX33" s="56">
        <f>IF(COUNT(BE33:BJ33)&gt;=5,AVERAGE(BE33:BJ33),"")</f>
        <v/>
      </c>
      <c r="BY33" s="56">
        <f>IF(COUNT(BK33:BR33)&gt;=7,AVERAGE(BK33:BR33),"")</f>
        <v/>
      </c>
    </row>
    <row r="34">
      <c r="A34" t="inlineStr">
        <is>
          <t>R003</t>
        </is>
      </c>
      <c r="B34" t="inlineStr">
        <is>
          <t>No</t>
        </is>
      </c>
      <c r="C34" t="inlineStr">
        <is>
          <t>No</t>
        </is>
      </c>
      <c r="D34" t="inlineStr">
        <is>
          <t>Female</t>
        </is>
      </c>
      <c r="E34" t="inlineStr">
        <is>
          <t>35-44</t>
        </is>
      </c>
      <c r="F34" t="inlineStr">
        <is>
          <t>Bachelor/HND</t>
        </is>
      </c>
      <c r="G34" t="inlineStr">
        <is>
          <t>Fintech/payment provider</t>
        </is>
      </c>
      <c r="H34" t="inlineStr">
        <is>
          <t>Customer Experience/Service</t>
        </is>
      </c>
      <c r="I34" t="inlineStr">
        <is>
          <t>6-10</t>
        </is>
      </c>
      <c r="J34" t="inlineStr">
        <is>
          <t>Yes</t>
        </is>
      </c>
      <c r="K34" t="n">
        <v>3</v>
      </c>
      <c r="L34" t="inlineStr">
        <is>
          <t>Yes</t>
        </is>
      </c>
      <c r="M34" t="inlineStr">
        <is>
          <t>Yes</t>
        </is>
      </c>
      <c r="N34" t="n">
        <v>2</v>
      </c>
      <c r="O34" t="n">
        <v>1</v>
      </c>
      <c r="P34" t="n">
        <v>3</v>
      </c>
      <c r="Q34" t="n">
        <v>1</v>
      </c>
      <c r="R34" t="n">
        <v>3</v>
      </c>
      <c r="S34" t="n">
        <v>2</v>
      </c>
      <c r="T34" t="n">
        <v>3</v>
      </c>
      <c r="U34" t="n">
        <v>4</v>
      </c>
      <c r="V34" t="n">
        <v>2</v>
      </c>
      <c r="W34" t="n">
        <v>4</v>
      </c>
      <c r="X34" t="n">
        <v>3</v>
      </c>
      <c r="Y34" t="n">
        <v>3</v>
      </c>
      <c r="Z34" t="n">
        <v>3</v>
      </c>
      <c r="AA34" t="n">
        <v>2</v>
      </c>
      <c r="AB34" t="n">
        <v>2</v>
      </c>
      <c r="AC34" t="n">
        <v>3</v>
      </c>
      <c r="AD34" t="n">
        <v>2</v>
      </c>
      <c r="AE34" t="n">
        <v>2</v>
      </c>
      <c r="AF34" t="n">
        <v>3</v>
      </c>
      <c r="AG34" t="n">
        <v>3</v>
      </c>
      <c r="AH34" t="n">
        <v>2</v>
      </c>
      <c r="AI34" t="n">
        <v>3</v>
      </c>
      <c r="AJ34" t="n">
        <v>2</v>
      </c>
      <c r="AK34" t="n">
        <v>3</v>
      </c>
      <c r="AM34" t="n">
        <v>3</v>
      </c>
      <c r="AN34" t="n">
        <v>3</v>
      </c>
      <c r="AO34" t="n">
        <v>3</v>
      </c>
      <c r="AP34" t="n">
        <v>5</v>
      </c>
      <c r="AQ34" t="n">
        <v>3</v>
      </c>
      <c r="AR34" t="n">
        <v>4</v>
      </c>
      <c r="AS34" t="n">
        <v>3</v>
      </c>
      <c r="AT34" t="n">
        <v>4</v>
      </c>
      <c r="AU34" t="n">
        <v>3</v>
      </c>
      <c r="AV34" t="n">
        <v>3</v>
      </c>
      <c r="AW34" t="n">
        <v>3</v>
      </c>
      <c r="AX34" t="n">
        <v>2</v>
      </c>
      <c r="AY34" t="n">
        <v>2</v>
      </c>
      <c r="AZ34" t="n">
        <v>2</v>
      </c>
      <c r="BA34" t="n">
        <v>3</v>
      </c>
      <c r="BB34" t="n">
        <v>4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3</v>
      </c>
      <c r="BI34" t="n">
        <v>3</v>
      </c>
      <c r="BJ34" t="n">
        <v>3</v>
      </c>
      <c r="BK34" t="n">
        <v>1</v>
      </c>
      <c r="BL34" t="n">
        <v>3</v>
      </c>
      <c r="BM34" t="n">
        <v>2</v>
      </c>
      <c r="BN34" t="n">
        <v>2</v>
      </c>
      <c r="BP34" t="n">
        <v>2</v>
      </c>
      <c r="BQ34" t="n">
        <v>4</v>
      </c>
      <c r="BR34" t="n">
        <v>2</v>
      </c>
      <c r="BS34" s="56">
        <f>IF(COUNT(N34:W34)&gt;=8,AVERAGE(N34:W34),"")</f>
        <v/>
      </c>
      <c r="BT34" s="56">
        <f>IF(COUNT(X34:AE34)&gt;=7,AVERAGE(X34:AE34),"")</f>
        <v/>
      </c>
      <c r="BU34" s="56">
        <f>IF(COUNT(AF34:AM34)&gt;=7,AVERAGE(AF34:AM34),"")</f>
        <v/>
      </c>
      <c r="BV34" s="56">
        <f>IF(COUNT(AN34:AV34)&gt;=8,AVERAGE(AN34:AV34),"")</f>
        <v/>
      </c>
      <c r="BW34" s="56">
        <f>IF(COUNT(AW34:BD34)&gt;=7,AVERAGE(AW34:BD34),"")</f>
        <v/>
      </c>
      <c r="BX34" s="56">
        <f>IF(COUNT(BE34:BJ34)&gt;=5,AVERAGE(BE34:BJ34),"")</f>
        <v/>
      </c>
      <c r="BY34" s="56">
        <f>IF(COUNT(BK34:BR34)&gt;=7,AVERAGE(BK34:BR34),"")</f>
        <v/>
      </c>
    </row>
    <row r="35">
      <c r="A35" t="inlineStr">
        <is>
          <t>R004</t>
        </is>
      </c>
      <c r="B35" t="inlineStr">
        <is>
          <t>No</t>
        </is>
      </c>
      <c r="C35" t="inlineStr">
        <is>
          <t>No</t>
        </is>
      </c>
      <c r="D35" t="inlineStr">
        <is>
          <t>Male</t>
        </is>
      </c>
      <c r="E35" t="inlineStr">
        <is>
          <t>35-44</t>
        </is>
      </c>
      <c r="F35" t="inlineStr">
        <is>
          <t>Bachelor/HND</t>
        </is>
      </c>
      <c r="G35" t="inlineStr">
        <is>
          <t>Commercial bank</t>
        </is>
      </c>
      <c r="H35" t="inlineStr">
        <is>
          <t>Relationship/Marketing</t>
        </is>
      </c>
      <c r="I35" t="inlineStr">
        <is>
          <t>2-5</t>
        </is>
      </c>
      <c r="J35" t="inlineStr">
        <is>
          <t>Yes</t>
        </is>
      </c>
      <c r="K35" t="n">
        <v>1</v>
      </c>
      <c r="L35" t="inlineStr">
        <is>
          <t>No</t>
        </is>
      </c>
      <c r="M35" t="inlineStr">
        <is>
          <t>Yes</t>
        </is>
      </c>
      <c r="N35" t="n">
        <v>3</v>
      </c>
      <c r="O35" t="n">
        <v>3</v>
      </c>
      <c r="P35" t="n">
        <v>4</v>
      </c>
      <c r="Q35" t="n">
        <v>4</v>
      </c>
      <c r="R35" t="n">
        <v>3</v>
      </c>
      <c r="S35" t="n">
        <v>4</v>
      </c>
      <c r="T35" t="n">
        <v>3</v>
      </c>
      <c r="U35" t="n">
        <v>4</v>
      </c>
      <c r="V35" t="n">
        <v>4</v>
      </c>
      <c r="W35" t="n">
        <v>4</v>
      </c>
      <c r="X35" t="n">
        <v>4</v>
      </c>
      <c r="Y35" t="n">
        <v>5</v>
      </c>
      <c r="Z35" t="n">
        <v>5</v>
      </c>
      <c r="AA35" t="n">
        <v>3</v>
      </c>
      <c r="AB35" t="n">
        <v>4</v>
      </c>
      <c r="AC35" t="n">
        <v>4</v>
      </c>
      <c r="AD35" t="n">
        <v>5</v>
      </c>
      <c r="AE35" t="n">
        <v>4</v>
      </c>
      <c r="AF35" t="n">
        <v>3</v>
      </c>
      <c r="AG35" t="n">
        <v>3</v>
      </c>
      <c r="AH35" t="n">
        <v>4</v>
      </c>
      <c r="AI35" t="n">
        <v>4</v>
      </c>
      <c r="AJ35" t="n">
        <v>4</v>
      </c>
      <c r="AK35" t="n">
        <v>4</v>
      </c>
      <c r="AL35" t="n">
        <v>5</v>
      </c>
      <c r="AM35" t="n">
        <v>3</v>
      </c>
      <c r="AN35" t="n">
        <v>3</v>
      </c>
      <c r="AO35" t="n">
        <v>4</v>
      </c>
      <c r="AP35" t="n">
        <v>5</v>
      </c>
      <c r="AQ35" t="n">
        <v>4</v>
      </c>
      <c r="AR35" t="n">
        <v>3</v>
      </c>
      <c r="AS35" t="n">
        <v>3</v>
      </c>
      <c r="AT35" t="n">
        <v>4</v>
      </c>
      <c r="AU35" t="n">
        <v>4</v>
      </c>
      <c r="AV35" t="n">
        <v>4</v>
      </c>
      <c r="AW35" t="n">
        <v>3</v>
      </c>
      <c r="AX35" t="n">
        <v>2</v>
      </c>
      <c r="AY35" t="n">
        <v>4</v>
      </c>
      <c r="AZ35" t="n">
        <v>3</v>
      </c>
      <c r="BA35" t="n">
        <v>4</v>
      </c>
      <c r="BB35" t="n">
        <v>3</v>
      </c>
      <c r="BC35" t="n">
        <v>3</v>
      </c>
      <c r="BD35" t="n">
        <v>3</v>
      </c>
      <c r="BE35" t="n">
        <v>3</v>
      </c>
      <c r="BF35" t="n">
        <v>2</v>
      </c>
      <c r="BG35" t="n">
        <v>2</v>
      </c>
      <c r="BH35" t="n">
        <v>2</v>
      </c>
      <c r="BI35" t="n">
        <v>4</v>
      </c>
      <c r="BJ35" t="n">
        <v>4</v>
      </c>
      <c r="BK35" t="n">
        <v>3</v>
      </c>
      <c r="BL35" t="n">
        <v>2</v>
      </c>
      <c r="BN35" t="n">
        <v>3</v>
      </c>
      <c r="BO35" t="n">
        <v>3</v>
      </c>
      <c r="BP35" t="n">
        <v>2</v>
      </c>
      <c r="BQ35" t="n">
        <v>2</v>
      </c>
      <c r="BR35" t="n">
        <v>2</v>
      </c>
      <c r="BS35" s="56">
        <f>IF(COUNT(N35:W35)&gt;=8,AVERAGE(N35:W35),"")</f>
        <v/>
      </c>
      <c r="BT35" s="56">
        <f>IF(COUNT(X35:AE35)&gt;=7,AVERAGE(X35:AE35),"")</f>
        <v/>
      </c>
      <c r="BU35" s="56">
        <f>IF(COUNT(AF35:AM35)&gt;=7,AVERAGE(AF35:AM35),"")</f>
        <v/>
      </c>
      <c r="BV35" s="56">
        <f>IF(COUNT(AN35:AV35)&gt;=8,AVERAGE(AN35:AV35),"")</f>
        <v/>
      </c>
      <c r="BW35" s="56">
        <f>IF(COUNT(AW35:BD35)&gt;=7,AVERAGE(AW35:BD35),"")</f>
        <v/>
      </c>
      <c r="BX35" s="56">
        <f>IF(COUNT(BE35:BJ35)&gt;=5,AVERAGE(BE35:BJ35),"")</f>
        <v/>
      </c>
      <c r="BY35" s="56">
        <f>IF(COUNT(BK35:BR35)&gt;=7,AVERAGE(BK35:BR35),"")</f>
        <v/>
      </c>
    </row>
    <row r="36">
      <c r="A36" t="inlineStr">
        <is>
          <t>R005</t>
        </is>
      </c>
      <c r="B36" t="inlineStr">
        <is>
          <t>No</t>
        </is>
      </c>
      <c r="C36" t="inlineStr">
        <is>
          <t>No</t>
        </is>
      </c>
      <c r="D36" t="inlineStr">
        <is>
          <t>Male</t>
        </is>
      </c>
      <c r="E36" t="inlineStr">
        <is>
          <t>25-34</t>
        </is>
      </c>
      <c r="F36" t="inlineStr">
        <is>
          <t>Bachelor/HND</t>
        </is>
      </c>
      <c r="G36" t="inlineStr">
        <is>
          <t>Microfinance bank</t>
        </is>
      </c>
      <c r="H36" t="inlineStr">
        <is>
          <t>Risk/Compliance</t>
        </is>
      </c>
      <c r="I36" t="inlineStr">
        <is>
          <t>6-10</t>
        </is>
      </c>
      <c r="J36" t="inlineStr">
        <is>
          <t>Yes</t>
        </is>
      </c>
      <c r="K36" t="n">
        <v>0</v>
      </c>
      <c r="L36" t="inlineStr">
        <is>
          <t>Do not know</t>
        </is>
      </c>
      <c r="M36" t="inlineStr">
        <is>
          <t>Yes</t>
        </is>
      </c>
      <c r="N36" t="n">
        <v>4</v>
      </c>
      <c r="O36" t="n">
        <v>3</v>
      </c>
      <c r="P36" t="n">
        <v>4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4</v>
      </c>
      <c r="W36" t="n">
        <v>2</v>
      </c>
      <c r="X36" t="n">
        <v>2</v>
      </c>
      <c r="Y36" t="n">
        <v>3</v>
      </c>
      <c r="Z36" t="n">
        <v>2</v>
      </c>
      <c r="AA36" t="n">
        <v>2</v>
      </c>
      <c r="AB36" t="n">
        <v>1</v>
      </c>
      <c r="AC36" t="n">
        <v>3</v>
      </c>
      <c r="AD36" t="n">
        <v>2</v>
      </c>
      <c r="AE36" t="n">
        <v>1</v>
      </c>
      <c r="AG36" t="n">
        <v>2</v>
      </c>
      <c r="AH36" t="n">
        <v>2</v>
      </c>
      <c r="AI36" t="n">
        <v>3</v>
      </c>
      <c r="AJ36" t="n">
        <v>3</v>
      </c>
      <c r="AK36" t="n">
        <v>3</v>
      </c>
      <c r="AL36" t="n">
        <v>3</v>
      </c>
      <c r="AM36" t="n">
        <v>2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2</v>
      </c>
      <c r="AV36" t="n">
        <v>3</v>
      </c>
      <c r="AW36" t="n">
        <v>4</v>
      </c>
      <c r="AX36" t="n">
        <v>2</v>
      </c>
      <c r="AY36" t="n">
        <v>2</v>
      </c>
      <c r="AZ36" t="n">
        <v>1</v>
      </c>
      <c r="BA36" t="n">
        <v>5</v>
      </c>
      <c r="BB36" t="n">
        <v>3</v>
      </c>
      <c r="BC36" t="n">
        <v>3</v>
      </c>
      <c r="BD36" t="n">
        <v>2</v>
      </c>
      <c r="BE36" t="n">
        <v>2</v>
      </c>
      <c r="BF36" t="n">
        <v>2</v>
      </c>
      <c r="BG36" t="n">
        <v>3</v>
      </c>
      <c r="BH36" t="n">
        <v>3</v>
      </c>
      <c r="BI36" t="n">
        <v>2</v>
      </c>
      <c r="BJ36" t="n">
        <v>4</v>
      </c>
      <c r="BK36" t="n">
        <v>4</v>
      </c>
      <c r="BL36" t="n">
        <v>3</v>
      </c>
      <c r="BM36" t="n">
        <v>5</v>
      </c>
      <c r="BN36" t="n">
        <v>3</v>
      </c>
      <c r="BO36" t="n">
        <v>4</v>
      </c>
      <c r="BP36" t="n">
        <v>5</v>
      </c>
      <c r="BQ36" t="n">
        <v>4</v>
      </c>
      <c r="BR36" t="n">
        <v>3</v>
      </c>
      <c r="BS36" s="56">
        <f>IF(COUNT(N36:W36)&gt;=8,AVERAGE(N36:W36),"")</f>
        <v/>
      </c>
      <c r="BT36" s="56">
        <f>IF(COUNT(X36:AE36)&gt;=7,AVERAGE(X36:AE36),"")</f>
        <v/>
      </c>
      <c r="BU36" s="56">
        <f>IF(COUNT(AF36:AM36)&gt;=7,AVERAGE(AF36:AM36),"")</f>
        <v/>
      </c>
      <c r="BV36" s="56">
        <f>IF(COUNT(AN36:AV36)&gt;=8,AVERAGE(AN36:AV36),"")</f>
        <v/>
      </c>
      <c r="BW36" s="56">
        <f>IF(COUNT(AW36:BD36)&gt;=7,AVERAGE(AW36:BD36),"")</f>
        <v/>
      </c>
      <c r="BX36" s="56">
        <f>IF(COUNT(BE36:BJ36)&gt;=5,AVERAGE(BE36:BJ36),"")</f>
        <v/>
      </c>
      <c r="BY36" s="56">
        <f>IF(COUNT(BK36:BR36)&gt;=7,AVERAGE(BK36:BR36),"")</f>
        <v/>
      </c>
    </row>
    <row r="37">
      <c r="A37" t="inlineStr">
        <is>
          <t>R006</t>
        </is>
      </c>
      <c r="B37" t="inlineStr">
        <is>
          <t>No</t>
        </is>
      </c>
      <c r="C37" t="inlineStr">
        <is>
          <t>Yes</t>
        </is>
      </c>
      <c r="D37" t="inlineStr">
        <is>
          <t>Female</t>
        </is>
      </c>
      <c r="E37" t="inlineStr">
        <is>
          <t>25-34</t>
        </is>
      </c>
      <c r="F37" t="inlineStr">
        <is>
          <t>Bachelor/HND</t>
        </is>
      </c>
      <c r="G37" t="inlineStr">
        <is>
          <t>Insurance/investment/other licensed financial institution</t>
        </is>
      </c>
      <c r="H37" t="inlineStr">
        <is>
          <t>Risk/Compliance</t>
        </is>
      </c>
      <c r="I37" t="inlineStr">
        <is>
          <t>2-5</t>
        </is>
      </c>
      <c r="J37" t="inlineStr">
        <is>
          <t>Yes</t>
        </is>
      </c>
      <c r="K37" t="n">
        <v>3</v>
      </c>
      <c r="L37" t="inlineStr">
        <is>
          <t>Yes</t>
        </is>
      </c>
      <c r="M37" t="inlineStr">
        <is>
          <t>No</t>
        </is>
      </c>
      <c r="N37" t="n">
        <v>4</v>
      </c>
      <c r="O37" t="n">
        <v>3</v>
      </c>
      <c r="P37" t="n">
        <v>3</v>
      </c>
      <c r="Q37" t="n">
        <v>2</v>
      </c>
      <c r="R37" t="n">
        <v>2</v>
      </c>
      <c r="S37" t="n">
        <v>4</v>
      </c>
      <c r="T37" t="n">
        <v>2</v>
      </c>
      <c r="U37" t="n">
        <v>3</v>
      </c>
      <c r="V37" t="n">
        <v>3</v>
      </c>
      <c r="W37" t="n">
        <v>3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5</v>
      </c>
      <c r="AE37" t="n">
        <v>4</v>
      </c>
      <c r="AF37" t="n">
        <v>2</v>
      </c>
      <c r="AG37" t="n">
        <v>4</v>
      </c>
      <c r="AH37" t="n">
        <v>2</v>
      </c>
      <c r="AI37" t="n">
        <v>4</v>
      </c>
      <c r="AJ37" t="n">
        <v>3</v>
      </c>
      <c r="AK37" t="n">
        <v>3</v>
      </c>
      <c r="AL37" t="n">
        <v>4</v>
      </c>
      <c r="AM37" t="n">
        <v>3</v>
      </c>
      <c r="AN37" t="n">
        <v>4</v>
      </c>
      <c r="AO37" t="n">
        <v>4</v>
      </c>
      <c r="AP37" t="n">
        <v>3</v>
      </c>
      <c r="AQ37" t="n">
        <v>3</v>
      </c>
      <c r="AR37" t="n">
        <v>5</v>
      </c>
      <c r="AS37" t="n">
        <v>4</v>
      </c>
      <c r="AT37" t="n">
        <v>3</v>
      </c>
      <c r="AU37" t="n">
        <v>3</v>
      </c>
      <c r="AV37" t="n">
        <v>5</v>
      </c>
      <c r="AW37" t="n">
        <v>5</v>
      </c>
      <c r="AX37" t="n">
        <v>2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4</v>
      </c>
      <c r="BF37" t="n">
        <v>3</v>
      </c>
      <c r="BG37" t="n">
        <v>4</v>
      </c>
      <c r="BH37" t="n">
        <v>4</v>
      </c>
      <c r="BJ37" t="n">
        <v>3</v>
      </c>
      <c r="BK37" t="n">
        <v>3</v>
      </c>
      <c r="BL37" t="n">
        <v>2</v>
      </c>
      <c r="BM37" t="n">
        <v>3</v>
      </c>
      <c r="BN37" t="n">
        <v>3</v>
      </c>
      <c r="BO37" t="n">
        <v>2</v>
      </c>
      <c r="BP37" t="n">
        <v>3</v>
      </c>
      <c r="BQ37" t="n">
        <v>2</v>
      </c>
      <c r="BR37" t="n">
        <v>3</v>
      </c>
      <c r="BS37" s="56">
        <f>IF(COUNT(N37:W37)&gt;=8,AVERAGE(N37:W37),"")</f>
        <v/>
      </c>
      <c r="BT37" s="56">
        <f>IF(COUNT(X37:AE37)&gt;=7,AVERAGE(X37:AE37),"")</f>
        <v/>
      </c>
      <c r="BU37" s="56">
        <f>IF(COUNT(AF37:AM37)&gt;=7,AVERAGE(AF37:AM37),"")</f>
        <v/>
      </c>
      <c r="BV37" s="56">
        <f>IF(COUNT(AN37:AV37)&gt;=8,AVERAGE(AN37:AV37),"")</f>
        <v/>
      </c>
      <c r="BW37" s="56">
        <f>IF(COUNT(AW37:BD37)&gt;=7,AVERAGE(AW37:BD37),"")</f>
        <v/>
      </c>
      <c r="BX37" s="56">
        <f>IF(COUNT(BE37:BJ37)&gt;=5,AVERAGE(BE37:BJ37),"")</f>
        <v/>
      </c>
      <c r="BY37" s="56">
        <f>IF(COUNT(BK37:BR37)&gt;=7,AVERAGE(BK37:BR37),"")</f>
        <v/>
      </c>
    </row>
    <row r="38">
      <c r="A38" t="inlineStr">
        <is>
          <t>R007</t>
        </is>
      </c>
      <c r="B38" t="inlineStr">
        <is>
          <t>No</t>
        </is>
      </c>
      <c r="C38" t="inlineStr">
        <is>
          <t>Yes</t>
        </is>
      </c>
      <c r="D38" t="inlineStr">
        <is>
          <t>Female</t>
        </is>
      </c>
      <c r="E38" t="inlineStr">
        <is>
          <t>35-44</t>
        </is>
      </c>
      <c r="F38" t="inlineStr">
        <is>
          <t>Bachelor/HND</t>
        </is>
      </c>
      <c r="G38" t="inlineStr">
        <is>
          <t>Digital bank/neobank</t>
        </is>
      </c>
      <c r="H38" t="inlineStr">
        <is>
          <t>Relationship/Marketing</t>
        </is>
      </c>
      <c r="I38" t="inlineStr">
        <is>
          <t>2-5</t>
        </is>
      </c>
      <c r="J38" t="inlineStr">
        <is>
          <t>Yes</t>
        </is>
      </c>
      <c r="K38" t="n">
        <v>0</v>
      </c>
      <c r="L38" t="inlineStr">
        <is>
          <t>Yes</t>
        </is>
      </c>
      <c r="M38" t="inlineStr">
        <is>
          <t>No</t>
        </is>
      </c>
      <c r="N38" t="n">
        <v>3</v>
      </c>
      <c r="O38" t="n">
        <v>3</v>
      </c>
      <c r="P38" t="n">
        <v>3</v>
      </c>
      <c r="Q38" t="n">
        <v>3</v>
      </c>
      <c r="R38" t="n">
        <v>4</v>
      </c>
      <c r="S38" t="n">
        <v>4</v>
      </c>
      <c r="T38" t="n">
        <v>4</v>
      </c>
      <c r="U38" t="n">
        <v>3</v>
      </c>
      <c r="V38" t="n">
        <v>5</v>
      </c>
      <c r="W38" t="n">
        <v>4</v>
      </c>
      <c r="X38" t="n">
        <v>4</v>
      </c>
      <c r="Y38" t="n">
        <v>3</v>
      </c>
      <c r="Z38" t="n">
        <v>4</v>
      </c>
      <c r="AA38" t="n">
        <v>3</v>
      </c>
      <c r="AB38" t="n">
        <v>3</v>
      </c>
      <c r="AC38" t="n">
        <v>4</v>
      </c>
      <c r="AD38" t="n">
        <v>5</v>
      </c>
      <c r="AE38" t="n">
        <v>3</v>
      </c>
      <c r="AF38" t="n">
        <v>4</v>
      </c>
      <c r="AG38" t="n">
        <v>4</v>
      </c>
      <c r="AH38" t="n">
        <v>2</v>
      </c>
      <c r="AI38" t="n">
        <v>4</v>
      </c>
      <c r="AJ38" t="n">
        <v>3</v>
      </c>
      <c r="AK38" t="n">
        <v>5</v>
      </c>
      <c r="AL38" t="n">
        <v>2</v>
      </c>
      <c r="AM38" t="n">
        <v>4</v>
      </c>
      <c r="AN38" t="n">
        <v>4</v>
      </c>
      <c r="AO38" t="n">
        <v>2</v>
      </c>
      <c r="AP38" t="n">
        <v>3</v>
      </c>
      <c r="AQ38" t="n">
        <v>3</v>
      </c>
      <c r="AR38" t="n">
        <v>4</v>
      </c>
      <c r="AS38" t="n">
        <v>2</v>
      </c>
      <c r="AT38" t="n">
        <v>2</v>
      </c>
      <c r="AU38" t="n">
        <v>3</v>
      </c>
      <c r="AV38" t="n">
        <v>3</v>
      </c>
      <c r="AW38" t="n">
        <v>5</v>
      </c>
      <c r="AX38" t="n">
        <v>3</v>
      </c>
      <c r="AY38" t="n">
        <v>4</v>
      </c>
      <c r="AZ38" t="n">
        <v>5</v>
      </c>
      <c r="BA38" t="n">
        <v>4</v>
      </c>
      <c r="BB38" t="n">
        <v>4</v>
      </c>
      <c r="BC38" t="n">
        <v>3</v>
      </c>
      <c r="BD38" t="n">
        <v>3</v>
      </c>
      <c r="BE38" t="n">
        <v>3</v>
      </c>
      <c r="BF38" t="n">
        <v>3</v>
      </c>
      <c r="BG38" t="n">
        <v>2</v>
      </c>
      <c r="BH38" t="n">
        <v>3</v>
      </c>
      <c r="BI38" t="n">
        <v>2</v>
      </c>
      <c r="BJ38" t="n">
        <v>3</v>
      </c>
      <c r="BK38" t="n">
        <v>3</v>
      </c>
      <c r="BL38" t="n">
        <v>3</v>
      </c>
      <c r="BM38" t="n">
        <v>2</v>
      </c>
      <c r="BN38" t="n">
        <v>2</v>
      </c>
      <c r="BO38" t="n">
        <v>3</v>
      </c>
      <c r="BP38" t="n">
        <v>2</v>
      </c>
      <c r="BQ38" t="n">
        <v>4</v>
      </c>
      <c r="BR38" t="n">
        <v>1</v>
      </c>
      <c r="BS38" s="56">
        <f>IF(COUNT(N38:W38)&gt;=8,AVERAGE(N38:W38),"")</f>
        <v/>
      </c>
      <c r="BT38" s="56">
        <f>IF(COUNT(X38:AE38)&gt;=7,AVERAGE(X38:AE38),"")</f>
        <v/>
      </c>
      <c r="BU38" s="56">
        <f>IF(COUNT(AF38:AM38)&gt;=7,AVERAGE(AF38:AM38),"")</f>
        <v/>
      </c>
      <c r="BV38" s="56">
        <f>IF(COUNT(AN38:AV38)&gt;=8,AVERAGE(AN38:AV38),"")</f>
        <v/>
      </c>
      <c r="BW38" s="56">
        <f>IF(COUNT(AW38:BD38)&gt;=7,AVERAGE(AW38:BD38),"")</f>
        <v/>
      </c>
      <c r="BX38" s="56">
        <f>IF(COUNT(BE38:BJ38)&gt;=5,AVERAGE(BE38:BJ38),"")</f>
        <v/>
      </c>
      <c r="BY38" s="56">
        <f>IF(COUNT(BK38:BR38)&gt;=7,AVERAGE(BK38:BR38),"")</f>
        <v/>
      </c>
    </row>
    <row r="39">
      <c r="A39" t="inlineStr">
        <is>
          <t>R008</t>
        </is>
      </c>
      <c r="B39" t="inlineStr">
        <is>
          <t>No</t>
        </is>
      </c>
      <c r="C39" t="inlineStr">
        <is>
          <t>Yes</t>
        </is>
      </c>
      <c r="D39" t="inlineStr">
        <is>
          <t>Female</t>
        </is>
      </c>
      <c r="E39" t="inlineStr">
        <is>
          <t>25-34</t>
        </is>
      </c>
      <c r="F39" t="inlineStr">
        <is>
          <t>Bachelor/HND</t>
        </is>
      </c>
      <c r="G39" t="inlineStr">
        <is>
          <t>Digital bank/neobank</t>
        </is>
      </c>
      <c r="H39" t="inlineStr">
        <is>
          <t>Relationship/Marketing</t>
        </is>
      </c>
      <c r="I39" t="inlineStr">
        <is>
          <t>6-10</t>
        </is>
      </c>
      <c r="J39" t="inlineStr">
        <is>
          <t>Yes</t>
        </is>
      </c>
      <c r="K39" t="n">
        <v>3</v>
      </c>
      <c r="L39" t="inlineStr">
        <is>
          <t>No</t>
        </is>
      </c>
      <c r="M39" t="inlineStr">
        <is>
          <t>No</t>
        </is>
      </c>
      <c r="N39" t="n">
        <v>3</v>
      </c>
      <c r="O39" t="n">
        <v>2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2</v>
      </c>
      <c r="V39" t="n">
        <v>3</v>
      </c>
      <c r="W39" t="n">
        <v>4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4</v>
      </c>
      <c r="AD39" t="n">
        <v>3</v>
      </c>
      <c r="AE39" t="n">
        <v>3</v>
      </c>
      <c r="AF39" t="n">
        <v>3</v>
      </c>
      <c r="AG39" t="n">
        <v>4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4</v>
      </c>
      <c r="AN39" t="n">
        <v>4</v>
      </c>
      <c r="AO39" t="n">
        <v>3</v>
      </c>
      <c r="AP39" t="n">
        <v>5</v>
      </c>
      <c r="AQ39" t="n">
        <v>3</v>
      </c>
      <c r="AS39" t="n">
        <v>4</v>
      </c>
      <c r="AT39" t="n">
        <v>5</v>
      </c>
      <c r="AU39" t="n">
        <v>4</v>
      </c>
      <c r="AV39" t="n">
        <v>4</v>
      </c>
      <c r="AW39" t="n">
        <v>4</v>
      </c>
      <c r="AX39" t="n">
        <v>3</v>
      </c>
      <c r="AY39" t="n">
        <v>4</v>
      </c>
      <c r="AZ39" t="n">
        <v>4</v>
      </c>
      <c r="BA39" t="n">
        <v>4</v>
      </c>
      <c r="BB39" t="n">
        <v>3</v>
      </c>
      <c r="BC39" t="n">
        <v>4</v>
      </c>
      <c r="BD39" t="n">
        <v>4</v>
      </c>
      <c r="BE39" t="n">
        <v>4</v>
      </c>
      <c r="BF39" t="n">
        <v>3</v>
      </c>
      <c r="BG39" t="n">
        <v>4</v>
      </c>
      <c r="BH39" t="n">
        <v>5</v>
      </c>
      <c r="BI39" t="n">
        <v>4</v>
      </c>
      <c r="BJ39" t="n">
        <v>3</v>
      </c>
      <c r="BK39" t="n">
        <v>3</v>
      </c>
      <c r="BL39" t="n">
        <v>3</v>
      </c>
      <c r="BM39" t="n">
        <v>4</v>
      </c>
      <c r="BN39" t="n">
        <v>2</v>
      </c>
      <c r="BO39" t="n">
        <v>3</v>
      </c>
      <c r="BP39" t="n">
        <v>4</v>
      </c>
      <c r="BQ39" t="n">
        <v>3</v>
      </c>
      <c r="BR39" t="n">
        <v>3</v>
      </c>
      <c r="BS39" s="56">
        <f>IF(COUNT(N39:W39)&gt;=8,AVERAGE(N39:W39),"")</f>
        <v/>
      </c>
      <c r="BT39" s="56">
        <f>IF(COUNT(X39:AE39)&gt;=7,AVERAGE(X39:AE39),"")</f>
        <v/>
      </c>
      <c r="BU39" s="56">
        <f>IF(COUNT(AF39:AM39)&gt;=7,AVERAGE(AF39:AM39),"")</f>
        <v/>
      </c>
      <c r="BV39" s="56">
        <f>IF(COUNT(AN39:AV39)&gt;=8,AVERAGE(AN39:AV39),"")</f>
        <v/>
      </c>
      <c r="BW39" s="56">
        <f>IF(COUNT(AW39:BD39)&gt;=7,AVERAGE(AW39:BD39),"")</f>
        <v/>
      </c>
      <c r="BX39" s="56">
        <f>IF(COUNT(BE39:BJ39)&gt;=5,AVERAGE(BE39:BJ39),"")</f>
        <v/>
      </c>
      <c r="BY39" s="56">
        <f>IF(COUNT(BK39:BR39)&gt;=7,AVERAGE(BK39:BR39),"")</f>
        <v/>
      </c>
    </row>
    <row r="40">
      <c r="A40" t="inlineStr">
        <is>
          <t>R009</t>
        </is>
      </c>
      <c r="B40" t="inlineStr">
        <is>
          <t>Yes</t>
        </is>
      </c>
      <c r="C40" t="inlineStr">
        <is>
          <t>Yes</t>
        </is>
      </c>
      <c r="D40" t="inlineStr">
        <is>
          <t>Male</t>
        </is>
      </c>
      <c r="E40" t="inlineStr">
        <is>
          <t>25-34</t>
        </is>
      </c>
      <c r="F40" t="inlineStr">
        <is>
          <t>Master's</t>
        </is>
      </c>
      <c r="G40" t="inlineStr">
        <is>
          <t>Microfinance bank</t>
        </is>
      </c>
      <c r="H40" t="inlineStr">
        <is>
          <t>Relationship/Marketing</t>
        </is>
      </c>
      <c r="I40" t="inlineStr">
        <is>
          <t>6-10</t>
        </is>
      </c>
      <c r="J40" t="inlineStr">
        <is>
          <t>Yes</t>
        </is>
      </c>
      <c r="K40" t="n">
        <v>2</v>
      </c>
      <c r="L40" t="inlineStr">
        <is>
          <t>Yes</t>
        </is>
      </c>
      <c r="M40" t="inlineStr">
        <is>
          <t>Yes</t>
        </is>
      </c>
      <c r="N40" t="n">
        <v>2</v>
      </c>
      <c r="O40" t="n">
        <v>3</v>
      </c>
      <c r="P40" t="n">
        <v>2</v>
      </c>
      <c r="Q40" t="n">
        <v>1</v>
      </c>
      <c r="R40" t="n">
        <v>1</v>
      </c>
      <c r="S40" t="n">
        <v>3</v>
      </c>
      <c r="T40" t="n">
        <v>2</v>
      </c>
      <c r="U40" t="n">
        <v>1</v>
      </c>
      <c r="V40" t="n">
        <v>3</v>
      </c>
      <c r="W40" t="n">
        <v>2</v>
      </c>
      <c r="X40" t="n">
        <v>4</v>
      </c>
      <c r="Y40" t="n">
        <v>3</v>
      </c>
      <c r="Z40" t="n">
        <v>4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4</v>
      </c>
      <c r="AH40" t="n">
        <v>3</v>
      </c>
      <c r="AI40" t="n">
        <v>4</v>
      </c>
      <c r="AJ40" t="n">
        <v>4</v>
      </c>
      <c r="AK40" t="n">
        <v>2</v>
      </c>
      <c r="AL40" t="n">
        <v>3</v>
      </c>
      <c r="AM40" t="n">
        <v>3</v>
      </c>
      <c r="AN40" t="n">
        <v>4</v>
      </c>
      <c r="AO40" t="n">
        <v>3</v>
      </c>
      <c r="AP40" t="n">
        <v>4</v>
      </c>
      <c r="AQ40" t="n">
        <v>4</v>
      </c>
      <c r="AR40" t="n">
        <v>3</v>
      </c>
      <c r="AS40" t="n">
        <v>4</v>
      </c>
      <c r="AT40" t="n">
        <v>4</v>
      </c>
      <c r="AU40" t="n">
        <v>3</v>
      </c>
      <c r="AV40" t="n">
        <v>5</v>
      </c>
      <c r="AW40" t="n">
        <v>4</v>
      </c>
      <c r="AX40" t="n">
        <v>4</v>
      </c>
      <c r="AY40" t="n">
        <v>3</v>
      </c>
      <c r="AZ40" t="n">
        <v>3</v>
      </c>
      <c r="BA40" t="n">
        <v>5</v>
      </c>
      <c r="BB40" t="n">
        <v>4</v>
      </c>
      <c r="BC40" t="n">
        <v>3</v>
      </c>
      <c r="BD40" t="n">
        <v>3</v>
      </c>
      <c r="BE40" t="n">
        <v>2</v>
      </c>
      <c r="BF40" t="n">
        <v>3</v>
      </c>
      <c r="BG40" t="n">
        <v>2</v>
      </c>
      <c r="BH40" t="n">
        <v>3</v>
      </c>
      <c r="BI40" t="n">
        <v>2</v>
      </c>
      <c r="BJ40" t="n">
        <v>1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2</v>
      </c>
      <c r="BS40" s="56">
        <f>IF(COUNT(N40:W40)&gt;=8,AVERAGE(N40:W40),"")</f>
        <v/>
      </c>
      <c r="BT40" s="56">
        <f>IF(COUNT(X40:AE40)&gt;=7,AVERAGE(X40:AE40),"")</f>
        <v/>
      </c>
      <c r="BU40" s="56">
        <f>IF(COUNT(AF40:AM40)&gt;=7,AVERAGE(AF40:AM40),"")</f>
        <v/>
      </c>
      <c r="BV40" s="56">
        <f>IF(COUNT(AN40:AV40)&gt;=8,AVERAGE(AN40:AV40),"")</f>
        <v/>
      </c>
      <c r="BW40" s="56">
        <f>IF(COUNT(AW40:BD40)&gt;=7,AVERAGE(AW40:BD40),"")</f>
        <v/>
      </c>
      <c r="BX40" s="56">
        <f>IF(COUNT(BE40:BJ40)&gt;=5,AVERAGE(BE40:BJ40),"")</f>
        <v/>
      </c>
      <c r="BY40" s="56">
        <f>IF(COUNT(BK40:BR40)&gt;=7,AVERAGE(BK40:BR40),"")</f>
        <v/>
      </c>
    </row>
    <row r="41">
      <c r="A41" t="inlineStr">
        <is>
          <t>R010</t>
        </is>
      </c>
      <c r="B41" t="inlineStr">
        <is>
          <t>Yes</t>
        </is>
      </c>
      <c r="C41" t="inlineStr">
        <is>
          <t>Yes</t>
        </is>
      </c>
      <c r="D41" t="inlineStr">
        <is>
          <t>Prefer not to say</t>
        </is>
      </c>
      <c r="E41" t="inlineStr">
        <is>
          <t>18-24</t>
        </is>
      </c>
      <c r="F41" t="inlineStr">
        <is>
          <t>Master's</t>
        </is>
      </c>
      <c r="G41" t="inlineStr">
        <is>
          <t>Commercial bank</t>
        </is>
      </c>
      <c r="H41" t="inlineStr">
        <is>
          <t>IT/Technology</t>
        </is>
      </c>
      <c r="I41" t="inlineStr">
        <is>
          <t>2-5</t>
        </is>
      </c>
      <c r="J41" t="inlineStr">
        <is>
          <t>Yes</t>
        </is>
      </c>
      <c r="K41" t="n">
        <v>3</v>
      </c>
      <c r="L41" t="inlineStr">
        <is>
          <t>No</t>
        </is>
      </c>
      <c r="M41" t="inlineStr">
        <is>
          <t>Yes</t>
        </is>
      </c>
      <c r="N41" t="n">
        <v>4</v>
      </c>
      <c r="O41" t="n">
        <v>3</v>
      </c>
      <c r="P41" t="n">
        <v>4</v>
      </c>
      <c r="Q41" t="n">
        <v>3</v>
      </c>
      <c r="R41" t="n">
        <v>3</v>
      </c>
      <c r="S41" t="n">
        <v>4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4</v>
      </c>
      <c r="AB41" t="n">
        <v>3</v>
      </c>
      <c r="AC41" t="n">
        <v>3</v>
      </c>
      <c r="AD41" t="n">
        <v>4</v>
      </c>
      <c r="AE41" t="n">
        <v>2</v>
      </c>
      <c r="AF41" t="n">
        <v>3</v>
      </c>
      <c r="AG41" t="n">
        <v>3</v>
      </c>
      <c r="AH41" t="n">
        <v>3</v>
      </c>
      <c r="AI41" t="n">
        <v>3</v>
      </c>
      <c r="AJ41" t="n">
        <v>2</v>
      </c>
      <c r="AK41" t="n">
        <v>3</v>
      </c>
      <c r="AL41" t="n">
        <v>3</v>
      </c>
      <c r="AM41" t="n">
        <v>2</v>
      </c>
      <c r="AN41" t="n">
        <v>4</v>
      </c>
      <c r="AO41" t="n">
        <v>3</v>
      </c>
      <c r="AP41" t="n">
        <v>4</v>
      </c>
      <c r="AQ41" t="n">
        <v>2</v>
      </c>
      <c r="AR41" t="n">
        <v>3</v>
      </c>
      <c r="AS41" t="n">
        <v>3</v>
      </c>
      <c r="AT41" t="n">
        <v>4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4</v>
      </c>
      <c r="BC41" t="n">
        <v>3</v>
      </c>
      <c r="BD41" t="n">
        <v>2</v>
      </c>
      <c r="BE41" t="n">
        <v>4</v>
      </c>
      <c r="BF41" t="n">
        <v>5</v>
      </c>
      <c r="BG41" t="n">
        <v>4</v>
      </c>
      <c r="BH41" t="n">
        <v>4</v>
      </c>
      <c r="BI41" t="n">
        <v>5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4</v>
      </c>
      <c r="BP41" t="n">
        <v>3</v>
      </c>
      <c r="BQ41" t="n">
        <v>5</v>
      </c>
      <c r="BR41" t="n">
        <v>3</v>
      </c>
      <c r="BS41" s="56">
        <f>IF(COUNT(N41:W41)&gt;=8,AVERAGE(N41:W41),"")</f>
        <v/>
      </c>
      <c r="BT41" s="56">
        <f>IF(COUNT(X41:AE41)&gt;=7,AVERAGE(X41:AE41),"")</f>
        <v/>
      </c>
      <c r="BU41" s="56">
        <f>IF(COUNT(AF41:AM41)&gt;=7,AVERAGE(AF41:AM41),"")</f>
        <v/>
      </c>
      <c r="BV41" s="56">
        <f>IF(COUNT(AN41:AV41)&gt;=8,AVERAGE(AN41:AV41),"")</f>
        <v/>
      </c>
      <c r="BW41" s="56">
        <f>IF(COUNT(AW41:BD41)&gt;=7,AVERAGE(AW41:BD41),"")</f>
        <v/>
      </c>
      <c r="BX41" s="56">
        <f>IF(COUNT(BE41:BJ41)&gt;=5,AVERAGE(BE41:BJ41),"")</f>
        <v/>
      </c>
      <c r="BY41" s="56">
        <f>IF(COUNT(BK41:BR41)&gt;=7,AVERAGE(BK41:BR41),"")</f>
        <v/>
      </c>
    </row>
    <row r="42">
      <c r="A42" t="inlineStr">
        <is>
          <t>R011</t>
        </is>
      </c>
      <c r="B42" t="inlineStr">
        <is>
          <t>Yes</t>
        </is>
      </c>
      <c r="C42" t="inlineStr">
        <is>
          <t>Yes</t>
        </is>
      </c>
      <c r="D42" t="inlineStr">
        <is>
          <t>Female</t>
        </is>
      </c>
      <c r="E42" t="inlineStr">
        <is>
          <t>25-34</t>
        </is>
      </c>
      <c r="F42" t="inlineStr">
        <is>
          <t>Other</t>
        </is>
      </c>
      <c r="G42" t="inlineStr">
        <is>
          <t>Commercial bank</t>
        </is>
      </c>
      <c r="H42" t="inlineStr">
        <is>
          <t>Customer Experience/Service</t>
        </is>
      </c>
      <c r="I42" t="inlineStr">
        <is>
          <t>Less than 2</t>
        </is>
      </c>
      <c r="J42" t="inlineStr">
        <is>
          <t>Yes</t>
        </is>
      </c>
      <c r="K42" t="n">
        <v>1</v>
      </c>
      <c r="L42" t="inlineStr">
        <is>
          <t>No</t>
        </is>
      </c>
      <c r="M42" t="inlineStr">
        <is>
          <t>Yes</t>
        </is>
      </c>
      <c r="N42" t="n">
        <v>2</v>
      </c>
      <c r="O42" t="n">
        <v>4</v>
      </c>
      <c r="P42" t="n">
        <v>4</v>
      </c>
      <c r="Q42" t="n">
        <v>3</v>
      </c>
      <c r="R42" t="n">
        <v>3</v>
      </c>
      <c r="S42" t="n">
        <v>4</v>
      </c>
      <c r="T42" t="n">
        <v>2</v>
      </c>
      <c r="U42" t="n">
        <v>4</v>
      </c>
      <c r="V42" t="n">
        <v>4</v>
      </c>
      <c r="W42" t="n">
        <v>3</v>
      </c>
      <c r="X42" t="n">
        <v>3</v>
      </c>
      <c r="Y42" t="n">
        <v>2</v>
      </c>
      <c r="Z42" t="n">
        <v>4</v>
      </c>
      <c r="AA42" t="n">
        <v>1</v>
      </c>
      <c r="AB42" t="n">
        <v>4</v>
      </c>
      <c r="AC42" t="n">
        <v>2</v>
      </c>
      <c r="AD42" t="n">
        <v>3</v>
      </c>
      <c r="AE42" t="n">
        <v>3</v>
      </c>
      <c r="AF42" t="n">
        <v>2</v>
      </c>
      <c r="AG42" t="n">
        <v>5</v>
      </c>
      <c r="AH42" t="n">
        <v>3</v>
      </c>
      <c r="AI42" t="n">
        <v>4</v>
      </c>
      <c r="AJ42" t="n">
        <v>2</v>
      </c>
      <c r="AK42" t="n">
        <v>3</v>
      </c>
      <c r="AL42" t="n">
        <v>4</v>
      </c>
      <c r="AM42" t="n">
        <v>3</v>
      </c>
      <c r="AN42" t="n">
        <v>3</v>
      </c>
      <c r="AO42" t="n">
        <v>2</v>
      </c>
      <c r="AP42" t="n">
        <v>3</v>
      </c>
      <c r="AQ42" t="n">
        <v>1</v>
      </c>
      <c r="AR42" t="n">
        <v>2</v>
      </c>
      <c r="AS42" t="n">
        <v>1</v>
      </c>
      <c r="AT42" t="n">
        <v>2</v>
      </c>
      <c r="AU42" t="n">
        <v>2</v>
      </c>
      <c r="AV42" t="n">
        <v>2</v>
      </c>
      <c r="AW42" t="n">
        <v>4</v>
      </c>
      <c r="AX42" t="n">
        <v>4</v>
      </c>
      <c r="AY42" t="n">
        <v>4</v>
      </c>
      <c r="AZ42" t="n">
        <v>3</v>
      </c>
      <c r="BA42" t="n">
        <v>5</v>
      </c>
      <c r="BB42" t="n">
        <v>3</v>
      </c>
      <c r="BC42" t="n">
        <v>3</v>
      </c>
      <c r="BD42" t="n">
        <v>4</v>
      </c>
      <c r="BE42" t="n">
        <v>4</v>
      </c>
      <c r="BF42" t="n">
        <v>4</v>
      </c>
      <c r="BG42" t="n">
        <v>3</v>
      </c>
      <c r="BH42" t="n">
        <v>5</v>
      </c>
      <c r="BI42" t="n">
        <v>4</v>
      </c>
      <c r="BJ42" t="n">
        <v>3</v>
      </c>
      <c r="BK42" t="n">
        <v>3</v>
      </c>
      <c r="BL42" t="n">
        <v>4</v>
      </c>
      <c r="BM42" t="n">
        <v>4</v>
      </c>
      <c r="BN42" t="n">
        <v>2</v>
      </c>
      <c r="BO42" t="n">
        <v>3</v>
      </c>
      <c r="BP42" t="n">
        <v>2</v>
      </c>
      <c r="BQ42" t="n">
        <v>2</v>
      </c>
      <c r="BR42" t="n">
        <v>2</v>
      </c>
      <c r="BS42" s="56">
        <f>IF(COUNT(N42:W42)&gt;=8,AVERAGE(N42:W42),"")</f>
        <v/>
      </c>
      <c r="BT42" s="56">
        <f>IF(COUNT(X42:AE42)&gt;=7,AVERAGE(X42:AE42),"")</f>
        <v/>
      </c>
      <c r="BU42" s="56">
        <f>IF(COUNT(AF42:AM42)&gt;=7,AVERAGE(AF42:AM42),"")</f>
        <v/>
      </c>
      <c r="BV42" s="56">
        <f>IF(COUNT(AN42:AV42)&gt;=8,AVERAGE(AN42:AV42),"")</f>
        <v/>
      </c>
      <c r="BW42" s="56">
        <f>IF(COUNT(AW42:BD42)&gt;=7,AVERAGE(AW42:BD42),"")</f>
        <v/>
      </c>
      <c r="BX42" s="56">
        <f>IF(COUNT(BE42:BJ42)&gt;=5,AVERAGE(BE42:BJ42),"")</f>
        <v/>
      </c>
      <c r="BY42" s="56">
        <f>IF(COUNT(BK42:BR42)&gt;=7,AVERAGE(BK42:BR42),"")</f>
        <v/>
      </c>
    </row>
    <row r="43">
      <c r="A43" t="inlineStr">
        <is>
          <t>R012</t>
        </is>
      </c>
      <c r="B43" t="inlineStr">
        <is>
          <t>Yes</t>
        </is>
      </c>
      <c r="C43" t="inlineStr">
        <is>
          <t>Yes</t>
        </is>
      </c>
      <c r="D43" t="inlineStr">
        <is>
          <t>Female</t>
        </is>
      </c>
      <c r="E43" t="inlineStr">
        <is>
          <t>45-54</t>
        </is>
      </c>
      <c r="F43" t="inlineStr">
        <is>
          <t>Bachelor/HND</t>
        </is>
      </c>
      <c r="G43" t="inlineStr">
        <is>
          <t>Fintech/payment provider</t>
        </is>
      </c>
      <c r="H43" t="inlineStr">
        <is>
          <t>Customer Experience/Service</t>
        </is>
      </c>
      <c r="I43" t="inlineStr">
        <is>
          <t>Less than 2</t>
        </is>
      </c>
      <c r="J43" t="inlineStr">
        <is>
          <t>Yes</t>
        </is>
      </c>
      <c r="K43" t="n">
        <v>2</v>
      </c>
      <c r="L43" t="inlineStr">
        <is>
          <t>Yes</t>
        </is>
      </c>
      <c r="M43" t="inlineStr">
        <is>
          <t>Yes</t>
        </is>
      </c>
      <c r="N43" t="n">
        <v>2</v>
      </c>
      <c r="O43" t="n">
        <v>2</v>
      </c>
      <c r="P43" t="n">
        <v>2</v>
      </c>
      <c r="Q43" t="n">
        <v>3</v>
      </c>
      <c r="R43" t="n">
        <v>3</v>
      </c>
      <c r="S43" t="n">
        <v>4</v>
      </c>
      <c r="T43" t="n">
        <v>2</v>
      </c>
      <c r="U43" t="n">
        <v>2</v>
      </c>
      <c r="V43" t="n">
        <v>2</v>
      </c>
      <c r="W43" t="n">
        <v>4</v>
      </c>
      <c r="X43" t="n">
        <v>4</v>
      </c>
      <c r="Y43" t="n">
        <v>3</v>
      </c>
      <c r="Z43" t="n">
        <v>4</v>
      </c>
      <c r="AA43" t="n">
        <v>4</v>
      </c>
      <c r="AB43" t="n">
        <v>4</v>
      </c>
      <c r="AC43" t="n">
        <v>3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5</v>
      </c>
      <c r="AJ43" t="n">
        <v>3</v>
      </c>
      <c r="AK43" t="n">
        <v>5</v>
      </c>
      <c r="AL43" t="n">
        <v>3</v>
      </c>
      <c r="AM43" t="n">
        <v>4</v>
      </c>
      <c r="AN43" t="n">
        <v>4</v>
      </c>
      <c r="AO43" t="n">
        <v>2</v>
      </c>
      <c r="AP43" t="n">
        <v>3</v>
      </c>
      <c r="AR43" t="n">
        <v>4</v>
      </c>
      <c r="AS43" t="n">
        <v>4</v>
      </c>
      <c r="AT43" t="n">
        <v>3</v>
      </c>
      <c r="AU43" t="n">
        <v>3</v>
      </c>
      <c r="AV43" t="n">
        <v>3</v>
      </c>
      <c r="AX43" t="n">
        <v>3</v>
      </c>
      <c r="AY43" t="n">
        <v>3</v>
      </c>
      <c r="AZ43" t="n">
        <v>4</v>
      </c>
      <c r="BA43" t="n">
        <v>5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3</v>
      </c>
      <c r="BJ43" t="n">
        <v>3</v>
      </c>
      <c r="BK43" t="n">
        <v>5</v>
      </c>
      <c r="BL43" t="n">
        <v>3</v>
      </c>
      <c r="BM43" t="n">
        <v>4</v>
      </c>
      <c r="BN43" t="n">
        <v>3</v>
      </c>
      <c r="BO43" t="n">
        <v>4</v>
      </c>
      <c r="BP43" t="n">
        <v>4</v>
      </c>
      <c r="BQ43" t="n">
        <v>4</v>
      </c>
      <c r="BR43" t="n">
        <v>4</v>
      </c>
      <c r="BS43" s="56">
        <f>IF(COUNT(N43:W43)&gt;=8,AVERAGE(N43:W43),"")</f>
        <v/>
      </c>
      <c r="BT43" s="56">
        <f>IF(COUNT(X43:AE43)&gt;=7,AVERAGE(X43:AE43),"")</f>
        <v/>
      </c>
      <c r="BU43" s="56">
        <f>IF(COUNT(AF43:AM43)&gt;=7,AVERAGE(AF43:AM43),"")</f>
        <v/>
      </c>
      <c r="BV43" s="56">
        <f>IF(COUNT(AN43:AV43)&gt;=8,AVERAGE(AN43:AV43),"")</f>
        <v/>
      </c>
      <c r="BW43" s="56">
        <f>IF(COUNT(AW43:BD43)&gt;=7,AVERAGE(AW43:BD43),"")</f>
        <v/>
      </c>
      <c r="BX43" s="56">
        <f>IF(COUNT(BE43:BJ43)&gt;=5,AVERAGE(BE43:BJ43),"")</f>
        <v/>
      </c>
      <c r="BY43" s="56">
        <f>IF(COUNT(BK43:BR43)&gt;=7,AVERAGE(BK43:BR43),"")</f>
        <v/>
      </c>
    </row>
    <row r="44">
      <c r="A44" t="inlineStr">
        <is>
          <t>R013</t>
        </is>
      </c>
      <c r="B44" t="inlineStr">
        <is>
          <t>Yes</t>
        </is>
      </c>
      <c r="C44" t="inlineStr">
        <is>
          <t>Yes</t>
        </is>
      </c>
      <c r="D44" t="inlineStr">
        <is>
          <t>Male</t>
        </is>
      </c>
      <c r="E44" t="inlineStr">
        <is>
          <t>35-44</t>
        </is>
      </c>
      <c r="F44" t="inlineStr">
        <is>
          <t>Master's</t>
        </is>
      </c>
      <c r="G44" t="inlineStr">
        <is>
          <t>Insurance/investment/other licensed financial institution</t>
        </is>
      </c>
      <c r="H44" t="inlineStr">
        <is>
          <t>Data/Analytics/AI</t>
        </is>
      </c>
      <c r="I44" t="inlineStr">
        <is>
          <t>11-15</t>
        </is>
      </c>
      <c r="J44" t="inlineStr">
        <is>
          <t>Yes</t>
        </is>
      </c>
      <c r="K44" t="n">
        <v>4</v>
      </c>
      <c r="L44" t="inlineStr">
        <is>
          <t>Yes</t>
        </is>
      </c>
      <c r="M44" t="inlineStr">
        <is>
          <t>Yes</t>
        </is>
      </c>
      <c r="N44" t="n">
        <v>3</v>
      </c>
      <c r="O44" t="n">
        <v>3</v>
      </c>
      <c r="P44" t="n">
        <v>3</v>
      </c>
      <c r="Q44" t="n">
        <v>1</v>
      </c>
      <c r="R44" t="n">
        <v>3</v>
      </c>
      <c r="S44" t="n">
        <v>3</v>
      </c>
      <c r="T44" t="n">
        <v>2</v>
      </c>
      <c r="U44" t="n">
        <v>2</v>
      </c>
      <c r="V44" t="n">
        <v>3</v>
      </c>
      <c r="W44" t="n">
        <v>2</v>
      </c>
      <c r="X44" t="n">
        <v>2</v>
      </c>
      <c r="Y44" t="n">
        <v>2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F44" t="n">
        <v>2</v>
      </c>
      <c r="AG44" t="n">
        <v>2</v>
      </c>
      <c r="AH44" t="n">
        <v>1</v>
      </c>
      <c r="AI44" t="n">
        <v>3</v>
      </c>
      <c r="AJ44" t="n">
        <v>2</v>
      </c>
      <c r="AK44" t="n">
        <v>1</v>
      </c>
      <c r="AL44" t="n">
        <v>2</v>
      </c>
      <c r="AM44" t="n">
        <v>2</v>
      </c>
      <c r="AN44" t="n">
        <v>1</v>
      </c>
      <c r="AO44" t="n">
        <v>3</v>
      </c>
      <c r="AP44" t="n">
        <v>4</v>
      </c>
      <c r="AQ44" t="n">
        <v>3</v>
      </c>
      <c r="AR44" t="n">
        <v>4</v>
      </c>
      <c r="AS44" t="n">
        <v>3</v>
      </c>
      <c r="AT44" t="n">
        <v>4</v>
      </c>
      <c r="AU44" t="n">
        <v>3</v>
      </c>
      <c r="AV44" t="n">
        <v>3</v>
      </c>
      <c r="AW44" t="n">
        <v>3</v>
      </c>
      <c r="AX44" t="n">
        <v>2</v>
      </c>
      <c r="AY44" t="n">
        <v>3</v>
      </c>
      <c r="AZ44" t="n">
        <v>3</v>
      </c>
      <c r="BA44" t="n">
        <v>3</v>
      </c>
      <c r="BB44" t="n">
        <v>3</v>
      </c>
      <c r="BC44" t="n">
        <v>2</v>
      </c>
      <c r="BD44" t="n">
        <v>2</v>
      </c>
      <c r="BE44" t="n">
        <v>4</v>
      </c>
      <c r="BF44" t="n">
        <v>4</v>
      </c>
      <c r="BG44" t="n">
        <v>2</v>
      </c>
      <c r="BH44" t="n">
        <v>4</v>
      </c>
      <c r="BI44" t="n">
        <v>3</v>
      </c>
      <c r="BJ44" t="n">
        <v>3</v>
      </c>
      <c r="BK44" t="n">
        <v>2</v>
      </c>
      <c r="BL44" t="n">
        <v>1</v>
      </c>
      <c r="BM44" t="n">
        <v>3</v>
      </c>
      <c r="BN44" t="n">
        <v>3</v>
      </c>
      <c r="BP44" t="n">
        <v>2</v>
      </c>
      <c r="BQ44" t="n">
        <v>3</v>
      </c>
      <c r="BR44" t="n">
        <v>3</v>
      </c>
      <c r="BS44" s="56">
        <f>IF(COUNT(N44:W44)&gt;=8,AVERAGE(N44:W44),"")</f>
        <v/>
      </c>
      <c r="BT44" s="56">
        <f>IF(COUNT(X44:AE44)&gt;=7,AVERAGE(X44:AE44),"")</f>
        <v/>
      </c>
      <c r="BU44" s="56">
        <f>IF(COUNT(AF44:AM44)&gt;=7,AVERAGE(AF44:AM44),"")</f>
        <v/>
      </c>
      <c r="BV44" s="56">
        <f>IF(COUNT(AN44:AV44)&gt;=8,AVERAGE(AN44:AV44),"")</f>
        <v/>
      </c>
      <c r="BW44" s="56">
        <f>IF(COUNT(AW44:BD44)&gt;=7,AVERAGE(AW44:BD44),"")</f>
        <v/>
      </c>
      <c r="BX44" s="56">
        <f>IF(COUNT(BE44:BJ44)&gt;=5,AVERAGE(BE44:BJ44),"")</f>
        <v/>
      </c>
      <c r="BY44" s="56">
        <f>IF(COUNT(BK44:BR44)&gt;=7,AVERAGE(BK44:BR44),"")</f>
        <v/>
      </c>
    </row>
    <row r="45">
      <c r="A45" t="inlineStr">
        <is>
          <t>R014</t>
        </is>
      </c>
      <c r="B45" t="inlineStr">
        <is>
          <t>Yes</t>
        </is>
      </c>
      <c r="C45" t="inlineStr">
        <is>
          <t>Yes</t>
        </is>
      </c>
      <c r="D45" t="inlineStr">
        <is>
          <t>Male</t>
        </is>
      </c>
      <c r="E45" t="inlineStr">
        <is>
          <t>18-24</t>
        </is>
      </c>
      <c r="F45" t="inlineStr">
        <is>
          <t>Diploma/OND/NCE</t>
        </is>
      </c>
      <c r="G45" t="inlineStr">
        <is>
          <t>Commercial bank</t>
        </is>
      </c>
      <c r="H45" t="inlineStr">
        <is>
          <t>Digital Banking/Product</t>
        </is>
      </c>
      <c r="I45" t="inlineStr">
        <is>
          <t>6-10</t>
        </is>
      </c>
      <c r="J45" t="inlineStr">
        <is>
          <t>Yes</t>
        </is>
      </c>
      <c r="K45" t="n">
        <v>4</v>
      </c>
      <c r="L45" t="inlineStr">
        <is>
          <t>Yes</t>
        </is>
      </c>
      <c r="M45" t="inlineStr">
        <is>
          <t>Yes</t>
        </is>
      </c>
      <c r="N45" t="n">
        <v>3</v>
      </c>
      <c r="O45" t="n">
        <v>3</v>
      </c>
      <c r="P45" t="n">
        <v>4</v>
      </c>
      <c r="Q45" t="n">
        <v>2</v>
      </c>
      <c r="R45" t="n">
        <v>3</v>
      </c>
      <c r="S45" t="n">
        <v>2</v>
      </c>
      <c r="T45" t="n">
        <v>3</v>
      </c>
      <c r="U45" t="n">
        <v>3</v>
      </c>
      <c r="V45" t="n">
        <v>4</v>
      </c>
      <c r="W45" t="n">
        <v>3</v>
      </c>
      <c r="X45" t="n">
        <v>4</v>
      </c>
      <c r="Y45" t="n">
        <v>3</v>
      </c>
      <c r="Z45" t="n">
        <v>4</v>
      </c>
      <c r="AA45" t="n">
        <v>3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3</v>
      </c>
      <c r="AO45" t="n">
        <v>2</v>
      </c>
      <c r="AP45" t="n">
        <v>2</v>
      </c>
      <c r="AQ45" t="n">
        <v>2</v>
      </c>
      <c r="AR45" t="n">
        <v>4</v>
      </c>
      <c r="AS45" t="n">
        <v>2</v>
      </c>
      <c r="AT45" t="n">
        <v>2</v>
      </c>
      <c r="AU45" t="n">
        <v>2</v>
      </c>
      <c r="AV45" t="n">
        <v>3</v>
      </c>
      <c r="AW45" t="n">
        <v>3</v>
      </c>
      <c r="AX45" t="n">
        <v>4</v>
      </c>
      <c r="AY45" t="n">
        <v>4</v>
      </c>
      <c r="AZ45" t="n">
        <v>4</v>
      </c>
      <c r="BA45" t="n">
        <v>5</v>
      </c>
      <c r="BB45" t="n">
        <v>4</v>
      </c>
      <c r="BC45" t="n">
        <v>4</v>
      </c>
      <c r="BD45" t="n">
        <v>4</v>
      </c>
      <c r="BE45" t="n">
        <v>4</v>
      </c>
      <c r="BF45" t="n">
        <v>5</v>
      </c>
      <c r="BG45" t="n">
        <v>5</v>
      </c>
      <c r="BI45" t="n">
        <v>4</v>
      </c>
      <c r="BJ45" t="n">
        <v>4</v>
      </c>
      <c r="BK45" t="n">
        <v>5</v>
      </c>
      <c r="BL45" t="n">
        <v>5</v>
      </c>
      <c r="BM45" t="n">
        <v>3</v>
      </c>
      <c r="BN45" t="n">
        <v>4</v>
      </c>
      <c r="BO45" t="n">
        <v>5</v>
      </c>
      <c r="BP45" t="n">
        <v>5</v>
      </c>
      <c r="BQ45" t="n">
        <v>5</v>
      </c>
      <c r="BR45" t="n">
        <v>4</v>
      </c>
      <c r="BS45" s="56">
        <f>IF(COUNT(N45:W45)&gt;=8,AVERAGE(N45:W45),"")</f>
        <v/>
      </c>
      <c r="BT45" s="56">
        <f>IF(COUNT(X45:AE45)&gt;=7,AVERAGE(X45:AE45),"")</f>
        <v/>
      </c>
      <c r="BU45" s="56">
        <f>IF(COUNT(AF45:AM45)&gt;=7,AVERAGE(AF45:AM45),"")</f>
        <v/>
      </c>
      <c r="BV45" s="56">
        <f>IF(COUNT(AN45:AV45)&gt;=8,AVERAGE(AN45:AV45),"")</f>
        <v/>
      </c>
      <c r="BW45" s="56">
        <f>IF(COUNT(AW45:BD45)&gt;=7,AVERAGE(AW45:BD45),"")</f>
        <v/>
      </c>
      <c r="BX45" s="56">
        <f>IF(COUNT(BE45:BJ45)&gt;=5,AVERAGE(BE45:BJ45),"")</f>
        <v/>
      </c>
      <c r="BY45" s="56">
        <f>IF(COUNT(BK45:BR45)&gt;=7,AVERAGE(BK45:BR45),"")</f>
        <v/>
      </c>
    </row>
    <row r="46">
      <c r="A46" t="inlineStr">
        <is>
          <t>R015</t>
        </is>
      </c>
      <c r="B46" t="inlineStr">
        <is>
          <t>Yes</t>
        </is>
      </c>
      <c r="C46" t="inlineStr">
        <is>
          <t>Yes</t>
        </is>
      </c>
      <c r="D46" t="inlineStr">
        <is>
          <t>Male</t>
        </is>
      </c>
      <c r="E46" t="inlineStr">
        <is>
          <t>35-44</t>
        </is>
      </c>
      <c r="F46" t="inlineStr">
        <is>
          <t>Bachelor/HND</t>
        </is>
      </c>
      <c r="G46" t="inlineStr">
        <is>
          <t>Commercial bank</t>
        </is>
      </c>
      <c r="H46" t="inlineStr">
        <is>
          <t>Customer Experience/Service</t>
        </is>
      </c>
      <c r="I46" t="inlineStr">
        <is>
          <t>6-10</t>
        </is>
      </c>
      <c r="J46" t="inlineStr">
        <is>
          <t>Yes</t>
        </is>
      </c>
      <c r="K46" t="n">
        <v>2</v>
      </c>
      <c r="L46" t="inlineStr">
        <is>
          <t>Yes</t>
        </is>
      </c>
      <c r="M46" t="inlineStr">
        <is>
          <t>Yes</t>
        </is>
      </c>
      <c r="N46" t="n">
        <v>2</v>
      </c>
      <c r="O46" t="n">
        <v>2</v>
      </c>
      <c r="P46" t="n">
        <v>3</v>
      </c>
      <c r="Q46" t="n">
        <v>1</v>
      </c>
      <c r="R46" t="n">
        <v>1</v>
      </c>
      <c r="S46" t="n">
        <v>1</v>
      </c>
      <c r="T46" t="n">
        <v>1</v>
      </c>
      <c r="U46" t="n">
        <v>2</v>
      </c>
      <c r="V46" t="n">
        <v>3</v>
      </c>
      <c r="W46" t="n">
        <v>1</v>
      </c>
      <c r="X46" t="n">
        <v>4</v>
      </c>
      <c r="Y46" t="n">
        <v>4</v>
      </c>
      <c r="Z46" t="n">
        <v>4</v>
      </c>
      <c r="AA46" t="n">
        <v>4</v>
      </c>
      <c r="AB46" t="n">
        <v>3</v>
      </c>
      <c r="AC46" t="n">
        <v>4</v>
      </c>
      <c r="AD46" t="n">
        <v>4</v>
      </c>
      <c r="AE46" t="n">
        <v>3</v>
      </c>
      <c r="AF46" t="n">
        <v>4</v>
      </c>
      <c r="AG46" t="n">
        <v>3</v>
      </c>
      <c r="AH46" t="n">
        <v>4</v>
      </c>
      <c r="AI46" t="n">
        <v>4</v>
      </c>
      <c r="AK46" t="n">
        <v>5</v>
      </c>
      <c r="AL46" t="n">
        <v>3</v>
      </c>
      <c r="AM46" t="n">
        <v>5</v>
      </c>
      <c r="AN46" t="n">
        <v>4</v>
      </c>
      <c r="AO46" t="n">
        <v>3</v>
      </c>
      <c r="AP46" t="n">
        <v>3</v>
      </c>
      <c r="AQ46" t="n">
        <v>3</v>
      </c>
      <c r="AR46" t="n">
        <v>4</v>
      </c>
      <c r="AS46" t="n">
        <v>3</v>
      </c>
      <c r="AT46" t="n">
        <v>4</v>
      </c>
      <c r="AU46" t="n">
        <v>4</v>
      </c>
      <c r="AV46" t="n">
        <v>3</v>
      </c>
      <c r="AW46" t="n">
        <v>4</v>
      </c>
      <c r="AX46" t="n">
        <v>2</v>
      </c>
      <c r="AY46" t="n">
        <v>4</v>
      </c>
      <c r="AZ46" t="n">
        <v>2</v>
      </c>
      <c r="BA46" t="n">
        <v>4</v>
      </c>
      <c r="BB46" t="n">
        <v>3</v>
      </c>
      <c r="BC46" t="n">
        <v>4</v>
      </c>
      <c r="BD46" t="n">
        <v>3</v>
      </c>
      <c r="BE46" t="n">
        <v>2</v>
      </c>
      <c r="BF46" t="n">
        <v>2</v>
      </c>
      <c r="BG46" t="n">
        <v>1</v>
      </c>
      <c r="BH46" t="n">
        <v>2</v>
      </c>
      <c r="BI46" t="n">
        <v>3</v>
      </c>
      <c r="BJ46" t="n">
        <v>2</v>
      </c>
      <c r="BK46" t="n">
        <v>1</v>
      </c>
      <c r="BL46" t="n">
        <v>1</v>
      </c>
      <c r="BM46" t="n">
        <v>2</v>
      </c>
      <c r="BO46" t="n">
        <v>2</v>
      </c>
      <c r="BP46" t="n">
        <v>2</v>
      </c>
      <c r="BQ46" t="n">
        <v>2</v>
      </c>
      <c r="BR46" t="n">
        <v>1</v>
      </c>
      <c r="BS46" s="56">
        <f>IF(COUNT(N46:W46)&gt;=8,AVERAGE(N46:W46),"")</f>
        <v/>
      </c>
      <c r="BT46" s="56">
        <f>IF(COUNT(X46:AE46)&gt;=7,AVERAGE(X46:AE46),"")</f>
        <v/>
      </c>
      <c r="BU46" s="56">
        <f>IF(COUNT(AF46:AM46)&gt;=7,AVERAGE(AF46:AM46),"")</f>
        <v/>
      </c>
      <c r="BV46" s="56">
        <f>IF(COUNT(AN46:AV46)&gt;=8,AVERAGE(AN46:AV46),"")</f>
        <v/>
      </c>
      <c r="BW46" s="56">
        <f>IF(COUNT(AW46:BD46)&gt;=7,AVERAGE(AW46:BD46),"")</f>
        <v/>
      </c>
      <c r="BX46" s="56">
        <f>IF(COUNT(BE46:BJ46)&gt;=5,AVERAGE(BE46:BJ46),"")</f>
        <v/>
      </c>
      <c r="BY46" s="56">
        <f>IF(COUNT(BK46:BR46)&gt;=7,AVERAGE(BK46:BR46),"")</f>
        <v/>
      </c>
    </row>
    <row r="47">
      <c r="A47" t="inlineStr">
        <is>
          <t>R016</t>
        </is>
      </c>
      <c r="B47" t="inlineStr">
        <is>
          <t>Yes</t>
        </is>
      </c>
      <c r="C47" t="inlineStr">
        <is>
          <t>Yes</t>
        </is>
      </c>
      <c r="D47" t="inlineStr">
        <is>
          <t>Prefer not to say</t>
        </is>
      </c>
      <c r="E47" t="inlineStr">
        <is>
          <t>25-34</t>
        </is>
      </c>
      <c r="F47" t="inlineStr">
        <is>
          <t>Bachelor/HND</t>
        </is>
      </c>
      <c r="G47" t="inlineStr">
        <is>
          <t>Microfinance bank</t>
        </is>
      </c>
      <c r="H47" t="inlineStr">
        <is>
          <t>Customer Experience/Service</t>
        </is>
      </c>
      <c r="I47" t="inlineStr">
        <is>
          <t>6-10</t>
        </is>
      </c>
      <c r="J47" t="inlineStr">
        <is>
          <t>Yes</t>
        </is>
      </c>
      <c r="K47" t="n">
        <v>2</v>
      </c>
      <c r="L47" t="inlineStr">
        <is>
          <t>Yes</t>
        </is>
      </c>
      <c r="M47" t="inlineStr">
        <is>
          <t>Yes</t>
        </is>
      </c>
      <c r="N47" t="n">
        <v>3</v>
      </c>
      <c r="O47" t="n">
        <v>4</v>
      </c>
      <c r="P47" t="n">
        <v>4</v>
      </c>
      <c r="Q47" t="n">
        <v>3</v>
      </c>
      <c r="R47" t="n">
        <v>4</v>
      </c>
      <c r="S47" t="n">
        <v>4</v>
      </c>
      <c r="T47" t="n">
        <v>2</v>
      </c>
      <c r="U47" t="n">
        <v>3</v>
      </c>
      <c r="W47" t="n">
        <v>4</v>
      </c>
      <c r="X47" t="n">
        <v>4</v>
      </c>
      <c r="Y47" t="n">
        <v>1</v>
      </c>
      <c r="Z47" t="n">
        <v>3</v>
      </c>
      <c r="AA47" t="n">
        <v>3</v>
      </c>
      <c r="AB47" t="n">
        <v>2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2</v>
      </c>
      <c r="AI47" t="n">
        <v>2</v>
      </c>
      <c r="AJ47" t="n">
        <v>3</v>
      </c>
      <c r="AK47" t="n">
        <v>3</v>
      </c>
      <c r="AL47" t="n">
        <v>2</v>
      </c>
      <c r="AM47" t="n">
        <v>3</v>
      </c>
      <c r="AO47" t="n">
        <v>3</v>
      </c>
      <c r="AP47" t="n">
        <v>4</v>
      </c>
      <c r="AQ47" t="n">
        <v>2</v>
      </c>
      <c r="AR47" t="n">
        <v>5</v>
      </c>
      <c r="AS47" t="n">
        <v>3</v>
      </c>
      <c r="AT47" t="n">
        <v>4</v>
      </c>
      <c r="AU47" t="n">
        <v>2</v>
      </c>
      <c r="AV47" t="n">
        <v>4</v>
      </c>
      <c r="AW47" t="n">
        <v>4</v>
      </c>
      <c r="AX47" t="n">
        <v>4</v>
      </c>
      <c r="AY47" t="n">
        <v>4</v>
      </c>
      <c r="BA47" t="n">
        <v>4</v>
      </c>
      <c r="BB47" t="n">
        <v>2</v>
      </c>
      <c r="BC47" t="n">
        <v>3</v>
      </c>
      <c r="BD47" t="n">
        <v>3</v>
      </c>
      <c r="BE47" t="n">
        <v>4</v>
      </c>
      <c r="BF47" t="n">
        <v>4</v>
      </c>
      <c r="BG47" t="n">
        <v>4</v>
      </c>
      <c r="BH47" t="n">
        <v>5</v>
      </c>
      <c r="BI47" t="n">
        <v>4</v>
      </c>
      <c r="BJ47" t="n">
        <v>3</v>
      </c>
      <c r="BK47" t="n">
        <v>4</v>
      </c>
      <c r="BL47" t="n">
        <v>3</v>
      </c>
      <c r="BM47" t="n">
        <v>5</v>
      </c>
      <c r="BN47" t="n">
        <v>4</v>
      </c>
      <c r="BO47" t="n">
        <v>4</v>
      </c>
      <c r="BP47" t="n">
        <v>4</v>
      </c>
      <c r="BQ47" t="n">
        <v>4</v>
      </c>
      <c r="BR47" t="n">
        <v>3</v>
      </c>
      <c r="BS47" s="56">
        <f>IF(COUNT(N47:W47)&gt;=8,AVERAGE(N47:W47),"")</f>
        <v/>
      </c>
      <c r="BT47" s="56">
        <f>IF(COUNT(X47:AE47)&gt;=7,AVERAGE(X47:AE47),"")</f>
        <v/>
      </c>
      <c r="BU47" s="56">
        <f>IF(COUNT(AF47:AM47)&gt;=7,AVERAGE(AF47:AM47),"")</f>
        <v/>
      </c>
      <c r="BV47" s="56">
        <f>IF(COUNT(AN47:AV47)&gt;=8,AVERAGE(AN47:AV47),"")</f>
        <v/>
      </c>
      <c r="BW47" s="56">
        <f>IF(COUNT(AW47:BD47)&gt;=7,AVERAGE(AW47:BD47),"")</f>
        <v/>
      </c>
      <c r="BX47" s="56">
        <f>IF(COUNT(BE47:BJ47)&gt;=5,AVERAGE(BE47:BJ47),"")</f>
        <v/>
      </c>
      <c r="BY47" s="56">
        <f>IF(COUNT(BK47:BR47)&gt;=7,AVERAGE(BK47:BR47),"")</f>
        <v/>
      </c>
    </row>
    <row r="48">
      <c r="A48" t="inlineStr">
        <is>
          <t>R017</t>
        </is>
      </c>
      <c r="B48" t="inlineStr">
        <is>
          <t>Yes</t>
        </is>
      </c>
      <c r="C48" t="inlineStr">
        <is>
          <t>Yes</t>
        </is>
      </c>
      <c r="D48" t="inlineStr">
        <is>
          <t>Male</t>
        </is>
      </c>
      <c r="E48" t="inlineStr">
        <is>
          <t>25-34</t>
        </is>
      </c>
      <c r="F48" t="inlineStr">
        <is>
          <t>Master's</t>
        </is>
      </c>
      <c r="G48" t="inlineStr">
        <is>
          <t>Insurance/investment/other licensed financial institution</t>
        </is>
      </c>
      <c r="H48" t="inlineStr">
        <is>
          <t>IT/Technology</t>
        </is>
      </c>
      <c r="I48" t="inlineStr">
        <is>
          <t>2-5</t>
        </is>
      </c>
      <c r="J48" t="inlineStr">
        <is>
          <t>Yes</t>
        </is>
      </c>
      <c r="K48" t="n">
        <v>0</v>
      </c>
      <c r="L48" t="inlineStr">
        <is>
          <t>No</t>
        </is>
      </c>
      <c r="M48" t="inlineStr">
        <is>
          <t>Yes</t>
        </is>
      </c>
      <c r="N48" t="n">
        <v>2</v>
      </c>
      <c r="O48" t="n">
        <v>1</v>
      </c>
      <c r="P48" t="n">
        <v>3</v>
      </c>
      <c r="Q48" t="n">
        <v>2</v>
      </c>
      <c r="R48" t="n">
        <v>1</v>
      </c>
      <c r="S48" t="n">
        <v>3</v>
      </c>
      <c r="T48" t="n">
        <v>2</v>
      </c>
      <c r="U48" t="n">
        <v>2</v>
      </c>
      <c r="V48" t="n">
        <v>3</v>
      </c>
      <c r="W48" t="n">
        <v>2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H48" t="n">
        <v>1</v>
      </c>
      <c r="AI48" t="n">
        <v>2</v>
      </c>
      <c r="AJ48" t="n">
        <v>1</v>
      </c>
      <c r="AK48" t="n">
        <v>1</v>
      </c>
      <c r="AL48" t="n">
        <v>1</v>
      </c>
      <c r="AM48" t="n">
        <v>1</v>
      </c>
      <c r="AN48" t="n">
        <v>2</v>
      </c>
      <c r="AO48" t="n">
        <v>1</v>
      </c>
      <c r="AP48" t="n">
        <v>2</v>
      </c>
      <c r="AQ48" t="n">
        <v>1</v>
      </c>
      <c r="AR48" t="n">
        <v>1</v>
      </c>
      <c r="AS48" t="n">
        <v>1</v>
      </c>
      <c r="AT48" t="n">
        <v>2</v>
      </c>
      <c r="AU48" t="n">
        <v>1</v>
      </c>
      <c r="AV48" t="n">
        <v>2</v>
      </c>
      <c r="AW48" t="n">
        <v>2</v>
      </c>
      <c r="AX48" t="n">
        <v>1</v>
      </c>
      <c r="AY48" t="n">
        <v>3</v>
      </c>
      <c r="AZ48" t="n">
        <v>1</v>
      </c>
      <c r="BA48" t="n">
        <v>1</v>
      </c>
      <c r="BB48" t="n">
        <v>1</v>
      </c>
      <c r="BC48" t="n">
        <v>2</v>
      </c>
      <c r="BD48" t="n">
        <v>1</v>
      </c>
      <c r="BF48" t="n">
        <v>2</v>
      </c>
      <c r="BG48" t="n">
        <v>3</v>
      </c>
      <c r="BH48" t="n">
        <v>4</v>
      </c>
      <c r="BI48" t="n">
        <v>3</v>
      </c>
      <c r="BJ48" t="n">
        <v>2</v>
      </c>
      <c r="BK48" t="n">
        <v>2</v>
      </c>
      <c r="BL48" t="n">
        <v>3</v>
      </c>
      <c r="BM48" t="n">
        <v>3</v>
      </c>
      <c r="BN48" t="n">
        <v>2</v>
      </c>
      <c r="BO48" t="n">
        <v>3</v>
      </c>
      <c r="BP48" t="n">
        <v>2</v>
      </c>
      <c r="BQ48" t="n">
        <v>3</v>
      </c>
      <c r="BS48" s="56">
        <f>IF(COUNT(N48:W48)&gt;=8,AVERAGE(N48:W48),"")</f>
        <v/>
      </c>
      <c r="BT48" s="56">
        <f>IF(COUNT(X48:AE48)&gt;=7,AVERAGE(X48:AE48),"")</f>
        <v/>
      </c>
      <c r="BU48" s="56">
        <f>IF(COUNT(AF48:AM48)&gt;=7,AVERAGE(AF48:AM48),"")</f>
        <v/>
      </c>
      <c r="BV48" s="56">
        <f>IF(COUNT(AN48:AV48)&gt;=8,AVERAGE(AN48:AV48),"")</f>
        <v/>
      </c>
      <c r="BW48" s="56">
        <f>IF(COUNT(AW48:BD48)&gt;=7,AVERAGE(AW48:BD48),"")</f>
        <v/>
      </c>
      <c r="BX48" s="56">
        <f>IF(COUNT(BE48:BJ48)&gt;=5,AVERAGE(BE48:BJ48),"")</f>
        <v/>
      </c>
      <c r="BY48" s="56">
        <f>IF(COUNT(BK48:BR48)&gt;=7,AVERAGE(BK48:BR48),"")</f>
        <v/>
      </c>
    </row>
    <row r="49">
      <c r="A49" t="inlineStr">
        <is>
          <t>R018</t>
        </is>
      </c>
      <c r="B49" t="inlineStr">
        <is>
          <t>Yes</t>
        </is>
      </c>
      <c r="C49" t="inlineStr">
        <is>
          <t>Yes</t>
        </is>
      </c>
      <c r="D49" t="inlineStr">
        <is>
          <t>Male</t>
        </is>
      </c>
      <c r="E49" t="inlineStr">
        <is>
          <t>35-44</t>
        </is>
      </c>
      <c r="F49" t="inlineStr">
        <is>
          <t>Bachelor/HND</t>
        </is>
      </c>
      <c r="G49" t="inlineStr">
        <is>
          <t>Fintech/payment provider</t>
        </is>
      </c>
      <c r="H49" t="inlineStr">
        <is>
          <t>Relationship/Marketing</t>
        </is>
      </c>
      <c r="I49" t="inlineStr">
        <is>
          <t>2-5</t>
        </is>
      </c>
      <c r="J49" t="inlineStr">
        <is>
          <t>Yes</t>
        </is>
      </c>
      <c r="K49" t="n">
        <v>1</v>
      </c>
      <c r="L49" t="inlineStr">
        <is>
          <t>Do not know</t>
        </is>
      </c>
      <c r="M49" t="inlineStr">
        <is>
          <t>Yes</t>
        </is>
      </c>
      <c r="N49" t="n">
        <v>2</v>
      </c>
      <c r="O49" t="n">
        <v>3</v>
      </c>
      <c r="P49" t="n">
        <v>2</v>
      </c>
      <c r="Q49" t="n">
        <v>1</v>
      </c>
      <c r="R49" t="n">
        <v>2</v>
      </c>
      <c r="S49" t="n">
        <v>3</v>
      </c>
      <c r="T49" t="n">
        <v>2</v>
      </c>
      <c r="U49" t="n">
        <v>3</v>
      </c>
      <c r="V49" t="n">
        <v>3</v>
      </c>
      <c r="W49" t="n">
        <v>2</v>
      </c>
      <c r="X49" t="n">
        <v>4</v>
      </c>
      <c r="Y49" t="n">
        <v>3</v>
      </c>
      <c r="Z49" t="n">
        <v>5</v>
      </c>
      <c r="AA49" t="n">
        <v>3</v>
      </c>
      <c r="AB49" t="n">
        <v>3</v>
      </c>
      <c r="AC49" t="n">
        <v>4</v>
      </c>
      <c r="AD49" t="n">
        <v>3</v>
      </c>
      <c r="AE49" t="n">
        <v>3</v>
      </c>
      <c r="AF49" t="n">
        <v>3</v>
      </c>
      <c r="AG49" t="n">
        <v>3</v>
      </c>
      <c r="AH49" t="n">
        <v>1</v>
      </c>
      <c r="AI49" t="n">
        <v>4</v>
      </c>
      <c r="AJ49" t="n">
        <v>2</v>
      </c>
      <c r="AK49" t="n">
        <v>3</v>
      </c>
      <c r="AL49" t="n">
        <v>3</v>
      </c>
      <c r="AM49" t="n">
        <v>1</v>
      </c>
      <c r="AN49" t="n">
        <v>4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2</v>
      </c>
      <c r="AX49" t="n">
        <v>2</v>
      </c>
      <c r="AY49" t="n">
        <v>1</v>
      </c>
      <c r="AZ49" t="n">
        <v>1</v>
      </c>
      <c r="BA49" t="n">
        <v>3</v>
      </c>
      <c r="BB49" t="n">
        <v>2</v>
      </c>
      <c r="BC49" t="n">
        <v>2</v>
      </c>
      <c r="BD49" t="n">
        <v>2</v>
      </c>
      <c r="BE49" t="n">
        <v>4</v>
      </c>
      <c r="BF49" t="n">
        <v>3</v>
      </c>
      <c r="BG49" t="n">
        <v>1</v>
      </c>
      <c r="BH49" t="n">
        <v>3</v>
      </c>
      <c r="BI49" t="n">
        <v>3</v>
      </c>
      <c r="BJ49" t="n">
        <v>3</v>
      </c>
      <c r="BK49" t="n">
        <v>1</v>
      </c>
      <c r="BL49" t="n">
        <v>1</v>
      </c>
      <c r="BM49" t="n">
        <v>2</v>
      </c>
      <c r="BN49" t="n">
        <v>1</v>
      </c>
      <c r="BO49" t="n">
        <v>2</v>
      </c>
      <c r="BP49" t="n">
        <v>2</v>
      </c>
      <c r="BQ49" t="n">
        <v>3</v>
      </c>
      <c r="BR49" t="n">
        <v>2</v>
      </c>
      <c r="BS49" s="56">
        <f>IF(COUNT(N49:W49)&gt;=8,AVERAGE(N49:W49),"")</f>
        <v/>
      </c>
      <c r="BT49" s="56">
        <f>IF(COUNT(X49:AE49)&gt;=7,AVERAGE(X49:AE49),"")</f>
        <v/>
      </c>
      <c r="BU49" s="56">
        <f>IF(COUNT(AF49:AM49)&gt;=7,AVERAGE(AF49:AM49),"")</f>
        <v/>
      </c>
      <c r="BV49" s="56">
        <f>IF(COUNT(AN49:AV49)&gt;=8,AVERAGE(AN49:AV49),"")</f>
        <v/>
      </c>
      <c r="BW49" s="56">
        <f>IF(COUNT(AW49:BD49)&gt;=7,AVERAGE(AW49:BD49),"")</f>
        <v/>
      </c>
      <c r="BX49" s="56">
        <f>IF(COUNT(BE49:BJ49)&gt;=5,AVERAGE(BE49:BJ49),"")</f>
        <v/>
      </c>
      <c r="BY49" s="56">
        <f>IF(COUNT(BK49:BR49)&gt;=7,AVERAGE(BK49:BR49),"")</f>
        <v/>
      </c>
    </row>
    <row r="50">
      <c r="A50" t="inlineStr">
        <is>
          <t>R019</t>
        </is>
      </c>
      <c r="B50" t="inlineStr">
        <is>
          <t>Yes</t>
        </is>
      </c>
      <c r="C50" t="inlineStr">
        <is>
          <t>Yes</t>
        </is>
      </c>
      <c r="D50" t="inlineStr">
        <is>
          <t>Male</t>
        </is>
      </c>
      <c r="E50" t="inlineStr">
        <is>
          <t>18-24</t>
        </is>
      </c>
      <c r="F50" t="inlineStr">
        <is>
          <t>Bachelor/HND</t>
        </is>
      </c>
      <c r="G50" t="inlineStr">
        <is>
          <t>Insurance/investment/other licensed financial institution</t>
        </is>
      </c>
      <c r="H50" t="inlineStr">
        <is>
          <t>Customer Experience/Service</t>
        </is>
      </c>
      <c r="I50" t="inlineStr">
        <is>
          <t>Less than 2</t>
        </is>
      </c>
      <c r="J50" t="inlineStr">
        <is>
          <t>Yes</t>
        </is>
      </c>
      <c r="K50" t="n">
        <v>4</v>
      </c>
      <c r="L50" t="inlineStr">
        <is>
          <t>Yes</t>
        </is>
      </c>
      <c r="M50" t="inlineStr">
        <is>
          <t>Yes</t>
        </is>
      </c>
      <c r="N50" t="n">
        <v>4</v>
      </c>
      <c r="O50" t="n">
        <v>4</v>
      </c>
      <c r="P50" t="n">
        <v>4</v>
      </c>
      <c r="Q50" t="n">
        <v>3</v>
      </c>
      <c r="R50" t="n">
        <v>4</v>
      </c>
      <c r="S50" t="n">
        <v>3</v>
      </c>
      <c r="T50" t="n">
        <v>3</v>
      </c>
      <c r="U50" t="n">
        <v>3</v>
      </c>
      <c r="V50" t="n">
        <v>5</v>
      </c>
      <c r="W50" t="n">
        <v>5</v>
      </c>
      <c r="X50" t="n">
        <v>4</v>
      </c>
      <c r="Y50" t="n">
        <v>3</v>
      </c>
      <c r="AA50" t="n">
        <v>3</v>
      </c>
      <c r="AB50" t="n">
        <v>3</v>
      </c>
      <c r="AC50" t="n">
        <v>4</v>
      </c>
      <c r="AD50" t="n">
        <v>4</v>
      </c>
      <c r="AE50" t="n">
        <v>4</v>
      </c>
      <c r="AF50" t="n">
        <v>3</v>
      </c>
      <c r="AG50" t="n">
        <v>3</v>
      </c>
      <c r="AH50" t="n">
        <v>3</v>
      </c>
      <c r="AI50" t="n">
        <v>4</v>
      </c>
      <c r="AJ50" t="n">
        <v>3</v>
      </c>
      <c r="AK50" t="n">
        <v>3</v>
      </c>
      <c r="AL50" t="n">
        <v>2</v>
      </c>
      <c r="AM50" t="n">
        <v>3</v>
      </c>
      <c r="AN50" t="n">
        <v>4</v>
      </c>
      <c r="AO50" t="n">
        <v>3</v>
      </c>
      <c r="AP50" t="n">
        <v>3</v>
      </c>
      <c r="AQ50" t="n">
        <v>4</v>
      </c>
      <c r="AR50" t="n">
        <v>3</v>
      </c>
      <c r="AS50" t="n">
        <v>2</v>
      </c>
      <c r="AT50" t="n">
        <v>5</v>
      </c>
      <c r="AU50" t="n">
        <v>2</v>
      </c>
      <c r="AV50" t="n">
        <v>3</v>
      </c>
      <c r="AX50" t="n">
        <v>3</v>
      </c>
      <c r="AY50" t="n">
        <v>4</v>
      </c>
      <c r="AZ50" t="n">
        <v>3</v>
      </c>
      <c r="BA50" t="n">
        <v>3</v>
      </c>
      <c r="BB50" t="n">
        <v>4</v>
      </c>
      <c r="BC50" t="n">
        <v>3</v>
      </c>
      <c r="BD50" t="n">
        <v>3</v>
      </c>
      <c r="BE50" t="n">
        <v>3</v>
      </c>
      <c r="BF50" t="n">
        <v>5</v>
      </c>
      <c r="BG50" t="n">
        <v>2</v>
      </c>
      <c r="BH50" t="n">
        <v>3</v>
      </c>
      <c r="BI50" t="n">
        <v>2</v>
      </c>
      <c r="BJ50" t="n">
        <v>3</v>
      </c>
      <c r="BK50" t="n">
        <v>4</v>
      </c>
      <c r="BL50" t="n">
        <v>2</v>
      </c>
      <c r="BM50" t="n">
        <v>2</v>
      </c>
      <c r="BN50" t="n">
        <v>3</v>
      </c>
      <c r="BO50" t="n">
        <v>3</v>
      </c>
      <c r="BP50" t="n">
        <v>3</v>
      </c>
      <c r="BQ50" t="n">
        <v>3</v>
      </c>
      <c r="BR50" t="n">
        <v>2</v>
      </c>
      <c r="BS50" s="56">
        <f>IF(COUNT(N50:W50)&gt;=8,AVERAGE(N50:W50),"")</f>
        <v/>
      </c>
      <c r="BT50" s="56">
        <f>IF(COUNT(X50:AE50)&gt;=7,AVERAGE(X50:AE50),"")</f>
        <v/>
      </c>
      <c r="BU50" s="56">
        <f>IF(COUNT(AF50:AM50)&gt;=7,AVERAGE(AF50:AM50),"")</f>
        <v/>
      </c>
      <c r="BV50" s="56">
        <f>IF(COUNT(AN50:AV50)&gt;=8,AVERAGE(AN50:AV50),"")</f>
        <v/>
      </c>
      <c r="BW50" s="56">
        <f>IF(COUNT(AW50:BD50)&gt;=7,AVERAGE(AW50:BD50),"")</f>
        <v/>
      </c>
      <c r="BX50" s="56">
        <f>IF(COUNT(BE50:BJ50)&gt;=5,AVERAGE(BE50:BJ50),"")</f>
        <v/>
      </c>
      <c r="BY50" s="56">
        <f>IF(COUNT(BK50:BR50)&gt;=7,AVERAGE(BK50:BR50),"")</f>
        <v/>
      </c>
    </row>
    <row r="51">
      <c r="A51" t="inlineStr">
        <is>
          <t>R020</t>
        </is>
      </c>
      <c r="B51" t="inlineStr">
        <is>
          <t>Yes</t>
        </is>
      </c>
      <c r="C51" t="inlineStr">
        <is>
          <t>Yes</t>
        </is>
      </c>
      <c r="D51" t="inlineStr">
        <is>
          <t>Male</t>
        </is>
      </c>
      <c r="E51" t="inlineStr">
        <is>
          <t>55 or above</t>
        </is>
      </c>
      <c r="F51" t="inlineStr">
        <is>
          <t>Bachelor/HND</t>
        </is>
      </c>
      <c r="G51" t="inlineStr">
        <is>
          <t>Microfinance bank</t>
        </is>
      </c>
      <c r="H51" t="inlineStr">
        <is>
          <t>Digital Banking/Product</t>
        </is>
      </c>
      <c r="I51" t="inlineStr">
        <is>
          <t>6-10</t>
        </is>
      </c>
      <c r="J51" t="inlineStr">
        <is>
          <t>Yes</t>
        </is>
      </c>
      <c r="K51" t="n">
        <v>2</v>
      </c>
      <c r="L51" t="inlineStr">
        <is>
          <t>Yes</t>
        </is>
      </c>
      <c r="M51" t="inlineStr">
        <is>
          <t>Yes</t>
        </is>
      </c>
      <c r="N51" t="n">
        <v>4</v>
      </c>
      <c r="O51" t="n">
        <v>4</v>
      </c>
      <c r="P51" t="n">
        <v>5</v>
      </c>
      <c r="Q51" t="n">
        <v>3</v>
      </c>
      <c r="R51" t="n">
        <v>3</v>
      </c>
      <c r="S51" t="n">
        <v>4</v>
      </c>
      <c r="T51" t="n">
        <v>3</v>
      </c>
      <c r="U51" t="n">
        <v>4</v>
      </c>
      <c r="V51" t="n">
        <v>3</v>
      </c>
      <c r="W51" t="n">
        <v>4</v>
      </c>
      <c r="X51" t="n">
        <v>3</v>
      </c>
      <c r="Y51" t="n">
        <v>2</v>
      </c>
      <c r="Z51" t="n">
        <v>1</v>
      </c>
      <c r="AA51" t="n">
        <v>2</v>
      </c>
      <c r="AB51" t="n">
        <v>1</v>
      </c>
      <c r="AC51" t="n">
        <v>2</v>
      </c>
      <c r="AD51" t="n">
        <v>1</v>
      </c>
      <c r="AE51" t="n">
        <v>1</v>
      </c>
      <c r="AF51" t="n">
        <v>2</v>
      </c>
      <c r="AG51" t="n">
        <v>2</v>
      </c>
      <c r="AH51" t="n">
        <v>2</v>
      </c>
      <c r="AJ51" t="n">
        <v>3</v>
      </c>
      <c r="AK51" t="n">
        <v>2</v>
      </c>
      <c r="AL51" t="n">
        <v>2</v>
      </c>
      <c r="AM51" t="n">
        <v>2</v>
      </c>
      <c r="AN51" t="n">
        <v>3</v>
      </c>
      <c r="AO51" t="n">
        <v>2</v>
      </c>
      <c r="AP51" t="n">
        <v>3</v>
      </c>
      <c r="AQ51" t="n">
        <v>3</v>
      </c>
      <c r="AR51" t="n">
        <v>3</v>
      </c>
      <c r="AT51" t="n">
        <v>2</v>
      </c>
      <c r="AU51" t="n">
        <v>3</v>
      </c>
      <c r="AV51" t="n">
        <v>4</v>
      </c>
      <c r="AW51" t="n">
        <v>4</v>
      </c>
      <c r="AX51" t="n">
        <v>2</v>
      </c>
      <c r="AY51" t="n">
        <v>3</v>
      </c>
      <c r="AZ51" t="n">
        <v>2</v>
      </c>
      <c r="BA51" t="n">
        <v>2</v>
      </c>
      <c r="BB51" t="n">
        <v>1</v>
      </c>
      <c r="BC51" t="n">
        <v>3</v>
      </c>
      <c r="BD51" t="n">
        <v>1</v>
      </c>
      <c r="BE51" t="n">
        <v>4</v>
      </c>
      <c r="BF51" t="n">
        <v>3</v>
      </c>
      <c r="BG51" t="n">
        <v>3</v>
      </c>
      <c r="BH51" t="n">
        <v>4</v>
      </c>
      <c r="BJ51" t="n">
        <v>4</v>
      </c>
      <c r="BK51" t="n">
        <v>3</v>
      </c>
      <c r="BL51" t="n">
        <v>3</v>
      </c>
      <c r="BM51" t="n">
        <v>3</v>
      </c>
      <c r="BN51" t="n">
        <v>4</v>
      </c>
      <c r="BO51" t="n">
        <v>4</v>
      </c>
      <c r="BP51" t="n">
        <v>3</v>
      </c>
      <c r="BQ51" t="n">
        <v>3</v>
      </c>
      <c r="BR51" t="n">
        <v>2</v>
      </c>
      <c r="BS51" s="56">
        <f>IF(COUNT(N51:W51)&gt;=8,AVERAGE(N51:W51),"")</f>
        <v/>
      </c>
      <c r="BT51" s="56">
        <f>IF(COUNT(X51:AE51)&gt;=7,AVERAGE(X51:AE51),"")</f>
        <v/>
      </c>
      <c r="BU51" s="56">
        <f>IF(COUNT(AF51:AM51)&gt;=7,AVERAGE(AF51:AM51),"")</f>
        <v/>
      </c>
      <c r="BV51" s="56">
        <f>IF(COUNT(AN51:AV51)&gt;=8,AVERAGE(AN51:AV51),"")</f>
        <v/>
      </c>
      <c r="BW51" s="56">
        <f>IF(COUNT(AW51:BD51)&gt;=7,AVERAGE(AW51:BD51),"")</f>
        <v/>
      </c>
      <c r="BX51" s="56">
        <f>IF(COUNT(BE51:BJ51)&gt;=5,AVERAGE(BE51:BJ51),"")</f>
        <v/>
      </c>
      <c r="BY51" s="56">
        <f>IF(COUNT(BK51:BR51)&gt;=7,AVERAGE(BK51:BR51),"")</f>
        <v/>
      </c>
    </row>
    <row r="52">
      <c r="A52" t="inlineStr">
        <is>
          <t>R021</t>
        </is>
      </c>
      <c r="B52" t="inlineStr">
        <is>
          <t>Yes</t>
        </is>
      </c>
      <c r="C52" t="inlineStr">
        <is>
          <t>Yes</t>
        </is>
      </c>
      <c r="D52" t="inlineStr">
        <is>
          <t>Male</t>
        </is>
      </c>
      <c r="E52" t="inlineStr">
        <is>
          <t>25-34</t>
        </is>
      </c>
      <c r="F52" t="inlineStr">
        <is>
          <t>Bachelor/HND</t>
        </is>
      </c>
      <c r="G52" t="inlineStr">
        <is>
          <t>Merchant bank</t>
        </is>
      </c>
      <c r="H52" t="inlineStr">
        <is>
          <t>Digital Banking/Product</t>
        </is>
      </c>
      <c r="I52" t="inlineStr">
        <is>
          <t>11-15</t>
        </is>
      </c>
      <c r="J52" t="inlineStr">
        <is>
          <t>Yes</t>
        </is>
      </c>
      <c r="K52" t="n">
        <v>3</v>
      </c>
      <c r="L52" t="inlineStr">
        <is>
          <t>Yes</t>
        </is>
      </c>
      <c r="M52" t="inlineStr">
        <is>
          <t>Yes</t>
        </is>
      </c>
      <c r="N52" t="n">
        <v>4</v>
      </c>
      <c r="O52" t="n">
        <v>2</v>
      </c>
      <c r="P52" t="n">
        <v>4</v>
      </c>
      <c r="Q52" t="n">
        <v>2</v>
      </c>
      <c r="R52" t="n">
        <v>4</v>
      </c>
      <c r="S52" t="n">
        <v>4</v>
      </c>
      <c r="T52" t="n">
        <v>3</v>
      </c>
      <c r="U52" t="n">
        <v>4</v>
      </c>
      <c r="V52" t="n">
        <v>3</v>
      </c>
      <c r="W52" t="n">
        <v>3</v>
      </c>
      <c r="X52" t="n">
        <v>5</v>
      </c>
      <c r="Y52" t="n">
        <v>4</v>
      </c>
      <c r="Z52" t="n">
        <v>4</v>
      </c>
      <c r="AA52" t="n">
        <v>3</v>
      </c>
      <c r="AB52" t="n">
        <v>3</v>
      </c>
      <c r="AC52" t="n">
        <v>5</v>
      </c>
      <c r="AD52" t="n">
        <v>4</v>
      </c>
      <c r="AE52" t="n">
        <v>3</v>
      </c>
      <c r="AF52" t="n">
        <v>3</v>
      </c>
      <c r="AH52" t="n">
        <v>3</v>
      </c>
      <c r="AI52" t="n">
        <v>3</v>
      </c>
      <c r="AJ52" t="n">
        <v>2</v>
      </c>
      <c r="AK52" t="n">
        <v>3</v>
      </c>
      <c r="AL52" t="n">
        <v>2</v>
      </c>
      <c r="AM52" t="n">
        <v>4</v>
      </c>
      <c r="AN52" t="n">
        <v>5</v>
      </c>
      <c r="AO52" t="n">
        <v>4</v>
      </c>
      <c r="AP52" t="n">
        <v>5</v>
      </c>
      <c r="AQ52" t="n">
        <v>4</v>
      </c>
      <c r="AR52" t="n">
        <v>4</v>
      </c>
      <c r="AS52" t="n">
        <v>5</v>
      </c>
      <c r="AT52" t="n">
        <v>4</v>
      </c>
      <c r="AU52" t="n">
        <v>5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5</v>
      </c>
      <c r="BC52" t="n">
        <v>3</v>
      </c>
      <c r="BD52" t="n">
        <v>3</v>
      </c>
      <c r="BE52" t="n">
        <v>4</v>
      </c>
      <c r="BF52" t="n">
        <v>5</v>
      </c>
      <c r="BG52" t="n">
        <v>3</v>
      </c>
      <c r="BH52" t="n">
        <v>3</v>
      </c>
      <c r="BI52" t="n">
        <v>4</v>
      </c>
      <c r="BJ52" t="n">
        <v>3</v>
      </c>
      <c r="BK52" t="n">
        <v>4</v>
      </c>
      <c r="BL52" t="n">
        <v>3</v>
      </c>
      <c r="BM52" t="n">
        <v>5</v>
      </c>
      <c r="BN52" t="n">
        <v>3</v>
      </c>
      <c r="BO52" t="n">
        <v>4</v>
      </c>
      <c r="BP52" t="n">
        <v>5</v>
      </c>
      <c r="BQ52" t="n">
        <v>5</v>
      </c>
      <c r="BR52" t="n">
        <v>4</v>
      </c>
      <c r="BS52" s="56">
        <f>IF(COUNT(N52:W52)&gt;=8,AVERAGE(N52:W52),"")</f>
        <v/>
      </c>
      <c r="BT52" s="56">
        <f>IF(COUNT(X52:AE52)&gt;=7,AVERAGE(X52:AE52),"")</f>
        <v/>
      </c>
      <c r="BU52" s="56">
        <f>IF(COUNT(AF52:AM52)&gt;=7,AVERAGE(AF52:AM52),"")</f>
        <v/>
      </c>
      <c r="BV52" s="56">
        <f>IF(COUNT(AN52:AV52)&gt;=8,AVERAGE(AN52:AV52),"")</f>
        <v/>
      </c>
      <c r="BW52" s="56">
        <f>IF(COUNT(AW52:BD52)&gt;=7,AVERAGE(AW52:BD52),"")</f>
        <v/>
      </c>
      <c r="BX52" s="56">
        <f>IF(COUNT(BE52:BJ52)&gt;=5,AVERAGE(BE52:BJ52),"")</f>
        <v/>
      </c>
      <c r="BY52" s="56">
        <f>IF(COUNT(BK52:BR52)&gt;=7,AVERAGE(BK52:BR52),"")</f>
        <v/>
      </c>
    </row>
    <row r="53">
      <c r="A53" t="inlineStr">
        <is>
          <t>R022</t>
        </is>
      </c>
      <c r="B53" t="inlineStr">
        <is>
          <t>Yes</t>
        </is>
      </c>
      <c r="C53" t="inlineStr">
        <is>
          <t>Yes</t>
        </is>
      </c>
      <c r="D53" t="inlineStr">
        <is>
          <t>Female</t>
        </is>
      </c>
      <c r="E53" t="inlineStr">
        <is>
          <t>35-44</t>
        </is>
      </c>
      <c r="F53" t="inlineStr">
        <is>
          <t>Bachelor/HND</t>
        </is>
      </c>
      <c r="G53" t="inlineStr">
        <is>
          <t>Commercial bank</t>
        </is>
      </c>
      <c r="H53" t="inlineStr">
        <is>
          <t>Risk/Compliance</t>
        </is>
      </c>
      <c r="I53" t="inlineStr">
        <is>
          <t>6-10</t>
        </is>
      </c>
      <c r="J53" t="inlineStr">
        <is>
          <t>Yes</t>
        </is>
      </c>
      <c r="K53" t="n">
        <v>3</v>
      </c>
      <c r="L53" t="inlineStr">
        <is>
          <t>Yes</t>
        </is>
      </c>
      <c r="M53" t="inlineStr">
        <is>
          <t>Yes</t>
        </is>
      </c>
      <c r="N53" t="n">
        <v>4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 t="n">
        <v>3</v>
      </c>
      <c r="W53" t="n">
        <v>2</v>
      </c>
      <c r="X53" t="n">
        <v>4</v>
      </c>
      <c r="Y53" t="n">
        <v>3</v>
      </c>
      <c r="Z53" t="n">
        <v>3</v>
      </c>
      <c r="AA53" t="n">
        <v>3</v>
      </c>
      <c r="AB53" t="n">
        <v>2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2</v>
      </c>
      <c r="AN53" t="n">
        <v>3</v>
      </c>
      <c r="AO53" t="n">
        <v>3</v>
      </c>
      <c r="AP53" t="n">
        <v>2</v>
      </c>
      <c r="AQ53" t="n">
        <v>3</v>
      </c>
      <c r="AR53" t="n">
        <v>3</v>
      </c>
      <c r="AS53" t="n">
        <v>1</v>
      </c>
      <c r="AT53" t="n">
        <v>2</v>
      </c>
      <c r="AU53" t="n">
        <v>2</v>
      </c>
      <c r="AV53" t="n">
        <v>1</v>
      </c>
      <c r="AW53" t="n">
        <v>3</v>
      </c>
      <c r="AX53" t="n">
        <v>2</v>
      </c>
      <c r="AY53" t="n">
        <v>3</v>
      </c>
      <c r="AZ53" t="n">
        <v>2</v>
      </c>
      <c r="BA53" t="n">
        <v>2</v>
      </c>
      <c r="BB53" t="n">
        <v>3</v>
      </c>
      <c r="BC53" t="n">
        <v>3</v>
      </c>
      <c r="BD53" t="n">
        <v>2</v>
      </c>
      <c r="BE53" t="n">
        <v>3</v>
      </c>
      <c r="BF53" t="n">
        <v>4</v>
      </c>
      <c r="BG53" t="n">
        <v>2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2</v>
      </c>
      <c r="BO53" t="n">
        <v>4</v>
      </c>
      <c r="BP53" t="n">
        <v>4</v>
      </c>
      <c r="BQ53" t="n">
        <v>4</v>
      </c>
      <c r="BR53" t="n">
        <v>2</v>
      </c>
      <c r="BS53" s="56">
        <f>IF(COUNT(N53:W53)&gt;=8,AVERAGE(N53:W53),"")</f>
        <v/>
      </c>
      <c r="BT53" s="56">
        <f>IF(COUNT(X53:AE53)&gt;=7,AVERAGE(X53:AE53),"")</f>
        <v/>
      </c>
      <c r="BU53" s="56">
        <f>IF(COUNT(AF53:AM53)&gt;=7,AVERAGE(AF53:AM53),"")</f>
        <v/>
      </c>
      <c r="BV53" s="56">
        <f>IF(COUNT(AN53:AV53)&gt;=8,AVERAGE(AN53:AV53),"")</f>
        <v/>
      </c>
      <c r="BW53" s="56">
        <f>IF(COUNT(AW53:BD53)&gt;=7,AVERAGE(AW53:BD53),"")</f>
        <v/>
      </c>
      <c r="BX53" s="56">
        <f>IF(COUNT(BE53:BJ53)&gt;=5,AVERAGE(BE53:BJ53),"")</f>
        <v/>
      </c>
      <c r="BY53" s="56">
        <f>IF(COUNT(BK53:BR53)&gt;=7,AVERAGE(BK53:BR53),"")</f>
        <v/>
      </c>
    </row>
    <row r="54">
      <c r="A54" t="inlineStr">
        <is>
          <t>R023</t>
        </is>
      </c>
      <c r="B54" t="inlineStr">
        <is>
          <t>Yes</t>
        </is>
      </c>
      <c r="C54" t="inlineStr">
        <is>
          <t>Yes</t>
        </is>
      </c>
      <c r="D54" t="inlineStr">
        <is>
          <t>Female</t>
        </is>
      </c>
      <c r="E54" t="inlineStr">
        <is>
          <t>25-34</t>
        </is>
      </c>
      <c r="F54" t="inlineStr">
        <is>
          <t>Master's</t>
        </is>
      </c>
      <c r="G54" t="inlineStr">
        <is>
          <t>Commercial bank</t>
        </is>
      </c>
      <c r="H54" t="inlineStr">
        <is>
          <t>Digital Banking/Product</t>
        </is>
      </c>
      <c r="I54" t="inlineStr">
        <is>
          <t>Less than 2</t>
        </is>
      </c>
      <c r="J54" t="inlineStr">
        <is>
          <t>Yes</t>
        </is>
      </c>
      <c r="K54" t="n">
        <v>0</v>
      </c>
      <c r="L54" t="inlineStr">
        <is>
          <t>No</t>
        </is>
      </c>
      <c r="M54" t="inlineStr">
        <is>
          <t>Yes</t>
        </is>
      </c>
      <c r="N54" t="n">
        <v>2</v>
      </c>
      <c r="O54" t="n">
        <v>2</v>
      </c>
      <c r="P54" t="n">
        <v>3</v>
      </c>
      <c r="Q54" t="n">
        <v>2</v>
      </c>
      <c r="R54" t="n">
        <v>2</v>
      </c>
      <c r="S54" t="n">
        <v>2</v>
      </c>
      <c r="T54" t="n">
        <v>2</v>
      </c>
      <c r="U54" t="n">
        <v>1</v>
      </c>
      <c r="V54" t="n">
        <v>3</v>
      </c>
      <c r="W54" t="n">
        <v>2</v>
      </c>
      <c r="X54" t="n">
        <v>3</v>
      </c>
      <c r="Y54" t="n">
        <v>3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3</v>
      </c>
      <c r="AF54" t="n">
        <v>5</v>
      </c>
      <c r="AG54" t="n">
        <v>2</v>
      </c>
      <c r="AH54" t="n">
        <v>4</v>
      </c>
      <c r="AI54" t="n">
        <v>3</v>
      </c>
      <c r="AJ54" t="n">
        <v>4</v>
      </c>
      <c r="AK54" t="n">
        <v>3</v>
      </c>
      <c r="AL54" t="n">
        <v>2</v>
      </c>
      <c r="AM54" t="n">
        <v>2</v>
      </c>
      <c r="AN54" t="n">
        <v>3</v>
      </c>
      <c r="AO54" t="n">
        <v>2</v>
      </c>
      <c r="AP54" t="n">
        <v>2</v>
      </c>
      <c r="AQ54" t="n">
        <v>3</v>
      </c>
      <c r="AR54" t="n">
        <v>2</v>
      </c>
      <c r="AS54" t="n">
        <v>2</v>
      </c>
      <c r="AT54" t="n">
        <v>3</v>
      </c>
      <c r="AU54" t="n">
        <v>2</v>
      </c>
      <c r="AV54" t="n">
        <v>3</v>
      </c>
      <c r="AW54" t="n">
        <v>3</v>
      </c>
      <c r="AX54" t="n">
        <v>2</v>
      </c>
      <c r="AY54" t="n">
        <v>2</v>
      </c>
      <c r="AZ54" t="n">
        <v>4</v>
      </c>
      <c r="BA54" t="n">
        <v>4</v>
      </c>
      <c r="BB54" t="n">
        <v>2</v>
      </c>
      <c r="BC54" t="n">
        <v>4</v>
      </c>
      <c r="BD54" t="n">
        <v>2</v>
      </c>
      <c r="BE54" t="n">
        <v>1</v>
      </c>
      <c r="BG54" t="n">
        <v>1</v>
      </c>
      <c r="BH54" t="n">
        <v>3</v>
      </c>
      <c r="BI54" t="n">
        <v>1</v>
      </c>
      <c r="BJ54" t="n">
        <v>1</v>
      </c>
      <c r="BK54" t="n">
        <v>4</v>
      </c>
      <c r="BL54" t="n">
        <v>2</v>
      </c>
      <c r="BM54" t="n">
        <v>4</v>
      </c>
      <c r="BN54" t="n">
        <v>3</v>
      </c>
      <c r="BO54" t="n">
        <v>4</v>
      </c>
      <c r="BP54" t="n">
        <v>3</v>
      </c>
      <c r="BQ54" t="n">
        <v>4</v>
      </c>
      <c r="BR54" t="n">
        <v>4</v>
      </c>
      <c r="BS54" s="56">
        <f>IF(COUNT(N54:W54)&gt;=8,AVERAGE(N54:W54),"")</f>
        <v/>
      </c>
      <c r="BT54" s="56">
        <f>IF(COUNT(X54:AE54)&gt;=7,AVERAGE(X54:AE54),"")</f>
        <v/>
      </c>
      <c r="BU54" s="56">
        <f>IF(COUNT(AF54:AM54)&gt;=7,AVERAGE(AF54:AM54),"")</f>
        <v/>
      </c>
      <c r="BV54" s="56">
        <f>IF(COUNT(AN54:AV54)&gt;=8,AVERAGE(AN54:AV54),"")</f>
        <v/>
      </c>
      <c r="BW54" s="56">
        <f>IF(COUNT(AW54:BD54)&gt;=7,AVERAGE(AW54:BD54),"")</f>
        <v/>
      </c>
      <c r="BX54" s="56">
        <f>IF(COUNT(BE54:BJ54)&gt;=5,AVERAGE(BE54:BJ54),"")</f>
        <v/>
      </c>
      <c r="BY54" s="56">
        <f>IF(COUNT(BK54:BR54)&gt;=7,AVERAGE(BK54:BR54),"")</f>
        <v/>
      </c>
    </row>
    <row r="55">
      <c r="A55" t="inlineStr">
        <is>
          <t>R024</t>
        </is>
      </c>
      <c r="B55" t="inlineStr">
        <is>
          <t>Yes</t>
        </is>
      </c>
      <c r="C55" t="inlineStr">
        <is>
          <t>Yes</t>
        </is>
      </c>
      <c r="D55" t="inlineStr">
        <is>
          <t>Male</t>
        </is>
      </c>
      <c r="E55" t="inlineStr">
        <is>
          <t>35-44</t>
        </is>
      </c>
      <c r="F55" t="inlineStr">
        <is>
          <t>Master's</t>
        </is>
      </c>
      <c r="G55" t="inlineStr">
        <is>
          <t>Fintech/payment provider</t>
        </is>
      </c>
      <c r="H55" t="inlineStr">
        <is>
          <t>Other</t>
        </is>
      </c>
      <c r="I55" t="inlineStr">
        <is>
          <t>2-5</t>
        </is>
      </c>
      <c r="J55" t="inlineStr">
        <is>
          <t>Yes</t>
        </is>
      </c>
      <c r="K55" t="n">
        <v>1</v>
      </c>
      <c r="L55" t="inlineStr">
        <is>
          <t>Do not know</t>
        </is>
      </c>
      <c r="M55" t="inlineStr">
        <is>
          <t>Yes</t>
        </is>
      </c>
      <c r="N55" t="n">
        <v>4</v>
      </c>
      <c r="O55" t="n">
        <v>3</v>
      </c>
      <c r="P55" t="n">
        <v>5</v>
      </c>
      <c r="Q55" t="n">
        <v>3</v>
      </c>
      <c r="R55" t="n">
        <v>3</v>
      </c>
      <c r="S55" t="n">
        <v>4</v>
      </c>
      <c r="T55" t="n">
        <v>4</v>
      </c>
      <c r="U55" t="n">
        <v>4</v>
      </c>
      <c r="V55" t="n">
        <v>5</v>
      </c>
      <c r="W55" t="n">
        <v>4</v>
      </c>
      <c r="X55" t="n">
        <v>3</v>
      </c>
      <c r="Y55" t="n">
        <v>1</v>
      </c>
      <c r="Z55" t="n">
        <v>3</v>
      </c>
      <c r="AA55" t="n">
        <v>1</v>
      </c>
      <c r="AB55" t="n">
        <v>2</v>
      </c>
      <c r="AC55" t="n">
        <v>3</v>
      </c>
      <c r="AD55" t="n">
        <v>2</v>
      </c>
      <c r="AE55" t="n">
        <v>1</v>
      </c>
      <c r="AF55" t="n">
        <v>3</v>
      </c>
      <c r="AG55" t="n">
        <v>3</v>
      </c>
      <c r="AH55" t="n">
        <v>1</v>
      </c>
      <c r="AI55" t="n">
        <v>3</v>
      </c>
      <c r="AJ55" t="n">
        <v>3</v>
      </c>
      <c r="AK55" t="n">
        <v>4</v>
      </c>
      <c r="AL55" t="n">
        <v>2</v>
      </c>
      <c r="AM55" t="n">
        <v>3</v>
      </c>
      <c r="AN55" t="n">
        <v>4</v>
      </c>
      <c r="AO55" t="n">
        <v>2</v>
      </c>
      <c r="AP55" t="n">
        <v>3</v>
      </c>
      <c r="AQ55" t="n">
        <v>3</v>
      </c>
      <c r="AR55" t="n">
        <v>2</v>
      </c>
      <c r="AS55" t="n">
        <v>3</v>
      </c>
      <c r="AT55" t="n">
        <v>2</v>
      </c>
      <c r="AU55" t="n">
        <v>3</v>
      </c>
      <c r="AV55" t="n">
        <v>1</v>
      </c>
      <c r="AW55" t="n">
        <v>2</v>
      </c>
      <c r="AY55" t="n">
        <v>2</v>
      </c>
      <c r="AZ55" t="n">
        <v>2</v>
      </c>
      <c r="BA55" t="n">
        <v>2</v>
      </c>
      <c r="BB55" t="n">
        <v>1</v>
      </c>
      <c r="BC55" t="n">
        <v>2</v>
      </c>
      <c r="BD55" t="n">
        <v>2</v>
      </c>
      <c r="BE55" t="n">
        <v>2</v>
      </c>
      <c r="BF55" t="n">
        <v>3</v>
      </c>
      <c r="BG55" t="n">
        <v>2</v>
      </c>
      <c r="BH55" t="n">
        <v>3</v>
      </c>
      <c r="BI55" t="n">
        <v>3</v>
      </c>
      <c r="BJ55" t="n">
        <v>2</v>
      </c>
      <c r="BK55" t="n">
        <v>3</v>
      </c>
      <c r="BL55" t="n">
        <v>3</v>
      </c>
      <c r="BM55" t="n">
        <v>3</v>
      </c>
      <c r="BN55" t="n">
        <v>3</v>
      </c>
      <c r="BO55" t="n">
        <v>4</v>
      </c>
      <c r="BP55" t="n">
        <v>3</v>
      </c>
      <c r="BQ55" t="n">
        <v>4</v>
      </c>
      <c r="BR55" t="n">
        <v>3</v>
      </c>
      <c r="BS55" s="56">
        <f>IF(COUNT(N55:W55)&gt;=8,AVERAGE(N55:W55),"")</f>
        <v/>
      </c>
      <c r="BT55" s="56">
        <f>IF(COUNT(X55:AE55)&gt;=7,AVERAGE(X55:AE55),"")</f>
        <v/>
      </c>
      <c r="BU55" s="56">
        <f>IF(COUNT(AF55:AM55)&gt;=7,AVERAGE(AF55:AM55),"")</f>
        <v/>
      </c>
      <c r="BV55" s="56">
        <f>IF(COUNT(AN55:AV55)&gt;=8,AVERAGE(AN55:AV55),"")</f>
        <v/>
      </c>
      <c r="BW55" s="56">
        <f>IF(COUNT(AW55:BD55)&gt;=7,AVERAGE(AW55:BD55),"")</f>
        <v/>
      </c>
      <c r="BX55" s="56">
        <f>IF(COUNT(BE55:BJ55)&gt;=5,AVERAGE(BE55:BJ55),"")</f>
        <v/>
      </c>
      <c r="BY55" s="56">
        <f>IF(COUNT(BK55:BR55)&gt;=7,AVERAGE(BK55:BR55),"")</f>
        <v/>
      </c>
    </row>
    <row r="56">
      <c r="A56" t="inlineStr">
        <is>
          <t>R025</t>
        </is>
      </c>
      <c r="B56" t="inlineStr">
        <is>
          <t>Yes</t>
        </is>
      </c>
      <c r="C56" t="inlineStr">
        <is>
          <t>Yes</t>
        </is>
      </c>
      <c r="D56" t="inlineStr">
        <is>
          <t>Male</t>
        </is>
      </c>
      <c r="E56" t="inlineStr">
        <is>
          <t>25-34</t>
        </is>
      </c>
      <c r="F56" t="inlineStr">
        <is>
          <t>Master's</t>
        </is>
      </c>
      <c r="G56" t="inlineStr">
        <is>
          <t>Commercial bank</t>
        </is>
      </c>
      <c r="H56" t="inlineStr">
        <is>
          <t>Digital Banking/Product</t>
        </is>
      </c>
      <c r="I56" t="inlineStr">
        <is>
          <t>6-10</t>
        </is>
      </c>
      <c r="J56" t="inlineStr">
        <is>
          <t>Yes</t>
        </is>
      </c>
      <c r="K56" t="n">
        <v>1</v>
      </c>
      <c r="L56" t="inlineStr">
        <is>
          <t>Yes</t>
        </is>
      </c>
      <c r="M56" t="inlineStr">
        <is>
          <t>Yes</t>
        </is>
      </c>
      <c r="O56" t="n">
        <v>1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3</v>
      </c>
      <c r="W56" t="n">
        <v>2</v>
      </c>
      <c r="X56" t="n">
        <v>3</v>
      </c>
      <c r="Y56" t="n">
        <v>3</v>
      </c>
      <c r="Z56" t="n">
        <v>3</v>
      </c>
      <c r="AA56" t="n">
        <v>2</v>
      </c>
      <c r="AB56" t="n">
        <v>3</v>
      </c>
      <c r="AC56" t="n">
        <v>3</v>
      </c>
      <c r="AD56" t="n">
        <v>3</v>
      </c>
      <c r="AE56" t="n">
        <v>2</v>
      </c>
      <c r="AF56" t="n">
        <v>2</v>
      </c>
      <c r="AG56" t="n">
        <v>2</v>
      </c>
      <c r="AH56" t="n">
        <v>2</v>
      </c>
      <c r="AI56" t="n">
        <v>3</v>
      </c>
      <c r="AJ56" t="n">
        <v>3</v>
      </c>
      <c r="AK56" t="n">
        <v>3</v>
      </c>
      <c r="AL56" t="n">
        <v>2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4</v>
      </c>
      <c r="AS56" t="n">
        <v>2</v>
      </c>
      <c r="AT56" t="n">
        <v>3</v>
      </c>
      <c r="AU56" t="n">
        <v>2</v>
      </c>
      <c r="AV56" t="n">
        <v>3</v>
      </c>
      <c r="AW56" t="n">
        <v>4</v>
      </c>
      <c r="AX56" t="n">
        <v>2</v>
      </c>
      <c r="AY56" t="n">
        <v>2</v>
      </c>
      <c r="AZ56" t="n">
        <v>3</v>
      </c>
      <c r="BA56" t="n">
        <v>3</v>
      </c>
      <c r="BB56" t="n">
        <v>2</v>
      </c>
      <c r="BC56" t="n">
        <v>3</v>
      </c>
      <c r="BD56" t="n">
        <v>1</v>
      </c>
      <c r="BE56" t="n">
        <v>3</v>
      </c>
      <c r="BF56" t="n">
        <v>2</v>
      </c>
      <c r="BG56" t="n">
        <v>1</v>
      </c>
      <c r="BH56" t="n">
        <v>2</v>
      </c>
      <c r="BI56" t="n">
        <v>3</v>
      </c>
      <c r="BJ56" t="n">
        <v>1</v>
      </c>
      <c r="BK56" t="n">
        <v>2</v>
      </c>
      <c r="BL56" t="n">
        <v>2</v>
      </c>
      <c r="BM56" t="n">
        <v>3</v>
      </c>
      <c r="BN56" t="n">
        <v>3</v>
      </c>
      <c r="BO56" t="n">
        <v>3</v>
      </c>
      <c r="BP56" t="n">
        <v>2</v>
      </c>
      <c r="BQ56" t="n">
        <v>2</v>
      </c>
      <c r="BR56" t="n">
        <v>3</v>
      </c>
      <c r="BS56" s="56">
        <f>IF(COUNT(N56:W56)&gt;=8,AVERAGE(N56:W56),"")</f>
        <v/>
      </c>
      <c r="BT56" s="56">
        <f>IF(COUNT(X56:AE56)&gt;=7,AVERAGE(X56:AE56),"")</f>
        <v/>
      </c>
      <c r="BU56" s="56">
        <f>IF(COUNT(AF56:AM56)&gt;=7,AVERAGE(AF56:AM56),"")</f>
        <v/>
      </c>
      <c r="BV56" s="56">
        <f>IF(COUNT(AN56:AV56)&gt;=8,AVERAGE(AN56:AV56),"")</f>
        <v/>
      </c>
      <c r="BW56" s="56">
        <f>IF(COUNT(AW56:BD56)&gt;=7,AVERAGE(AW56:BD56),"")</f>
        <v/>
      </c>
      <c r="BX56" s="56">
        <f>IF(COUNT(BE56:BJ56)&gt;=5,AVERAGE(BE56:BJ56),"")</f>
        <v/>
      </c>
      <c r="BY56" s="56">
        <f>IF(COUNT(BK56:BR56)&gt;=7,AVERAGE(BK56:BR56),"")</f>
        <v/>
      </c>
    </row>
    <row r="57">
      <c r="A57" t="inlineStr">
        <is>
          <t>R026</t>
        </is>
      </c>
      <c r="B57" t="inlineStr">
        <is>
          <t>Yes</t>
        </is>
      </c>
      <c r="C57" t="inlineStr">
        <is>
          <t>Yes</t>
        </is>
      </c>
      <c r="D57" t="inlineStr">
        <is>
          <t>Female</t>
        </is>
      </c>
      <c r="E57" t="inlineStr">
        <is>
          <t>25-34</t>
        </is>
      </c>
      <c r="F57" t="inlineStr">
        <is>
          <t>Bachelor/HND</t>
        </is>
      </c>
      <c r="G57" t="inlineStr">
        <is>
          <t>Digital bank/neobank</t>
        </is>
      </c>
      <c r="H57" t="inlineStr">
        <is>
          <t>Management/Strategy</t>
        </is>
      </c>
      <c r="I57" t="inlineStr">
        <is>
          <t>Less than 2</t>
        </is>
      </c>
      <c r="J57" t="inlineStr">
        <is>
          <t>Yes</t>
        </is>
      </c>
      <c r="K57" t="n">
        <v>3</v>
      </c>
      <c r="L57" t="inlineStr">
        <is>
          <t>Yes</t>
        </is>
      </c>
      <c r="M57" t="inlineStr">
        <is>
          <t>Yes</t>
        </is>
      </c>
      <c r="N57" t="n">
        <v>4</v>
      </c>
      <c r="O57" t="n">
        <v>2</v>
      </c>
      <c r="P57" t="n">
        <v>2</v>
      </c>
      <c r="Q57" t="n">
        <v>3</v>
      </c>
      <c r="R57" t="n">
        <v>3</v>
      </c>
      <c r="S57" t="n">
        <v>3</v>
      </c>
      <c r="T57" t="n">
        <v>2</v>
      </c>
      <c r="U57" t="n">
        <v>3</v>
      </c>
      <c r="V57" t="n">
        <v>2</v>
      </c>
      <c r="W57" t="n">
        <v>3</v>
      </c>
      <c r="X57" t="n">
        <v>4</v>
      </c>
      <c r="Y57" t="n">
        <v>5</v>
      </c>
      <c r="Z57" t="n">
        <v>5</v>
      </c>
      <c r="AA57" t="n">
        <v>4</v>
      </c>
      <c r="AB57" t="n">
        <v>4</v>
      </c>
      <c r="AC57" t="n">
        <v>5</v>
      </c>
      <c r="AD57" t="n">
        <v>3</v>
      </c>
      <c r="AE57" t="n">
        <v>3</v>
      </c>
      <c r="AF57" t="n">
        <v>5</v>
      </c>
      <c r="AG57" t="n">
        <v>4</v>
      </c>
      <c r="AH57" t="n">
        <v>5</v>
      </c>
      <c r="AI57" t="n">
        <v>5</v>
      </c>
      <c r="AJ57" t="n">
        <v>4</v>
      </c>
      <c r="AK57" t="n">
        <v>5</v>
      </c>
      <c r="AL57" t="n">
        <v>5</v>
      </c>
      <c r="AM57" t="n">
        <v>3</v>
      </c>
      <c r="AN57" t="n">
        <v>1</v>
      </c>
      <c r="AO57" t="n">
        <v>2</v>
      </c>
      <c r="AP57" t="n">
        <v>1</v>
      </c>
      <c r="AQ57" t="n">
        <v>2</v>
      </c>
      <c r="AR57" t="n">
        <v>3</v>
      </c>
      <c r="AS57" t="n">
        <v>1</v>
      </c>
      <c r="AT57" t="n">
        <v>3</v>
      </c>
      <c r="AU57" t="n">
        <v>1</v>
      </c>
      <c r="AV57" t="n">
        <v>3</v>
      </c>
      <c r="AW57" t="n">
        <v>5</v>
      </c>
      <c r="AX57" t="n">
        <v>4</v>
      </c>
      <c r="AY57" t="n">
        <v>4</v>
      </c>
      <c r="AZ57" t="n">
        <v>5</v>
      </c>
      <c r="BA57" t="n">
        <v>5</v>
      </c>
      <c r="BB57" t="n">
        <v>4</v>
      </c>
      <c r="BC57" t="n">
        <v>3</v>
      </c>
      <c r="BD57" t="n">
        <v>5</v>
      </c>
      <c r="BE57" t="n">
        <v>3</v>
      </c>
      <c r="BF57" t="n">
        <v>4</v>
      </c>
      <c r="BG57" t="n">
        <v>5</v>
      </c>
      <c r="BH57" t="n">
        <v>5</v>
      </c>
      <c r="BI57" t="n">
        <v>4</v>
      </c>
      <c r="BJ57" t="n">
        <v>3</v>
      </c>
      <c r="BK57" t="n">
        <v>3</v>
      </c>
      <c r="BL57" t="n">
        <v>4</v>
      </c>
      <c r="BM57" t="n">
        <v>4</v>
      </c>
      <c r="BN57" t="n">
        <v>4</v>
      </c>
      <c r="BO57" t="n">
        <v>2</v>
      </c>
      <c r="BP57" t="n">
        <v>3</v>
      </c>
      <c r="BQ57" t="n">
        <v>4</v>
      </c>
      <c r="BR57" t="n">
        <v>3</v>
      </c>
      <c r="BS57" s="56">
        <f>IF(COUNT(N57:W57)&gt;=8,AVERAGE(N57:W57),"")</f>
        <v/>
      </c>
      <c r="BT57" s="56">
        <f>IF(COUNT(X57:AE57)&gt;=7,AVERAGE(X57:AE57),"")</f>
        <v/>
      </c>
      <c r="BU57" s="56">
        <f>IF(COUNT(AF57:AM57)&gt;=7,AVERAGE(AF57:AM57),"")</f>
        <v/>
      </c>
      <c r="BV57" s="56">
        <f>IF(COUNT(AN57:AV57)&gt;=8,AVERAGE(AN57:AV57),"")</f>
        <v/>
      </c>
      <c r="BW57" s="56">
        <f>IF(COUNT(AW57:BD57)&gt;=7,AVERAGE(AW57:BD57),"")</f>
        <v/>
      </c>
      <c r="BX57" s="56">
        <f>IF(COUNT(BE57:BJ57)&gt;=5,AVERAGE(BE57:BJ57),"")</f>
        <v/>
      </c>
      <c r="BY57" s="56">
        <f>IF(COUNT(BK57:BR57)&gt;=7,AVERAGE(BK57:BR57),"")</f>
        <v/>
      </c>
    </row>
    <row r="58">
      <c r="A58" t="inlineStr">
        <is>
          <t>R027</t>
        </is>
      </c>
      <c r="B58" t="inlineStr">
        <is>
          <t>Yes</t>
        </is>
      </c>
      <c r="C58" t="inlineStr">
        <is>
          <t>Yes</t>
        </is>
      </c>
      <c r="D58" t="inlineStr">
        <is>
          <t>Female</t>
        </is>
      </c>
      <c r="E58" t="inlineStr">
        <is>
          <t>35-44</t>
        </is>
      </c>
      <c r="F58" t="inlineStr">
        <is>
          <t>Master's</t>
        </is>
      </c>
      <c r="G58" t="inlineStr">
        <is>
          <t>Digital bank/neobank</t>
        </is>
      </c>
      <c r="H58" t="inlineStr">
        <is>
          <t>Digital Banking/Product</t>
        </is>
      </c>
      <c r="I58" t="inlineStr">
        <is>
          <t>11-15</t>
        </is>
      </c>
      <c r="J58" t="inlineStr">
        <is>
          <t>Yes</t>
        </is>
      </c>
      <c r="K58" t="n">
        <v>3</v>
      </c>
      <c r="L58" t="inlineStr">
        <is>
          <t>No</t>
        </is>
      </c>
      <c r="M58" t="inlineStr">
        <is>
          <t>Yes</t>
        </is>
      </c>
      <c r="N58" t="n">
        <v>5</v>
      </c>
      <c r="O58" t="n">
        <v>4</v>
      </c>
      <c r="P58" t="n">
        <v>5</v>
      </c>
      <c r="Q58" t="n">
        <v>4</v>
      </c>
      <c r="R58" t="n">
        <v>4</v>
      </c>
      <c r="S58" t="n">
        <v>4</v>
      </c>
      <c r="T58" t="n">
        <v>3</v>
      </c>
      <c r="U58" t="n">
        <v>3</v>
      </c>
      <c r="V58" t="n">
        <v>5</v>
      </c>
      <c r="W58" t="n">
        <v>3</v>
      </c>
      <c r="X58" t="n">
        <v>2</v>
      </c>
      <c r="Y58" t="n">
        <v>1</v>
      </c>
      <c r="Z58" t="n">
        <v>2</v>
      </c>
      <c r="AA58" t="n">
        <v>1</v>
      </c>
      <c r="AB58" t="n">
        <v>1</v>
      </c>
      <c r="AC58" t="n">
        <v>3</v>
      </c>
      <c r="AD58" t="n">
        <v>1</v>
      </c>
      <c r="AE58" t="n">
        <v>2</v>
      </c>
      <c r="AF58" t="n">
        <v>2</v>
      </c>
      <c r="AG58" t="n">
        <v>2</v>
      </c>
      <c r="AI58" t="n">
        <v>3</v>
      </c>
      <c r="AJ58" t="n">
        <v>2</v>
      </c>
      <c r="AK58" t="n">
        <v>2</v>
      </c>
      <c r="AL58" t="n">
        <v>4</v>
      </c>
      <c r="AM58" t="n">
        <v>2</v>
      </c>
      <c r="AN58" t="n">
        <v>3</v>
      </c>
      <c r="AO58" t="n">
        <v>3</v>
      </c>
      <c r="AP58" t="n">
        <v>2</v>
      </c>
      <c r="AQ58" t="n">
        <v>2</v>
      </c>
      <c r="AR58" t="n">
        <v>3</v>
      </c>
      <c r="AS58" t="n">
        <v>3</v>
      </c>
      <c r="AT58" t="n">
        <v>3</v>
      </c>
      <c r="AU58" t="n">
        <v>2</v>
      </c>
      <c r="AV58" t="n">
        <v>3</v>
      </c>
      <c r="AW58" t="n">
        <v>1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4</v>
      </c>
      <c r="BG58" t="n">
        <v>4</v>
      </c>
      <c r="BH58" t="n">
        <v>5</v>
      </c>
      <c r="BI58" t="n">
        <v>3</v>
      </c>
      <c r="BJ58" t="n">
        <v>3</v>
      </c>
      <c r="BK58" t="n">
        <v>3</v>
      </c>
      <c r="BL58" t="n">
        <v>2</v>
      </c>
      <c r="BM58" t="n">
        <v>4</v>
      </c>
      <c r="BN58" t="n">
        <v>3</v>
      </c>
      <c r="BO58" t="n">
        <v>5</v>
      </c>
      <c r="BP58" t="n">
        <v>3</v>
      </c>
      <c r="BQ58" t="n">
        <v>2</v>
      </c>
      <c r="BR58" t="n">
        <v>3</v>
      </c>
      <c r="BS58" s="56">
        <f>IF(COUNT(N58:W58)&gt;=8,AVERAGE(N58:W58),"")</f>
        <v/>
      </c>
      <c r="BT58" s="56">
        <f>IF(COUNT(X58:AE58)&gt;=7,AVERAGE(X58:AE58),"")</f>
        <v/>
      </c>
      <c r="BU58" s="56">
        <f>IF(COUNT(AF58:AM58)&gt;=7,AVERAGE(AF58:AM58),"")</f>
        <v/>
      </c>
      <c r="BV58" s="56">
        <f>IF(COUNT(AN58:AV58)&gt;=8,AVERAGE(AN58:AV58),"")</f>
        <v/>
      </c>
      <c r="BW58" s="56">
        <f>IF(COUNT(AW58:BD58)&gt;=7,AVERAGE(AW58:BD58),"")</f>
        <v/>
      </c>
      <c r="BX58" s="56">
        <f>IF(COUNT(BE58:BJ58)&gt;=5,AVERAGE(BE58:BJ58),"")</f>
        <v/>
      </c>
      <c r="BY58" s="56">
        <f>IF(COUNT(BK58:BR58)&gt;=7,AVERAGE(BK58:BR58),"")</f>
        <v/>
      </c>
    </row>
    <row r="59">
      <c r="A59" t="inlineStr">
        <is>
          <t>R028</t>
        </is>
      </c>
      <c r="B59" t="inlineStr">
        <is>
          <t>Yes</t>
        </is>
      </c>
      <c r="C59" t="inlineStr">
        <is>
          <t>Yes</t>
        </is>
      </c>
      <c r="D59" t="inlineStr">
        <is>
          <t>Female</t>
        </is>
      </c>
      <c r="E59" t="inlineStr">
        <is>
          <t>25-34</t>
        </is>
      </c>
      <c r="F59" t="inlineStr">
        <is>
          <t>Master's</t>
        </is>
      </c>
      <c r="G59" t="inlineStr">
        <is>
          <t>Digital bank/neobank</t>
        </is>
      </c>
      <c r="H59" t="inlineStr">
        <is>
          <t>Digital Banking/Product</t>
        </is>
      </c>
      <c r="I59" t="inlineStr">
        <is>
          <t>2-5</t>
        </is>
      </c>
      <c r="J59" t="inlineStr">
        <is>
          <t>Yes</t>
        </is>
      </c>
      <c r="K59" t="n">
        <v>1</v>
      </c>
      <c r="L59" t="inlineStr">
        <is>
          <t>No</t>
        </is>
      </c>
      <c r="M59" t="inlineStr">
        <is>
          <t>Yes</t>
        </is>
      </c>
      <c r="N59" t="n">
        <v>4</v>
      </c>
      <c r="O59" t="n">
        <v>3</v>
      </c>
      <c r="P59" t="n">
        <v>4</v>
      </c>
      <c r="Q59" t="n">
        <v>4</v>
      </c>
      <c r="R59" t="n">
        <v>4</v>
      </c>
      <c r="S59" t="n">
        <v>4</v>
      </c>
      <c r="T59" t="n">
        <v>3</v>
      </c>
      <c r="U59" t="n">
        <v>3</v>
      </c>
      <c r="V59" t="n">
        <v>4</v>
      </c>
      <c r="W59" t="n">
        <v>2</v>
      </c>
      <c r="X59" t="n">
        <v>3</v>
      </c>
      <c r="Y59" t="n">
        <v>2</v>
      </c>
      <c r="Z59" t="n">
        <v>4</v>
      </c>
      <c r="AA59" t="n">
        <v>2</v>
      </c>
      <c r="AB59" t="n">
        <v>3</v>
      </c>
      <c r="AC59" t="n">
        <v>2</v>
      </c>
      <c r="AD59" t="n">
        <v>2</v>
      </c>
      <c r="AE59" t="n">
        <v>3</v>
      </c>
      <c r="AF59" t="n">
        <v>1</v>
      </c>
      <c r="AG59" t="n">
        <v>2</v>
      </c>
      <c r="AH59" t="n">
        <v>2</v>
      </c>
      <c r="AI59" t="n">
        <v>3</v>
      </c>
      <c r="AJ59" t="n">
        <v>2</v>
      </c>
      <c r="AK59" t="n">
        <v>3</v>
      </c>
      <c r="AL59" t="n">
        <v>1</v>
      </c>
      <c r="AM59" t="n">
        <v>1</v>
      </c>
      <c r="AN59" t="n">
        <v>3</v>
      </c>
      <c r="AO59" t="n">
        <v>1</v>
      </c>
      <c r="AP59" t="n">
        <v>2</v>
      </c>
      <c r="AQ59" t="n">
        <v>1</v>
      </c>
      <c r="AR59" t="n">
        <v>3</v>
      </c>
      <c r="AS59" t="n">
        <v>3</v>
      </c>
      <c r="AT59" t="n">
        <v>2</v>
      </c>
      <c r="AU59" t="n">
        <v>2</v>
      </c>
      <c r="AV59" t="n">
        <v>2</v>
      </c>
      <c r="AW59" t="n">
        <v>4</v>
      </c>
      <c r="AX59" t="n">
        <v>2</v>
      </c>
      <c r="AY59" t="n">
        <v>3</v>
      </c>
      <c r="AZ59" t="n">
        <v>3</v>
      </c>
      <c r="BA59" t="n">
        <v>4</v>
      </c>
      <c r="BB59" t="n">
        <v>3</v>
      </c>
      <c r="BC59" t="n">
        <v>2</v>
      </c>
      <c r="BD59" t="n">
        <v>3</v>
      </c>
      <c r="BE59" t="n">
        <v>4</v>
      </c>
      <c r="BF59" t="n">
        <v>4</v>
      </c>
      <c r="BG59" t="n">
        <v>3</v>
      </c>
      <c r="BH59" t="n">
        <v>4</v>
      </c>
      <c r="BI59" t="n">
        <v>3</v>
      </c>
      <c r="BJ59" t="n">
        <v>3</v>
      </c>
      <c r="BK59" t="n">
        <v>2</v>
      </c>
      <c r="BL59" t="n">
        <v>1</v>
      </c>
      <c r="BM59" t="n">
        <v>4</v>
      </c>
      <c r="BP59" t="n">
        <v>2</v>
      </c>
      <c r="BQ59" t="n">
        <v>2</v>
      </c>
      <c r="BR59" t="n">
        <v>3</v>
      </c>
      <c r="BS59" s="56">
        <f>IF(COUNT(N59:W59)&gt;=8,AVERAGE(N59:W59),"")</f>
        <v/>
      </c>
      <c r="BT59" s="56">
        <f>IF(COUNT(X59:AE59)&gt;=7,AVERAGE(X59:AE59),"")</f>
        <v/>
      </c>
      <c r="BU59" s="56">
        <f>IF(COUNT(AF59:AM59)&gt;=7,AVERAGE(AF59:AM59),"")</f>
        <v/>
      </c>
      <c r="BV59" s="56">
        <f>IF(COUNT(AN59:AV59)&gt;=8,AVERAGE(AN59:AV59),"")</f>
        <v/>
      </c>
      <c r="BW59" s="56">
        <f>IF(COUNT(AW59:BD59)&gt;=7,AVERAGE(AW59:BD59),"")</f>
        <v/>
      </c>
      <c r="BX59" s="56">
        <f>IF(COUNT(BE59:BJ59)&gt;=5,AVERAGE(BE59:BJ59),"")</f>
        <v/>
      </c>
      <c r="BY59" s="56">
        <f>IF(COUNT(BK59:BR59)&gt;=7,AVERAGE(BK59:BR59),"")</f>
        <v/>
      </c>
    </row>
    <row r="60">
      <c r="A60" t="inlineStr">
        <is>
          <t>R029</t>
        </is>
      </c>
      <c r="B60" t="inlineStr">
        <is>
          <t>Yes</t>
        </is>
      </c>
      <c r="C60" t="inlineStr">
        <is>
          <t>Yes</t>
        </is>
      </c>
      <c r="D60" t="inlineStr">
        <is>
          <t>Male</t>
        </is>
      </c>
      <c r="E60" t="inlineStr">
        <is>
          <t>25-34</t>
        </is>
      </c>
      <c r="F60" t="inlineStr">
        <is>
          <t>Bachelor/HND</t>
        </is>
      </c>
      <c r="G60" t="inlineStr">
        <is>
          <t>Fintech/payment provider</t>
        </is>
      </c>
      <c r="H60" t="inlineStr">
        <is>
          <t>Digital Banking/Product</t>
        </is>
      </c>
      <c r="I60" t="inlineStr">
        <is>
          <t>2-5</t>
        </is>
      </c>
      <c r="J60" t="inlineStr">
        <is>
          <t>Yes</t>
        </is>
      </c>
      <c r="K60" t="n">
        <v>1</v>
      </c>
      <c r="L60" t="inlineStr">
        <is>
          <t>No</t>
        </is>
      </c>
      <c r="M60" t="inlineStr">
        <is>
          <t>Yes</t>
        </is>
      </c>
      <c r="N60" t="n">
        <v>4</v>
      </c>
      <c r="O60" t="n">
        <v>2</v>
      </c>
      <c r="P60" t="n">
        <v>4</v>
      </c>
      <c r="Q60" t="n">
        <v>3</v>
      </c>
      <c r="R60" t="n">
        <v>2</v>
      </c>
      <c r="S60" t="n">
        <v>2</v>
      </c>
      <c r="T60" t="n">
        <v>3</v>
      </c>
      <c r="U60" t="n">
        <v>2</v>
      </c>
      <c r="V60" t="n">
        <v>4</v>
      </c>
      <c r="W60" t="n">
        <v>2</v>
      </c>
      <c r="X60" t="n">
        <v>3</v>
      </c>
      <c r="Y60" t="n">
        <v>2</v>
      </c>
      <c r="Z60" t="n">
        <v>3</v>
      </c>
      <c r="AA60" t="n">
        <v>2</v>
      </c>
      <c r="AB60" t="n">
        <v>2</v>
      </c>
      <c r="AC60" t="n">
        <v>4</v>
      </c>
      <c r="AD60" t="n">
        <v>3</v>
      </c>
      <c r="AE60" t="n">
        <v>3</v>
      </c>
      <c r="AF60" t="n">
        <v>5</v>
      </c>
      <c r="AG60" t="n">
        <v>5</v>
      </c>
      <c r="AH60" t="n">
        <v>4</v>
      </c>
      <c r="AI60" t="n">
        <v>5</v>
      </c>
      <c r="AJ60" t="n">
        <v>3</v>
      </c>
      <c r="AK60" t="n">
        <v>4</v>
      </c>
      <c r="AL60" t="n">
        <v>5</v>
      </c>
      <c r="AM60" t="n">
        <v>4</v>
      </c>
      <c r="AN60" t="n">
        <v>4</v>
      </c>
      <c r="AO60" t="n">
        <v>2</v>
      </c>
      <c r="AP60" t="n">
        <v>3</v>
      </c>
      <c r="AQ60" t="n">
        <v>3</v>
      </c>
      <c r="AR60" t="n">
        <v>4</v>
      </c>
      <c r="AS60" t="n">
        <v>3</v>
      </c>
      <c r="AT60" t="n">
        <v>3</v>
      </c>
      <c r="AU60" t="n">
        <v>2</v>
      </c>
      <c r="AV60" t="n">
        <v>4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4</v>
      </c>
      <c r="BC60" t="n">
        <v>3</v>
      </c>
      <c r="BD60" t="n">
        <v>3</v>
      </c>
      <c r="BE60" t="n">
        <v>2</v>
      </c>
      <c r="BF60" t="n">
        <v>3</v>
      </c>
      <c r="BH60" t="n">
        <v>4</v>
      </c>
      <c r="BI60" t="n">
        <v>3</v>
      </c>
      <c r="BJ60" t="n">
        <v>2</v>
      </c>
      <c r="BK60" t="n">
        <v>5</v>
      </c>
      <c r="BL60" t="n">
        <v>3</v>
      </c>
      <c r="BM60" t="n">
        <v>5</v>
      </c>
      <c r="BN60" t="n">
        <v>4</v>
      </c>
      <c r="BO60" t="n">
        <v>4</v>
      </c>
      <c r="BP60" t="n">
        <v>4</v>
      </c>
      <c r="BQ60" t="n">
        <v>5</v>
      </c>
      <c r="BR60" t="n">
        <v>3</v>
      </c>
      <c r="BS60" s="56">
        <f>IF(COUNT(N60:W60)&gt;=8,AVERAGE(N60:W60),"")</f>
        <v/>
      </c>
      <c r="BT60" s="56">
        <f>IF(COUNT(X60:AE60)&gt;=7,AVERAGE(X60:AE60),"")</f>
        <v/>
      </c>
      <c r="BU60" s="56">
        <f>IF(COUNT(AF60:AM60)&gt;=7,AVERAGE(AF60:AM60),"")</f>
        <v/>
      </c>
      <c r="BV60" s="56">
        <f>IF(COUNT(AN60:AV60)&gt;=8,AVERAGE(AN60:AV60),"")</f>
        <v/>
      </c>
      <c r="BW60" s="56">
        <f>IF(COUNT(AW60:BD60)&gt;=7,AVERAGE(AW60:BD60),"")</f>
        <v/>
      </c>
      <c r="BX60" s="56">
        <f>IF(COUNT(BE60:BJ60)&gt;=5,AVERAGE(BE60:BJ60),"")</f>
        <v/>
      </c>
      <c r="BY60" s="56">
        <f>IF(COUNT(BK60:BR60)&gt;=7,AVERAGE(BK60:BR60),"")</f>
        <v/>
      </c>
    </row>
    <row r="61">
      <c r="A61" t="inlineStr">
        <is>
          <t>R030</t>
        </is>
      </c>
      <c r="B61" t="inlineStr">
        <is>
          <t>Yes</t>
        </is>
      </c>
      <c r="C61" t="inlineStr">
        <is>
          <t>Yes</t>
        </is>
      </c>
      <c r="D61" t="inlineStr">
        <is>
          <t>Male</t>
        </is>
      </c>
      <c r="E61" t="inlineStr">
        <is>
          <t>18-24</t>
        </is>
      </c>
      <c r="F61" t="inlineStr">
        <is>
          <t>Bachelor/HND</t>
        </is>
      </c>
      <c r="G61" t="inlineStr">
        <is>
          <t>Fintech/payment provider</t>
        </is>
      </c>
      <c r="H61" t="inlineStr">
        <is>
          <t>Customer Experience/Service</t>
        </is>
      </c>
      <c r="I61" t="inlineStr">
        <is>
          <t>2-5</t>
        </is>
      </c>
      <c r="J61" t="inlineStr">
        <is>
          <t>Yes</t>
        </is>
      </c>
      <c r="K61" t="n">
        <v>2</v>
      </c>
      <c r="L61" t="inlineStr">
        <is>
          <t>Yes</t>
        </is>
      </c>
      <c r="M61" t="inlineStr">
        <is>
          <t>Yes</t>
        </is>
      </c>
      <c r="N61" t="n">
        <v>2</v>
      </c>
      <c r="O61" t="n">
        <v>3</v>
      </c>
      <c r="P61" t="n">
        <v>3</v>
      </c>
      <c r="Q61" t="n">
        <v>3</v>
      </c>
      <c r="R61" t="n">
        <v>4</v>
      </c>
      <c r="S61" t="n">
        <v>3</v>
      </c>
      <c r="T61" t="n">
        <v>2</v>
      </c>
      <c r="U61" t="n">
        <v>3</v>
      </c>
      <c r="V61" t="n">
        <v>3</v>
      </c>
      <c r="W61" t="n">
        <v>4</v>
      </c>
      <c r="X61" t="n">
        <v>3</v>
      </c>
      <c r="Y61" t="n">
        <v>3</v>
      </c>
      <c r="Z61" t="n">
        <v>4</v>
      </c>
      <c r="AA61" t="n">
        <v>2</v>
      </c>
      <c r="AB61" t="n">
        <v>3</v>
      </c>
      <c r="AC61" t="n">
        <v>3</v>
      </c>
      <c r="AD61" t="n">
        <v>3</v>
      </c>
      <c r="AE61" t="n">
        <v>3</v>
      </c>
      <c r="AG61" t="n">
        <v>2</v>
      </c>
      <c r="AH61" t="n">
        <v>3</v>
      </c>
      <c r="AJ61" t="n">
        <v>3</v>
      </c>
      <c r="AK61" t="n">
        <v>4</v>
      </c>
      <c r="AL61" t="n">
        <v>3</v>
      </c>
      <c r="AM61" t="n">
        <v>3</v>
      </c>
      <c r="AN61" t="n">
        <v>3</v>
      </c>
      <c r="AO61" t="n">
        <v>3</v>
      </c>
      <c r="AP61" t="n">
        <v>2</v>
      </c>
      <c r="AQ61" t="n">
        <v>3</v>
      </c>
      <c r="AR61" t="n">
        <v>3</v>
      </c>
      <c r="AS61" t="n">
        <v>3</v>
      </c>
      <c r="AT61" t="n">
        <v>3</v>
      </c>
      <c r="AU61" t="n">
        <v>2</v>
      </c>
      <c r="AV61" t="n">
        <v>3</v>
      </c>
      <c r="AW61" t="n">
        <v>4</v>
      </c>
      <c r="AX61" t="n">
        <v>3</v>
      </c>
      <c r="AY61" t="n">
        <v>4</v>
      </c>
      <c r="AZ61" t="n">
        <v>3</v>
      </c>
      <c r="BA61" t="n">
        <v>4</v>
      </c>
      <c r="BB61" t="n">
        <v>3</v>
      </c>
      <c r="BC61" t="n">
        <v>3</v>
      </c>
      <c r="BD61" t="n">
        <v>2</v>
      </c>
      <c r="BE61" t="n">
        <v>4</v>
      </c>
      <c r="BF61" t="n">
        <v>4</v>
      </c>
      <c r="BG61" t="n">
        <v>3</v>
      </c>
      <c r="BH61" t="n">
        <v>5</v>
      </c>
      <c r="BI61" t="n">
        <v>3</v>
      </c>
      <c r="BJ61" t="n">
        <v>3</v>
      </c>
      <c r="BK61" t="n">
        <v>2</v>
      </c>
      <c r="BL61" t="n">
        <v>2</v>
      </c>
      <c r="BM61" t="n">
        <v>3</v>
      </c>
      <c r="BN61" t="n">
        <v>2</v>
      </c>
      <c r="BO61" t="n">
        <v>2</v>
      </c>
      <c r="BP61" t="n">
        <v>2</v>
      </c>
      <c r="BQ61" t="n">
        <v>3</v>
      </c>
      <c r="BR61" t="n">
        <v>2</v>
      </c>
      <c r="BS61" s="56">
        <f>IF(COUNT(N61:W61)&gt;=8,AVERAGE(N61:W61),"")</f>
        <v/>
      </c>
      <c r="BT61" s="56">
        <f>IF(COUNT(X61:AE61)&gt;=7,AVERAGE(X61:AE61),"")</f>
        <v/>
      </c>
      <c r="BU61" s="56">
        <f>IF(COUNT(AF61:AM61)&gt;=7,AVERAGE(AF61:AM61),"")</f>
        <v/>
      </c>
      <c r="BV61" s="56">
        <f>IF(COUNT(AN61:AV61)&gt;=8,AVERAGE(AN61:AV61),"")</f>
        <v/>
      </c>
      <c r="BW61" s="56">
        <f>IF(COUNT(AW61:BD61)&gt;=7,AVERAGE(AW61:BD61),"")</f>
        <v/>
      </c>
      <c r="BX61" s="56">
        <f>IF(COUNT(BE61:BJ61)&gt;=5,AVERAGE(BE61:BJ61),"")</f>
        <v/>
      </c>
      <c r="BY61" s="56">
        <f>IF(COUNT(BK61:BR61)&gt;=7,AVERAGE(BK61:BR61),"")</f>
        <v/>
      </c>
    </row>
    <row r="62">
      <c r="A62" t="inlineStr">
        <is>
          <t>R031</t>
        </is>
      </c>
      <c r="B62" t="inlineStr">
        <is>
          <t>Yes</t>
        </is>
      </c>
      <c r="C62" t="inlineStr">
        <is>
          <t>Yes</t>
        </is>
      </c>
      <c r="D62" t="inlineStr">
        <is>
          <t>Male</t>
        </is>
      </c>
      <c r="E62" t="inlineStr">
        <is>
          <t>35-44</t>
        </is>
      </c>
      <c r="F62" t="inlineStr">
        <is>
          <t>Bachelor/HND</t>
        </is>
      </c>
      <c r="G62" t="inlineStr">
        <is>
          <t>Fintech/payment provider</t>
        </is>
      </c>
      <c r="H62" t="inlineStr">
        <is>
          <t>IT/Technology</t>
        </is>
      </c>
      <c r="I62" t="inlineStr">
        <is>
          <t>Less than 2</t>
        </is>
      </c>
      <c r="J62" t="inlineStr">
        <is>
          <t>Yes</t>
        </is>
      </c>
      <c r="K62" t="n">
        <v>2</v>
      </c>
      <c r="L62" t="inlineStr">
        <is>
          <t>Yes</t>
        </is>
      </c>
      <c r="M62" t="inlineStr">
        <is>
          <t>Yes</t>
        </is>
      </c>
      <c r="N62" t="n">
        <v>2</v>
      </c>
      <c r="O62" t="n">
        <v>1</v>
      </c>
      <c r="P62" t="n">
        <v>2</v>
      </c>
      <c r="Q62" t="n">
        <v>1</v>
      </c>
      <c r="S62" t="n">
        <v>2</v>
      </c>
      <c r="T62" t="n">
        <v>1</v>
      </c>
      <c r="U62" t="n">
        <v>2</v>
      </c>
      <c r="V62" t="n">
        <v>1</v>
      </c>
      <c r="W62" t="n">
        <v>2</v>
      </c>
      <c r="X62" t="n">
        <v>3</v>
      </c>
      <c r="Y62" t="n">
        <v>2</v>
      </c>
      <c r="Z62" t="n">
        <v>3</v>
      </c>
      <c r="AA62" t="n">
        <v>3</v>
      </c>
      <c r="AB62" t="n">
        <v>3</v>
      </c>
      <c r="AC62" t="n">
        <v>3</v>
      </c>
      <c r="AD62" t="n">
        <v>4</v>
      </c>
      <c r="AE62" t="n">
        <v>4</v>
      </c>
      <c r="AF62" t="n">
        <v>1</v>
      </c>
      <c r="AG62" t="n">
        <v>3</v>
      </c>
      <c r="AH62" t="n">
        <v>2</v>
      </c>
      <c r="AI62" t="n">
        <v>4</v>
      </c>
      <c r="AJ62" t="n">
        <v>3</v>
      </c>
      <c r="AK62" t="n">
        <v>4</v>
      </c>
      <c r="AL62" t="n">
        <v>3</v>
      </c>
      <c r="AM62" t="n">
        <v>3</v>
      </c>
      <c r="AN62" t="n">
        <v>4</v>
      </c>
      <c r="AO62" t="n">
        <v>4</v>
      </c>
      <c r="AQ62" t="n">
        <v>3</v>
      </c>
      <c r="AR62" t="n">
        <v>3</v>
      </c>
      <c r="AS62" t="n">
        <v>4</v>
      </c>
      <c r="AT62" t="n">
        <v>2</v>
      </c>
      <c r="AU62" t="n">
        <v>3</v>
      </c>
      <c r="AV62" t="n">
        <v>4</v>
      </c>
      <c r="AW62" t="n">
        <v>2</v>
      </c>
      <c r="AX62" t="n">
        <v>2</v>
      </c>
      <c r="AY62" t="n">
        <v>2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4</v>
      </c>
      <c r="BJ62" t="n">
        <v>3</v>
      </c>
      <c r="BK62" t="n">
        <v>3</v>
      </c>
      <c r="BL62" t="n">
        <v>2</v>
      </c>
      <c r="BM62" t="n">
        <v>2</v>
      </c>
      <c r="BN62" t="n">
        <v>2</v>
      </c>
      <c r="BO62" t="n">
        <v>2</v>
      </c>
      <c r="BP62" t="n">
        <v>1</v>
      </c>
      <c r="BQ62" t="n">
        <v>3</v>
      </c>
      <c r="BR62" t="n">
        <v>2</v>
      </c>
      <c r="BS62" s="56">
        <f>IF(COUNT(N62:W62)&gt;=8,AVERAGE(N62:W62),"")</f>
        <v/>
      </c>
      <c r="BT62" s="56">
        <f>IF(COUNT(X62:AE62)&gt;=7,AVERAGE(X62:AE62),"")</f>
        <v/>
      </c>
      <c r="BU62" s="56">
        <f>IF(COUNT(AF62:AM62)&gt;=7,AVERAGE(AF62:AM62),"")</f>
        <v/>
      </c>
      <c r="BV62" s="56">
        <f>IF(COUNT(AN62:AV62)&gt;=8,AVERAGE(AN62:AV62),"")</f>
        <v/>
      </c>
      <c r="BW62" s="56">
        <f>IF(COUNT(AW62:BD62)&gt;=7,AVERAGE(AW62:BD62),"")</f>
        <v/>
      </c>
      <c r="BX62" s="56">
        <f>IF(COUNT(BE62:BJ62)&gt;=5,AVERAGE(BE62:BJ62),"")</f>
        <v/>
      </c>
      <c r="BY62" s="56">
        <f>IF(COUNT(BK62:BR62)&gt;=7,AVERAGE(BK62:BR62),"")</f>
        <v/>
      </c>
    </row>
    <row r="63">
      <c r="A63" t="inlineStr">
        <is>
          <t>R032</t>
        </is>
      </c>
      <c r="B63" t="inlineStr">
        <is>
          <t>Yes</t>
        </is>
      </c>
      <c r="C63" t="inlineStr">
        <is>
          <t>Yes</t>
        </is>
      </c>
      <c r="D63" t="inlineStr">
        <is>
          <t>Female</t>
        </is>
      </c>
      <c r="E63" t="inlineStr">
        <is>
          <t>18-24</t>
        </is>
      </c>
      <c r="F63" t="inlineStr">
        <is>
          <t>Master's</t>
        </is>
      </c>
      <c r="G63" t="inlineStr">
        <is>
          <t>Commercial bank</t>
        </is>
      </c>
      <c r="H63" t="inlineStr">
        <is>
          <t>IT/Technology</t>
        </is>
      </c>
      <c r="I63" t="inlineStr">
        <is>
          <t>11-15</t>
        </is>
      </c>
      <c r="J63" t="inlineStr">
        <is>
          <t>Yes</t>
        </is>
      </c>
      <c r="K63" t="n">
        <v>2</v>
      </c>
      <c r="L63" t="inlineStr">
        <is>
          <t>No</t>
        </is>
      </c>
      <c r="M63" t="inlineStr">
        <is>
          <t>Yes</t>
        </is>
      </c>
      <c r="N63" t="n">
        <v>4</v>
      </c>
      <c r="O63" t="n">
        <v>3</v>
      </c>
      <c r="P63" t="n">
        <v>4</v>
      </c>
      <c r="Q63" t="n">
        <v>3</v>
      </c>
      <c r="R63" t="n">
        <v>3</v>
      </c>
      <c r="S63" t="n">
        <v>5</v>
      </c>
      <c r="T63" t="n">
        <v>3</v>
      </c>
      <c r="U63" t="n">
        <v>4</v>
      </c>
      <c r="V63" t="n">
        <v>5</v>
      </c>
      <c r="W63" t="n">
        <v>3</v>
      </c>
      <c r="Y63" t="n">
        <v>2</v>
      </c>
      <c r="Z63" t="n">
        <v>3</v>
      </c>
      <c r="AA63" t="n">
        <v>3</v>
      </c>
      <c r="AB63" t="n">
        <v>3</v>
      </c>
      <c r="AC63" t="n">
        <v>2</v>
      </c>
      <c r="AD63" t="n">
        <v>3</v>
      </c>
      <c r="AE63" t="n">
        <v>3</v>
      </c>
      <c r="AF63" t="n">
        <v>4</v>
      </c>
      <c r="AG63" t="n">
        <v>4</v>
      </c>
      <c r="AH63" t="n">
        <v>2</v>
      </c>
      <c r="AI63" t="n">
        <v>4</v>
      </c>
      <c r="AJ63" t="n">
        <v>4</v>
      </c>
      <c r="AK63" t="n">
        <v>4</v>
      </c>
      <c r="AL63" t="n">
        <v>4</v>
      </c>
      <c r="AM63" t="n">
        <v>3</v>
      </c>
      <c r="AN63" t="n">
        <v>3</v>
      </c>
      <c r="AO63" t="n">
        <v>3</v>
      </c>
      <c r="AP63" t="n">
        <v>4</v>
      </c>
      <c r="AQ63" t="n">
        <v>3</v>
      </c>
      <c r="AR63" t="n">
        <v>3</v>
      </c>
      <c r="AS63" t="n">
        <v>4</v>
      </c>
      <c r="AT63" t="n">
        <v>4</v>
      </c>
      <c r="AU63" t="n">
        <v>4</v>
      </c>
      <c r="AV63" t="n">
        <v>3</v>
      </c>
      <c r="AW63" t="n">
        <v>4</v>
      </c>
      <c r="AX63" t="n">
        <v>2</v>
      </c>
      <c r="AY63" t="n">
        <v>3</v>
      </c>
      <c r="AZ63" t="n">
        <v>2</v>
      </c>
      <c r="BA63" t="n">
        <v>3</v>
      </c>
      <c r="BB63" t="n">
        <v>2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2</v>
      </c>
      <c r="BI63" t="n">
        <v>3</v>
      </c>
      <c r="BJ63" t="n">
        <v>3</v>
      </c>
      <c r="BK63" t="n">
        <v>2</v>
      </c>
      <c r="BL63" t="n">
        <v>2</v>
      </c>
      <c r="BM63" t="n">
        <v>3</v>
      </c>
      <c r="BN63" t="n">
        <v>2</v>
      </c>
      <c r="BO63" t="n">
        <v>2</v>
      </c>
      <c r="BP63" t="n">
        <v>3</v>
      </c>
      <c r="BQ63" t="n">
        <v>3</v>
      </c>
      <c r="BR63" t="n">
        <v>2</v>
      </c>
      <c r="BS63" s="56">
        <f>IF(COUNT(N63:W63)&gt;=8,AVERAGE(N63:W63),"")</f>
        <v/>
      </c>
      <c r="BT63" s="56">
        <f>IF(COUNT(X63:AE63)&gt;=7,AVERAGE(X63:AE63),"")</f>
        <v/>
      </c>
      <c r="BU63" s="56">
        <f>IF(COUNT(AF63:AM63)&gt;=7,AVERAGE(AF63:AM63),"")</f>
        <v/>
      </c>
      <c r="BV63" s="56">
        <f>IF(COUNT(AN63:AV63)&gt;=8,AVERAGE(AN63:AV63),"")</f>
        <v/>
      </c>
      <c r="BW63" s="56">
        <f>IF(COUNT(AW63:BD63)&gt;=7,AVERAGE(AW63:BD63),"")</f>
        <v/>
      </c>
      <c r="BX63" s="56">
        <f>IF(COUNT(BE63:BJ63)&gt;=5,AVERAGE(BE63:BJ63),"")</f>
        <v/>
      </c>
      <c r="BY63" s="56">
        <f>IF(COUNT(BK63:BR63)&gt;=7,AVERAGE(BK63:BR63),"")</f>
        <v/>
      </c>
    </row>
    <row r="64">
      <c r="A64" t="inlineStr">
        <is>
          <t>R033</t>
        </is>
      </c>
      <c r="B64" t="inlineStr">
        <is>
          <t>Yes</t>
        </is>
      </c>
      <c r="C64" t="inlineStr">
        <is>
          <t>Yes</t>
        </is>
      </c>
      <c r="D64" t="inlineStr">
        <is>
          <t>Prefer not to say</t>
        </is>
      </c>
      <c r="E64" t="inlineStr">
        <is>
          <t>35-44</t>
        </is>
      </c>
      <c r="F64" t="inlineStr">
        <is>
          <t>Master's</t>
        </is>
      </c>
      <c r="G64" t="inlineStr">
        <is>
          <t>Microfinance bank</t>
        </is>
      </c>
      <c r="H64" t="inlineStr">
        <is>
          <t>Data/Analytics/AI</t>
        </is>
      </c>
      <c r="I64" t="inlineStr">
        <is>
          <t>6-10</t>
        </is>
      </c>
      <c r="J64" t="inlineStr">
        <is>
          <t>Yes</t>
        </is>
      </c>
      <c r="K64" t="n">
        <v>2</v>
      </c>
      <c r="L64" t="inlineStr">
        <is>
          <t>Yes</t>
        </is>
      </c>
      <c r="M64" t="inlineStr">
        <is>
          <t>Yes</t>
        </is>
      </c>
      <c r="N64" t="n">
        <v>2</v>
      </c>
      <c r="O64" t="n">
        <v>3</v>
      </c>
      <c r="P64" t="n">
        <v>3</v>
      </c>
      <c r="Q64" t="n">
        <v>2</v>
      </c>
      <c r="R64" t="n">
        <v>2</v>
      </c>
      <c r="S64" t="n">
        <v>3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4</v>
      </c>
      <c r="AA64" t="n">
        <v>2</v>
      </c>
      <c r="AB64" t="n">
        <v>3</v>
      </c>
      <c r="AC64" t="n">
        <v>3</v>
      </c>
      <c r="AD64" t="n">
        <v>3</v>
      </c>
      <c r="AE64" t="n">
        <v>2</v>
      </c>
      <c r="AF64" t="n">
        <v>3</v>
      </c>
      <c r="AG64" t="n">
        <v>4</v>
      </c>
      <c r="AH64" t="n">
        <v>4</v>
      </c>
      <c r="AI64" t="n">
        <v>3</v>
      </c>
      <c r="AJ64" t="n">
        <v>3</v>
      </c>
      <c r="AK64" t="n">
        <v>5</v>
      </c>
      <c r="AL64" t="n">
        <v>4</v>
      </c>
      <c r="AM64" t="n">
        <v>4</v>
      </c>
      <c r="AN64" t="n">
        <v>4</v>
      </c>
      <c r="AO64" t="n">
        <v>2</v>
      </c>
      <c r="AP64" t="n">
        <v>3</v>
      </c>
      <c r="AQ64" t="n">
        <v>2</v>
      </c>
      <c r="AR64" t="n">
        <v>3</v>
      </c>
      <c r="AS64" t="n">
        <v>2</v>
      </c>
      <c r="AT64" t="n">
        <v>3</v>
      </c>
      <c r="AU64" t="n">
        <v>2</v>
      </c>
      <c r="AV64" t="n">
        <v>2</v>
      </c>
      <c r="AW64" t="n">
        <v>3</v>
      </c>
      <c r="AX64" t="n">
        <v>2</v>
      </c>
      <c r="AY64" t="n">
        <v>2</v>
      </c>
      <c r="AZ64" t="n">
        <v>2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2</v>
      </c>
      <c r="BH64" t="n">
        <v>3</v>
      </c>
      <c r="BI64" t="n">
        <v>3</v>
      </c>
      <c r="BJ64" t="n">
        <v>4</v>
      </c>
      <c r="BK64" t="n">
        <v>3</v>
      </c>
      <c r="BL64" t="n">
        <v>2</v>
      </c>
      <c r="BM64" t="n">
        <v>3</v>
      </c>
      <c r="BN64" t="n">
        <v>2</v>
      </c>
      <c r="BO64" t="n">
        <v>3</v>
      </c>
      <c r="BP64" t="n">
        <v>2</v>
      </c>
      <c r="BQ64" t="n">
        <v>4</v>
      </c>
      <c r="BR64" t="n">
        <v>2</v>
      </c>
      <c r="BS64" s="56">
        <f>IF(COUNT(N64:W64)&gt;=8,AVERAGE(N64:W64),"")</f>
        <v/>
      </c>
      <c r="BT64" s="56">
        <f>IF(COUNT(X64:AE64)&gt;=7,AVERAGE(X64:AE64),"")</f>
        <v/>
      </c>
      <c r="BU64" s="56">
        <f>IF(COUNT(AF64:AM64)&gt;=7,AVERAGE(AF64:AM64),"")</f>
        <v/>
      </c>
      <c r="BV64" s="56">
        <f>IF(COUNT(AN64:AV64)&gt;=8,AVERAGE(AN64:AV64),"")</f>
        <v/>
      </c>
      <c r="BW64" s="56">
        <f>IF(COUNT(AW64:BD64)&gt;=7,AVERAGE(AW64:BD64),"")</f>
        <v/>
      </c>
      <c r="BX64" s="56">
        <f>IF(COUNT(BE64:BJ64)&gt;=5,AVERAGE(BE64:BJ64),"")</f>
        <v/>
      </c>
      <c r="BY64" s="56">
        <f>IF(COUNT(BK64:BR64)&gt;=7,AVERAGE(BK64:BR64),"")</f>
        <v/>
      </c>
    </row>
    <row r="65">
      <c r="A65" t="inlineStr">
        <is>
          <t>R034</t>
        </is>
      </c>
      <c r="B65" t="inlineStr">
        <is>
          <t>Yes</t>
        </is>
      </c>
      <c r="C65" t="inlineStr">
        <is>
          <t>Yes</t>
        </is>
      </c>
      <c r="D65" t="inlineStr">
        <is>
          <t>Male</t>
        </is>
      </c>
      <c r="E65" t="inlineStr">
        <is>
          <t>25-34</t>
        </is>
      </c>
      <c r="F65" t="inlineStr">
        <is>
          <t>Diploma/OND/NCE</t>
        </is>
      </c>
      <c r="G65" t="inlineStr">
        <is>
          <t>Commercial bank</t>
        </is>
      </c>
      <c r="H65" t="inlineStr">
        <is>
          <t>Data/Analytics/AI</t>
        </is>
      </c>
      <c r="I65" t="inlineStr">
        <is>
          <t>6-10</t>
        </is>
      </c>
      <c r="J65" t="inlineStr">
        <is>
          <t>Yes</t>
        </is>
      </c>
      <c r="K65" t="n">
        <v>4</v>
      </c>
      <c r="L65" t="inlineStr">
        <is>
          <t>No</t>
        </is>
      </c>
      <c r="M65" t="inlineStr">
        <is>
          <t>Yes</t>
        </is>
      </c>
      <c r="N65" t="n">
        <v>3</v>
      </c>
      <c r="O65" t="n">
        <v>2</v>
      </c>
      <c r="P65" t="n">
        <v>2</v>
      </c>
      <c r="Q65" t="n">
        <v>1</v>
      </c>
      <c r="R65" t="n">
        <v>1</v>
      </c>
      <c r="S65" t="n">
        <v>2</v>
      </c>
      <c r="T65" t="n">
        <v>1</v>
      </c>
      <c r="U65" t="n">
        <v>2</v>
      </c>
      <c r="V65" t="n">
        <v>1</v>
      </c>
      <c r="W65" t="n">
        <v>2</v>
      </c>
      <c r="X65" t="n">
        <v>3</v>
      </c>
      <c r="Y65" t="n">
        <v>1</v>
      </c>
      <c r="Z65" t="n">
        <v>3</v>
      </c>
      <c r="AA65" t="n">
        <v>2</v>
      </c>
      <c r="AB65" t="n">
        <v>3</v>
      </c>
      <c r="AC65" t="n">
        <v>3</v>
      </c>
      <c r="AD65" t="n">
        <v>3</v>
      </c>
      <c r="AE65" t="n">
        <v>4</v>
      </c>
      <c r="AF65" t="n">
        <v>4</v>
      </c>
      <c r="AG65" t="n">
        <v>4</v>
      </c>
      <c r="AH65" t="n">
        <v>2</v>
      </c>
      <c r="AI65" t="n">
        <v>4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2</v>
      </c>
      <c r="AP65" t="n">
        <v>4</v>
      </c>
      <c r="AQ65" t="n">
        <v>2</v>
      </c>
      <c r="AR65" t="n">
        <v>4</v>
      </c>
      <c r="AS65" t="n">
        <v>3</v>
      </c>
      <c r="AT65" t="n">
        <v>2</v>
      </c>
      <c r="AU65" t="n">
        <v>3</v>
      </c>
      <c r="AV65" t="n">
        <v>4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2</v>
      </c>
      <c r="BF65" t="n">
        <v>3</v>
      </c>
      <c r="BG65" t="n">
        <v>2</v>
      </c>
      <c r="BH65" t="n">
        <v>4</v>
      </c>
      <c r="BI65" t="n">
        <v>3</v>
      </c>
      <c r="BJ65" t="n">
        <v>2</v>
      </c>
      <c r="BK65" t="n">
        <v>1</v>
      </c>
      <c r="BL65" t="n">
        <v>1</v>
      </c>
      <c r="BM65" t="n">
        <v>1</v>
      </c>
      <c r="BN65" t="n">
        <v>1</v>
      </c>
      <c r="BO65" t="n">
        <v>2</v>
      </c>
      <c r="BP65" t="n">
        <v>1</v>
      </c>
      <c r="BQ65" t="n">
        <v>2</v>
      </c>
      <c r="BR65" t="n">
        <v>1</v>
      </c>
      <c r="BS65" s="56">
        <f>IF(COUNT(N65:W65)&gt;=8,AVERAGE(N65:W65),"")</f>
        <v/>
      </c>
      <c r="BT65" s="56">
        <f>IF(COUNT(X65:AE65)&gt;=7,AVERAGE(X65:AE65),"")</f>
        <v/>
      </c>
      <c r="BU65" s="56">
        <f>IF(COUNT(AF65:AM65)&gt;=7,AVERAGE(AF65:AM65),"")</f>
        <v/>
      </c>
      <c r="BV65" s="56">
        <f>IF(COUNT(AN65:AV65)&gt;=8,AVERAGE(AN65:AV65),"")</f>
        <v/>
      </c>
      <c r="BW65" s="56">
        <f>IF(COUNT(AW65:BD65)&gt;=7,AVERAGE(AW65:BD65),"")</f>
        <v/>
      </c>
      <c r="BX65" s="56">
        <f>IF(COUNT(BE65:BJ65)&gt;=5,AVERAGE(BE65:BJ65),"")</f>
        <v/>
      </c>
      <c r="BY65" s="56">
        <f>IF(COUNT(BK65:BR65)&gt;=7,AVERAGE(BK65:BR65),"")</f>
        <v/>
      </c>
    </row>
    <row r="66">
      <c r="A66" t="inlineStr">
        <is>
          <t>R035</t>
        </is>
      </c>
      <c r="B66" t="inlineStr">
        <is>
          <t>Yes</t>
        </is>
      </c>
      <c r="C66" t="inlineStr">
        <is>
          <t>Yes</t>
        </is>
      </c>
      <c r="D66" t="inlineStr">
        <is>
          <t>Female</t>
        </is>
      </c>
      <c r="E66" t="inlineStr">
        <is>
          <t>25-34</t>
        </is>
      </c>
      <c r="F66" t="inlineStr">
        <is>
          <t>Bachelor/HND</t>
        </is>
      </c>
      <c r="G66" t="inlineStr">
        <is>
          <t>Insurance/investment/other licensed financial institution</t>
        </is>
      </c>
      <c r="H66" t="inlineStr">
        <is>
          <t>Digital Banking/Product</t>
        </is>
      </c>
      <c r="I66" t="inlineStr">
        <is>
          <t>2-5</t>
        </is>
      </c>
      <c r="J66" t="inlineStr">
        <is>
          <t>Yes</t>
        </is>
      </c>
      <c r="K66" t="n">
        <v>1</v>
      </c>
      <c r="L66" t="inlineStr">
        <is>
          <t>No</t>
        </is>
      </c>
      <c r="M66" t="inlineStr">
        <is>
          <t>Yes</t>
        </is>
      </c>
      <c r="N66" t="n">
        <v>3</v>
      </c>
      <c r="O66" t="n">
        <v>3</v>
      </c>
      <c r="P66" t="n">
        <v>4</v>
      </c>
      <c r="Q66" t="n">
        <v>3</v>
      </c>
      <c r="R66" t="n">
        <v>2</v>
      </c>
      <c r="S66" t="n">
        <v>2</v>
      </c>
      <c r="T66" t="n">
        <v>3</v>
      </c>
      <c r="U66" t="n">
        <v>3</v>
      </c>
      <c r="V66" t="n">
        <v>4</v>
      </c>
      <c r="W66" t="n">
        <v>3</v>
      </c>
      <c r="X66" t="n">
        <v>2</v>
      </c>
      <c r="Y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3</v>
      </c>
      <c r="AG66" t="n">
        <v>4</v>
      </c>
      <c r="AH66" t="n">
        <v>2</v>
      </c>
      <c r="AI66" t="n">
        <v>4</v>
      </c>
      <c r="AJ66" t="n">
        <v>4</v>
      </c>
      <c r="AK66" t="n">
        <v>3</v>
      </c>
      <c r="AL66" t="n">
        <v>4</v>
      </c>
      <c r="AM66" t="n">
        <v>2</v>
      </c>
      <c r="AN66" t="n">
        <v>3</v>
      </c>
      <c r="AO66" t="n">
        <v>3</v>
      </c>
      <c r="AP66" t="n">
        <v>2</v>
      </c>
      <c r="AQ66" t="n">
        <v>2</v>
      </c>
      <c r="AR66" t="n">
        <v>3</v>
      </c>
      <c r="AS66" t="n">
        <v>2</v>
      </c>
      <c r="AT66" t="n">
        <v>3</v>
      </c>
      <c r="AU66" t="n">
        <v>3</v>
      </c>
      <c r="AW66" t="n">
        <v>3</v>
      </c>
      <c r="AX66" t="n">
        <v>2</v>
      </c>
      <c r="AY66" t="n">
        <v>3</v>
      </c>
      <c r="AZ66" t="n">
        <v>2</v>
      </c>
      <c r="BA66" t="n">
        <v>3</v>
      </c>
      <c r="BB66" t="n">
        <v>2</v>
      </c>
      <c r="BC66" t="n">
        <v>3</v>
      </c>
      <c r="BD66" t="n">
        <v>2</v>
      </c>
      <c r="BE66" t="n">
        <v>2</v>
      </c>
      <c r="BF66" t="n">
        <v>3</v>
      </c>
      <c r="BG66" t="n">
        <v>2</v>
      </c>
      <c r="BI66" t="n">
        <v>3</v>
      </c>
      <c r="BJ66" t="n">
        <v>2</v>
      </c>
      <c r="BK66" t="n">
        <v>2</v>
      </c>
      <c r="BL66" t="n">
        <v>1</v>
      </c>
      <c r="BM66" t="n">
        <v>3</v>
      </c>
      <c r="BN66" t="n">
        <v>1</v>
      </c>
      <c r="BO66" t="n">
        <v>2</v>
      </c>
      <c r="BP66" t="n">
        <v>3</v>
      </c>
      <c r="BQ66" t="n">
        <v>2</v>
      </c>
      <c r="BR66" t="n">
        <v>1</v>
      </c>
      <c r="BS66" s="56">
        <f>IF(COUNT(N66:W66)&gt;=8,AVERAGE(N66:W66),"")</f>
        <v/>
      </c>
      <c r="BT66" s="56">
        <f>IF(COUNT(X66:AE66)&gt;=7,AVERAGE(X66:AE66),"")</f>
        <v/>
      </c>
      <c r="BU66" s="56">
        <f>IF(COUNT(AF66:AM66)&gt;=7,AVERAGE(AF66:AM66),"")</f>
        <v/>
      </c>
      <c r="BV66" s="56">
        <f>IF(COUNT(AN66:AV66)&gt;=8,AVERAGE(AN66:AV66),"")</f>
        <v/>
      </c>
      <c r="BW66" s="56">
        <f>IF(COUNT(AW66:BD66)&gt;=7,AVERAGE(AW66:BD66),"")</f>
        <v/>
      </c>
      <c r="BX66" s="56">
        <f>IF(COUNT(BE66:BJ66)&gt;=5,AVERAGE(BE66:BJ66),"")</f>
        <v/>
      </c>
      <c r="BY66" s="56">
        <f>IF(COUNT(BK66:BR66)&gt;=7,AVERAGE(BK66:BR66),"")</f>
        <v/>
      </c>
    </row>
    <row r="67">
      <c r="A67" t="inlineStr">
        <is>
          <t>R036</t>
        </is>
      </c>
      <c r="B67" t="inlineStr">
        <is>
          <t>Yes</t>
        </is>
      </c>
      <c r="C67" t="inlineStr">
        <is>
          <t>Yes</t>
        </is>
      </c>
      <c r="D67" t="inlineStr">
        <is>
          <t>Female</t>
        </is>
      </c>
      <c r="E67" t="inlineStr">
        <is>
          <t>25-34</t>
        </is>
      </c>
      <c r="F67" t="inlineStr">
        <is>
          <t>Master's</t>
        </is>
      </c>
      <c r="G67" t="inlineStr">
        <is>
          <t>Digital bank/neobank</t>
        </is>
      </c>
      <c r="H67" t="inlineStr">
        <is>
          <t>IT/Technology</t>
        </is>
      </c>
      <c r="I67" t="inlineStr">
        <is>
          <t>2-5</t>
        </is>
      </c>
      <c r="J67" t="inlineStr">
        <is>
          <t>Yes</t>
        </is>
      </c>
      <c r="K67" t="n">
        <v>2</v>
      </c>
      <c r="L67" t="inlineStr">
        <is>
          <t>Yes</t>
        </is>
      </c>
      <c r="M67" t="inlineStr">
        <is>
          <t>Yes</t>
        </is>
      </c>
      <c r="N67" t="n">
        <v>3</v>
      </c>
      <c r="O67" t="n">
        <v>1</v>
      </c>
      <c r="P67" t="n">
        <v>3</v>
      </c>
      <c r="Q67" t="n">
        <v>2</v>
      </c>
      <c r="R67" t="n">
        <v>4</v>
      </c>
      <c r="S67" t="n">
        <v>3</v>
      </c>
      <c r="T67" t="n">
        <v>2</v>
      </c>
      <c r="U67" t="n">
        <v>3</v>
      </c>
      <c r="V67" t="n">
        <v>3</v>
      </c>
      <c r="W67" t="n">
        <v>3</v>
      </c>
      <c r="X67" t="n">
        <v>2</v>
      </c>
      <c r="Y67" t="n">
        <v>2</v>
      </c>
      <c r="Z67" t="n">
        <v>3</v>
      </c>
      <c r="AA67" t="n">
        <v>1</v>
      </c>
      <c r="AB67" t="n">
        <v>3</v>
      </c>
      <c r="AC67" t="n">
        <v>2</v>
      </c>
      <c r="AD67" t="n">
        <v>2</v>
      </c>
      <c r="AE67" t="n">
        <v>2</v>
      </c>
      <c r="AF67" t="n">
        <v>2</v>
      </c>
      <c r="AG67" t="n">
        <v>3</v>
      </c>
      <c r="AH67" t="n">
        <v>1</v>
      </c>
      <c r="AI67" t="n">
        <v>2</v>
      </c>
      <c r="AJ67" t="n">
        <v>3</v>
      </c>
      <c r="AK67" t="n">
        <v>3</v>
      </c>
      <c r="AL67" t="n">
        <v>2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4</v>
      </c>
      <c r="AS67" t="n">
        <v>3</v>
      </c>
      <c r="AT67" t="n">
        <v>4</v>
      </c>
      <c r="AU67" t="n">
        <v>3</v>
      </c>
      <c r="AV67" t="n">
        <v>3</v>
      </c>
      <c r="AW67" t="n">
        <v>3</v>
      </c>
      <c r="AX67" t="n">
        <v>2</v>
      </c>
      <c r="AY67" t="n">
        <v>3</v>
      </c>
      <c r="AZ67" t="n">
        <v>3</v>
      </c>
      <c r="BA67" t="n">
        <v>3</v>
      </c>
      <c r="BB67" t="n">
        <v>2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4</v>
      </c>
      <c r="BI67" t="n">
        <v>3</v>
      </c>
      <c r="BJ67" t="n">
        <v>3</v>
      </c>
      <c r="BK67" t="n">
        <v>5</v>
      </c>
      <c r="BL67" t="n">
        <v>4</v>
      </c>
      <c r="BM67" t="n">
        <v>5</v>
      </c>
      <c r="BN67" t="n">
        <v>4</v>
      </c>
      <c r="BO67" t="n">
        <v>5</v>
      </c>
      <c r="BP67" t="n">
        <v>4</v>
      </c>
      <c r="BQ67" t="n">
        <v>5</v>
      </c>
      <c r="BR67" t="n">
        <v>4</v>
      </c>
      <c r="BS67" s="56">
        <f>IF(COUNT(N67:W67)&gt;=8,AVERAGE(N67:W67),"")</f>
        <v/>
      </c>
      <c r="BT67" s="56">
        <f>IF(COUNT(X67:AE67)&gt;=7,AVERAGE(X67:AE67),"")</f>
        <v/>
      </c>
      <c r="BU67" s="56">
        <f>IF(COUNT(AF67:AM67)&gt;=7,AVERAGE(AF67:AM67),"")</f>
        <v/>
      </c>
      <c r="BV67" s="56">
        <f>IF(COUNT(AN67:AV67)&gt;=8,AVERAGE(AN67:AV67),"")</f>
        <v/>
      </c>
      <c r="BW67" s="56">
        <f>IF(COUNT(AW67:BD67)&gt;=7,AVERAGE(AW67:BD67),"")</f>
        <v/>
      </c>
      <c r="BX67" s="56">
        <f>IF(COUNT(BE67:BJ67)&gt;=5,AVERAGE(BE67:BJ67),"")</f>
        <v/>
      </c>
      <c r="BY67" s="56">
        <f>IF(COUNT(BK67:BR67)&gt;=7,AVERAGE(BK67:BR67),"")</f>
        <v/>
      </c>
    </row>
    <row r="68">
      <c r="A68" t="inlineStr">
        <is>
          <t>R037</t>
        </is>
      </c>
      <c r="B68" t="inlineStr">
        <is>
          <t>Yes</t>
        </is>
      </c>
      <c r="C68" t="inlineStr">
        <is>
          <t>Yes</t>
        </is>
      </c>
      <c r="D68" t="inlineStr">
        <is>
          <t>Male</t>
        </is>
      </c>
      <c r="E68" t="inlineStr">
        <is>
          <t>25-34</t>
        </is>
      </c>
      <c r="F68" t="inlineStr">
        <is>
          <t>Bachelor/HND</t>
        </is>
      </c>
      <c r="G68" t="inlineStr">
        <is>
          <t>Microfinance bank</t>
        </is>
      </c>
      <c r="H68" t="inlineStr">
        <is>
          <t>Customer Experience/Service</t>
        </is>
      </c>
      <c r="I68" t="inlineStr">
        <is>
          <t>16 or more</t>
        </is>
      </c>
      <c r="J68" t="inlineStr">
        <is>
          <t>Yes</t>
        </is>
      </c>
      <c r="K68" t="n">
        <v>3</v>
      </c>
      <c r="L68" t="inlineStr">
        <is>
          <t>Yes</t>
        </is>
      </c>
      <c r="M68" t="inlineStr">
        <is>
          <t>Yes</t>
        </is>
      </c>
      <c r="N68" t="n">
        <v>3</v>
      </c>
      <c r="O68" t="n">
        <v>4</v>
      </c>
      <c r="P68" t="n">
        <v>4</v>
      </c>
      <c r="Q68" t="n">
        <v>4</v>
      </c>
      <c r="R68" t="n">
        <v>3</v>
      </c>
      <c r="S68" t="n">
        <v>4</v>
      </c>
      <c r="T68" t="n">
        <v>3</v>
      </c>
      <c r="U68" t="n">
        <v>4</v>
      </c>
      <c r="V68" t="n">
        <v>5</v>
      </c>
      <c r="W68" t="n">
        <v>2</v>
      </c>
      <c r="X68" t="n">
        <v>3</v>
      </c>
      <c r="Y68" t="n">
        <v>3</v>
      </c>
      <c r="Z68" t="n">
        <v>4</v>
      </c>
      <c r="AA68" t="n">
        <v>2</v>
      </c>
      <c r="AB68" t="n">
        <v>4</v>
      </c>
      <c r="AC68" t="n">
        <v>4</v>
      </c>
      <c r="AD68" t="n">
        <v>3</v>
      </c>
      <c r="AF68" t="n">
        <v>3</v>
      </c>
      <c r="AG68" t="n">
        <v>3</v>
      </c>
      <c r="AH68" t="n">
        <v>2</v>
      </c>
      <c r="AI68" t="n">
        <v>4</v>
      </c>
      <c r="AJ68" t="n">
        <v>4</v>
      </c>
      <c r="AK68" t="n">
        <v>3</v>
      </c>
      <c r="AL68" t="n">
        <v>3</v>
      </c>
      <c r="AM68" t="n">
        <v>3</v>
      </c>
      <c r="AN68" t="n">
        <v>4</v>
      </c>
      <c r="AO68" t="n">
        <v>4</v>
      </c>
      <c r="AP68" t="n">
        <v>3</v>
      </c>
      <c r="AQ68" t="n">
        <v>4</v>
      </c>
      <c r="AR68" t="n">
        <v>3</v>
      </c>
      <c r="AS68" t="n">
        <v>4</v>
      </c>
      <c r="AT68" t="n">
        <v>3</v>
      </c>
      <c r="AU68" t="n">
        <v>3</v>
      </c>
      <c r="AV68" t="n">
        <v>4</v>
      </c>
      <c r="AW68" t="n">
        <v>3</v>
      </c>
      <c r="AX68" t="n">
        <v>3</v>
      </c>
      <c r="AY68" t="n">
        <v>3</v>
      </c>
      <c r="AZ68" t="n">
        <v>2</v>
      </c>
      <c r="BA68" t="n">
        <v>4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4</v>
      </c>
      <c r="BI68" t="n">
        <v>3</v>
      </c>
      <c r="BJ68" t="n">
        <v>3</v>
      </c>
      <c r="BK68" t="n">
        <v>3</v>
      </c>
      <c r="BL68" t="n">
        <v>3</v>
      </c>
      <c r="BM68" t="n">
        <v>4</v>
      </c>
      <c r="BO68" t="n">
        <v>2</v>
      </c>
      <c r="BP68" t="n">
        <v>3</v>
      </c>
      <c r="BQ68" t="n">
        <v>4</v>
      </c>
      <c r="BR68" t="n">
        <v>3</v>
      </c>
      <c r="BS68" s="56">
        <f>IF(COUNT(N68:W68)&gt;=8,AVERAGE(N68:W68),"")</f>
        <v/>
      </c>
      <c r="BT68" s="56">
        <f>IF(COUNT(X68:AE68)&gt;=7,AVERAGE(X68:AE68),"")</f>
        <v/>
      </c>
      <c r="BU68" s="56">
        <f>IF(COUNT(AF68:AM68)&gt;=7,AVERAGE(AF68:AM68),"")</f>
        <v/>
      </c>
      <c r="BV68" s="56">
        <f>IF(COUNT(AN68:AV68)&gt;=8,AVERAGE(AN68:AV68),"")</f>
        <v/>
      </c>
      <c r="BW68" s="56">
        <f>IF(COUNT(AW68:BD68)&gt;=7,AVERAGE(AW68:BD68),"")</f>
        <v/>
      </c>
      <c r="BX68" s="56">
        <f>IF(COUNT(BE68:BJ68)&gt;=5,AVERAGE(BE68:BJ68),"")</f>
        <v/>
      </c>
      <c r="BY68" s="56">
        <f>IF(COUNT(BK68:BR68)&gt;=7,AVERAGE(BK68:BR68),"")</f>
        <v/>
      </c>
    </row>
    <row r="69">
      <c r="A69" t="inlineStr">
        <is>
          <t>R038</t>
        </is>
      </c>
      <c r="B69" t="inlineStr">
        <is>
          <t>Yes</t>
        </is>
      </c>
      <c r="C69" t="inlineStr">
        <is>
          <t>Yes</t>
        </is>
      </c>
      <c r="D69" t="inlineStr">
        <is>
          <t>Male</t>
        </is>
      </c>
      <c r="E69" t="inlineStr">
        <is>
          <t>25-34</t>
        </is>
      </c>
      <c r="F69" t="inlineStr">
        <is>
          <t>Diploma/OND/NCE</t>
        </is>
      </c>
      <c r="G69" t="inlineStr">
        <is>
          <t>Fintech/payment provider</t>
        </is>
      </c>
      <c r="H69" t="inlineStr">
        <is>
          <t>IT/Technology</t>
        </is>
      </c>
      <c r="I69" t="inlineStr">
        <is>
          <t>2-5</t>
        </is>
      </c>
      <c r="J69" t="inlineStr">
        <is>
          <t>Yes</t>
        </is>
      </c>
      <c r="K69" t="n">
        <v>1</v>
      </c>
      <c r="L69" t="inlineStr">
        <is>
          <t>Yes</t>
        </is>
      </c>
      <c r="M69" t="inlineStr">
        <is>
          <t>Yes</t>
        </is>
      </c>
      <c r="N69" t="n">
        <v>3</v>
      </c>
      <c r="O69" t="n">
        <v>4</v>
      </c>
      <c r="P69" t="n">
        <v>4</v>
      </c>
      <c r="Q69" t="n">
        <v>3</v>
      </c>
      <c r="R69" t="n">
        <v>5</v>
      </c>
      <c r="S69" t="n">
        <v>4</v>
      </c>
      <c r="T69" t="n">
        <v>4</v>
      </c>
      <c r="U69" t="n">
        <v>4</v>
      </c>
      <c r="V69" t="n">
        <v>5</v>
      </c>
      <c r="W69" t="n">
        <v>4</v>
      </c>
      <c r="X69" t="n">
        <v>1</v>
      </c>
      <c r="Y69" t="n">
        <v>2</v>
      </c>
      <c r="Z69" t="n">
        <v>1</v>
      </c>
      <c r="AA69" t="n">
        <v>2</v>
      </c>
      <c r="AB69" t="n">
        <v>2</v>
      </c>
      <c r="AC69" t="n">
        <v>3</v>
      </c>
      <c r="AD69" t="n">
        <v>4</v>
      </c>
      <c r="AE69" t="n">
        <v>2</v>
      </c>
      <c r="AF69" t="n">
        <v>1</v>
      </c>
      <c r="AG69" t="n">
        <v>3</v>
      </c>
      <c r="AH69" t="n">
        <v>2</v>
      </c>
      <c r="AI69" t="n">
        <v>3</v>
      </c>
      <c r="AJ69" t="n">
        <v>3</v>
      </c>
      <c r="AK69" t="n">
        <v>2</v>
      </c>
      <c r="AL69" t="n">
        <v>3</v>
      </c>
      <c r="AM69" t="n">
        <v>2</v>
      </c>
      <c r="AN69" t="n">
        <v>3</v>
      </c>
      <c r="AO69" t="n">
        <v>3</v>
      </c>
      <c r="AP69" t="n">
        <v>2</v>
      </c>
      <c r="AQ69" t="n">
        <v>2</v>
      </c>
      <c r="AR69" t="n">
        <v>3</v>
      </c>
      <c r="AS69" t="n">
        <v>2</v>
      </c>
      <c r="AT69" t="n">
        <v>2</v>
      </c>
      <c r="AU69" t="n">
        <v>1</v>
      </c>
      <c r="AV69" t="n">
        <v>3</v>
      </c>
      <c r="AW69" t="n">
        <v>2</v>
      </c>
      <c r="AX69" t="n">
        <v>1</v>
      </c>
      <c r="AY69" t="n">
        <v>3</v>
      </c>
      <c r="AZ69" t="n">
        <v>1</v>
      </c>
      <c r="BA69" t="n">
        <v>3</v>
      </c>
      <c r="BB69" t="n">
        <v>2</v>
      </c>
      <c r="BC69" t="n">
        <v>1</v>
      </c>
      <c r="BD69" t="n">
        <v>1</v>
      </c>
      <c r="BE69" t="n">
        <v>3</v>
      </c>
      <c r="BF69" t="n">
        <v>3</v>
      </c>
      <c r="BG69" t="n">
        <v>1</v>
      </c>
      <c r="BH69" t="n">
        <v>3</v>
      </c>
      <c r="BI69" t="n">
        <v>2</v>
      </c>
      <c r="BJ69" t="n">
        <v>4</v>
      </c>
      <c r="BK69" t="n">
        <v>4</v>
      </c>
      <c r="BM69" t="n">
        <v>4</v>
      </c>
      <c r="BN69" t="n">
        <v>5</v>
      </c>
      <c r="BO69" t="n">
        <v>5</v>
      </c>
      <c r="BP69" t="n">
        <v>5</v>
      </c>
      <c r="BQ69" t="n">
        <v>4</v>
      </c>
      <c r="BR69" t="n">
        <v>3</v>
      </c>
      <c r="BS69" s="56">
        <f>IF(COUNT(N69:W69)&gt;=8,AVERAGE(N69:W69),"")</f>
        <v/>
      </c>
      <c r="BT69" s="56">
        <f>IF(COUNT(X69:AE69)&gt;=7,AVERAGE(X69:AE69),"")</f>
        <v/>
      </c>
      <c r="BU69" s="56">
        <f>IF(COUNT(AF69:AM69)&gt;=7,AVERAGE(AF69:AM69),"")</f>
        <v/>
      </c>
      <c r="BV69" s="56">
        <f>IF(COUNT(AN69:AV69)&gt;=8,AVERAGE(AN69:AV69),"")</f>
        <v/>
      </c>
      <c r="BW69" s="56">
        <f>IF(COUNT(AW69:BD69)&gt;=7,AVERAGE(AW69:BD69),"")</f>
        <v/>
      </c>
      <c r="BX69" s="56">
        <f>IF(COUNT(BE69:BJ69)&gt;=5,AVERAGE(BE69:BJ69),"")</f>
        <v/>
      </c>
      <c r="BY69" s="56">
        <f>IF(COUNT(BK69:BR69)&gt;=7,AVERAGE(BK69:BR69),"")</f>
        <v/>
      </c>
    </row>
    <row r="70">
      <c r="A70" t="inlineStr">
        <is>
          <t>R039</t>
        </is>
      </c>
      <c r="B70" t="inlineStr">
        <is>
          <t>Yes</t>
        </is>
      </c>
      <c r="C70" t="inlineStr">
        <is>
          <t>Yes</t>
        </is>
      </c>
      <c r="D70" t="inlineStr">
        <is>
          <t>Female</t>
        </is>
      </c>
      <c r="E70" t="inlineStr">
        <is>
          <t>25-34</t>
        </is>
      </c>
      <c r="F70" t="inlineStr">
        <is>
          <t>Postgraduate Diploma</t>
        </is>
      </c>
      <c r="G70" t="inlineStr">
        <is>
          <t>Fintech/payment provider</t>
        </is>
      </c>
      <c r="H70" t="inlineStr">
        <is>
          <t>Customer Experience/Service</t>
        </is>
      </c>
      <c r="I70" t="inlineStr">
        <is>
          <t>11-15</t>
        </is>
      </c>
      <c r="J70" t="inlineStr">
        <is>
          <t>Yes</t>
        </is>
      </c>
      <c r="K70" t="n">
        <v>4</v>
      </c>
      <c r="L70" t="inlineStr">
        <is>
          <t>Yes</t>
        </is>
      </c>
      <c r="M70" t="inlineStr">
        <is>
          <t>Yes</t>
        </is>
      </c>
      <c r="N70" t="n">
        <v>4</v>
      </c>
      <c r="O70" t="n">
        <v>4</v>
      </c>
      <c r="P70" t="n">
        <v>5</v>
      </c>
      <c r="Q70" t="n">
        <v>4</v>
      </c>
      <c r="R70" t="n">
        <v>4</v>
      </c>
      <c r="S70" t="n">
        <v>5</v>
      </c>
      <c r="T70" t="n">
        <v>3</v>
      </c>
      <c r="U70" t="n">
        <v>4</v>
      </c>
      <c r="V70" t="n">
        <v>4</v>
      </c>
      <c r="W70" t="n">
        <v>2</v>
      </c>
      <c r="X70" t="n">
        <v>4</v>
      </c>
      <c r="Y70" t="n">
        <v>2</v>
      </c>
      <c r="Z70" t="n">
        <v>3</v>
      </c>
      <c r="AA70" t="n">
        <v>1</v>
      </c>
      <c r="AB70" t="n">
        <v>3</v>
      </c>
      <c r="AC70" t="n">
        <v>3</v>
      </c>
      <c r="AD70" t="n">
        <v>3</v>
      </c>
      <c r="AE70" t="n">
        <v>3</v>
      </c>
      <c r="AF70" t="n">
        <v>4</v>
      </c>
      <c r="AG70" t="n">
        <v>4</v>
      </c>
      <c r="AH70" t="n">
        <v>3</v>
      </c>
      <c r="AI70" t="n">
        <v>4</v>
      </c>
      <c r="AJ70" t="n">
        <v>3</v>
      </c>
      <c r="AK70" t="n">
        <v>3</v>
      </c>
      <c r="AL70" t="n">
        <v>4</v>
      </c>
      <c r="AM70" t="n">
        <v>4</v>
      </c>
      <c r="AN70" t="n">
        <v>3</v>
      </c>
      <c r="AO70" t="n">
        <v>4</v>
      </c>
      <c r="AQ70" t="n">
        <v>3</v>
      </c>
      <c r="AR70" t="n">
        <v>4</v>
      </c>
      <c r="AS70" t="n">
        <v>3</v>
      </c>
      <c r="AT70" t="n">
        <v>3</v>
      </c>
      <c r="AU70" t="n">
        <v>3</v>
      </c>
      <c r="AV70" t="n">
        <v>3</v>
      </c>
      <c r="AW70" t="n">
        <v>5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2</v>
      </c>
      <c r="BF70" t="n">
        <v>4</v>
      </c>
      <c r="BG70" t="n">
        <v>2</v>
      </c>
      <c r="BH70" t="n">
        <v>4</v>
      </c>
      <c r="BI70" t="n">
        <v>3</v>
      </c>
      <c r="BJ70" t="n">
        <v>2</v>
      </c>
      <c r="BK70" t="n">
        <v>3</v>
      </c>
      <c r="BL70" t="n">
        <v>1</v>
      </c>
      <c r="BM70" t="n">
        <v>2</v>
      </c>
      <c r="BN70" t="n">
        <v>3</v>
      </c>
      <c r="BO70" t="n">
        <v>2</v>
      </c>
      <c r="BP70" t="n">
        <v>1</v>
      </c>
      <c r="BQ70" t="n">
        <v>4</v>
      </c>
      <c r="BR70" t="n">
        <v>2</v>
      </c>
      <c r="BS70" s="56">
        <f>IF(COUNT(N70:W70)&gt;=8,AVERAGE(N70:W70),"")</f>
        <v/>
      </c>
      <c r="BT70" s="56">
        <f>IF(COUNT(X70:AE70)&gt;=7,AVERAGE(X70:AE70),"")</f>
        <v/>
      </c>
      <c r="BU70" s="56">
        <f>IF(COUNT(AF70:AM70)&gt;=7,AVERAGE(AF70:AM70),"")</f>
        <v/>
      </c>
      <c r="BV70" s="56">
        <f>IF(COUNT(AN70:AV70)&gt;=8,AVERAGE(AN70:AV70),"")</f>
        <v/>
      </c>
      <c r="BW70" s="56">
        <f>IF(COUNT(AW70:BD70)&gt;=7,AVERAGE(AW70:BD70),"")</f>
        <v/>
      </c>
      <c r="BX70" s="56">
        <f>IF(COUNT(BE70:BJ70)&gt;=5,AVERAGE(BE70:BJ70),"")</f>
        <v/>
      </c>
      <c r="BY70" s="56">
        <f>IF(COUNT(BK70:BR70)&gt;=7,AVERAGE(BK70:BR70),"")</f>
        <v/>
      </c>
    </row>
    <row r="71">
      <c r="A71" t="inlineStr">
        <is>
          <t>R040</t>
        </is>
      </c>
      <c r="B71" t="inlineStr">
        <is>
          <t>Yes</t>
        </is>
      </c>
      <c r="C71" t="inlineStr">
        <is>
          <t>Yes</t>
        </is>
      </c>
      <c r="D71" t="inlineStr">
        <is>
          <t>Male</t>
        </is>
      </c>
      <c r="E71" t="inlineStr">
        <is>
          <t>25-34</t>
        </is>
      </c>
      <c r="F71" t="inlineStr">
        <is>
          <t>Bachelor/HND</t>
        </is>
      </c>
      <c r="G71" t="inlineStr">
        <is>
          <t>Commercial bank</t>
        </is>
      </c>
      <c r="H71" t="inlineStr">
        <is>
          <t>Management/Strategy</t>
        </is>
      </c>
      <c r="I71" t="inlineStr">
        <is>
          <t>2-5</t>
        </is>
      </c>
      <c r="J71" t="inlineStr">
        <is>
          <t>Yes</t>
        </is>
      </c>
      <c r="K71" t="n">
        <v>3</v>
      </c>
      <c r="L71" t="inlineStr">
        <is>
          <t>Yes</t>
        </is>
      </c>
      <c r="M71" t="inlineStr">
        <is>
          <t>Yes</t>
        </is>
      </c>
      <c r="N71" t="n">
        <v>3</v>
      </c>
      <c r="O71" t="n">
        <v>2</v>
      </c>
      <c r="P71" t="n">
        <v>3</v>
      </c>
      <c r="Q71" t="n">
        <v>2</v>
      </c>
      <c r="R71" t="n">
        <v>3</v>
      </c>
      <c r="S71" t="n">
        <v>3</v>
      </c>
      <c r="T71" t="n">
        <v>2</v>
      </c>
      <c r="U71" t="n">
        <v>3</v>
      </c>
      <c r="V71" t="n">
        <v>3</v>
      </c>
      <c r="W71" t="n">
        <v>1</v>
      </c>
      <c r="X71" t="n">
        <v>5</v>
      </c>
      <c r="Y71" t="n">
        <v>5</v>
      </c>
      <c r="Z71" t="n">
        <v>4</v>
      </c>
      <c r="AA71" t="n">
        <v>3</v>
      </c>
      <c r="AB71" t="n">
        <v>4</v>
      </c>
      <c r="AC71" t="n">
        <v>3</v>
      </c>
      <c r="AD71" t="n">
        <v>5</v>
      </c>
      <c r="AE71" t="n">
        <v>4</v>
      </c>
      <c r="AF71" t="n">
        <v>2</v>
      </c>
      <c r="AG71" t="n">
        <v>4</v>
      </c>
      <c r="AH71" t="n">
        <v>3</v>
      </c>
      <c r="AI71" t="n">
        <v>3</v>
      </c>
      <c r="AJ71" t="n">
        <v>4</v>
      </c>
      <c r="AK71" t="n">
        <v>4</v>
      </c>
      <c r="AL71" t="n">
        <v>3</v>
      </c>
      <c r="AM71" t="n">
        <v>3</v>
      </c>
      <c r="AN71" t="n">
        <v>4</v>
      </c>
      <c r="AO71" t="n">
        <v>3</v>
      </c>
      <c r="AP71" t="n">
        <v>3</v>
      </c>
      <c r="AQ71" t="n">
        <v>2</v>
      </c>
      <c r="AR71" t="n">
        <v>4</v>
      </c>
      <c r="AS71" t="n">
        <v>4</v>
      </c>
      <c r="AT71" t="n">
        <v>3</v>
      </c>
      <c r="AU71" t="n">
        <v>2</v>
      </c>
      <c r="AV71" t="n">
        <v>4</v>
      </c>
      <c r="AW71" t="n">
        <v>3</v>
      </c>
      <c r="AX71" t="n">
        <v>3</v>
      </c>
      <c r="AY71" t="n">
        <v>3</v>
      </c>
      <c r="AZ71" t="n">
        <v>3</v>
      </c>
      <c r="BA71" t="n">
        <v>4</v>
      </c>
      <c r="BB71" t="n">
        <v>3</v>
      </c>
      <c r="BC71" t="n">
        <v>4</v>
      </c>
      <c r="BD71" t="n">
        <v>2</v>
      </c>
      <c r="BE71" t="n">
        <v>2</v>
      </c>
      <c r="BF71" t="n">
        <v>4</v>
      </c>
      <c r="BG71" t="n">
        <v>1</v>
      </c>
      <c r="BH71" t="n">
        <v>3</v>
      </c>
      <c r="BI71" t="n">
        <v>3</v>
      </c>
      <c r="BJ71" t="n">
        <v>1</v>
      </c>
      <c r="BK71" t="n">
        <v>3</v>
      </c>
      <c r="BL71" t="n">
        <v>2</v>
      </c>
      <c r="BM71" t="n">
        <v>2</v>
      </c>
      <c r="BN71" t="n">
        <v>2</v>
      </c>
      <c r="BO71" t="n">
        <v>3</v>
      </c>
      <c r="BP71" t="n">
        <v>2</v>
      </c>
      <c r="BQ71" t="n">
        <v>2</v>
      </c>
      <c r="BR71" t="n">
        <v>1</v>
      </c>
      <c r="BS71" s="56">
        <f>IF(COUNT(N71:W71)&gt;=8,AVERAGE(N71:W71),"")</f>
        <v/>
      </c>
      <c r="BT71" s="56">
        <f>IF(COUNT(X71:AE71)&gt;=7,AVERAGE(X71:AE71),"")</f>
        <v/>
      </c>
      <c r="BU71" s="56">
        <f>IF(COUNT(AF71:AM71)&gt;=7,AVERAGE(AF71:AM71),"")</f>
        <v/>
      </c>
      <c r="BV71" s="56">
        <f>IF(COUNT(AN71:AV71)&gt;=8,AVERAGE(AN71:AV71),"")</f>
        <v/>
      </c>
      <c r="BW71" s="56">
        <f>IF(COUNT(AW71:BD71)&gt;=7,AVERAGE(AW71:BD71),"")</f>
        <v/>
      </c>
      <c r="BX71" s="56">
        <f>IF(COUNT(BE71:BJ71)&gt;=5,AVERAGE(BE71:BJ71),"")</f>
        <v/>
      </c>
      <c r="BY71" s="56">
        <f>IF(COUNT(BK71:BR71)&gt;=7,AVERAGE(BK71:BR71),"")</f>
        <v/>
      </c>
    </row>
    <row r="72">
      <c r="A72" t="inlineStr">
        <is>
          <t>R041</t>
        </is>
      </c>
      <c r="B72" t="inlineStr">
        <is>
          <t>Yes</t>
        </is>
      </c>
      <c r="C72" t="inlineStr">
        <is>
          <t>Yes</t>
        </is>
      </c>
      <c r="D72" t="inlineStr">
        <is>
          <t>Male</t>
        </is>
      </c>
      <c r="E72" t="inlineStr">
        <is>
          <t>45-54</t>
        </is>
      </c>
      <c r="F72" t="inlineStr">
        <is>
          <t>Diploma/OND/NCE</t>
        </is>
      </c>
      <c r="G72" t="inlineStr">
        <is>
          <t>Insurance/investment/other licensed financial institution</t>
        </is>
      </c>
      <c r="H72" t="inlineStr">
        <is>
          <t>Management/Strategy</t>
        </is>
      </c>
      <c r="I72" t="inlineStr">
        <is>
          <t>6-10</t>
        </is>
      </c>
      <c r="J72" t="inlineStr">
        <is>
          <t>Yes</t>
        </is>
      </c>
      <c r="K72" t="n">
        <v>0</v>
      </c>
      <c r="L72" t="inlineStr">
        <is>
          <t>Yes</t>
        </is>
      </c>
      <c r="M72" t="inlineStr">
        <is>
          <t>Yes</t>
        </is>
      </c>
      <c r="N72" t="n">
        <v>1</v>
      </c>
      <c r="O72" t="n">
        <v>1</v>
      </c>
      <c r="P72" t="n">
        <v>2</v>
      </c>
      <c r="Q72" t="n">
        <v>2</v>
      </c>
      <c r="R72" t="n">
        <v>2</v>
      </c>
      <c r="S72" t="n">
        <v>2</v>
      </c>
      <c r="T72" t="n">
        <v>1</v>
      </c>
      <c r="U72" t="n">
        <v>2</v>
      </c>
      <c r="V72" t="n">
        <v>3</v>
      </c>
      <c r="W72" t="n">
        <v>1</v>
      </c>
      <c r="X72" t="n">
        <v>5</v>
      </c>
      <c r="Z72" t="n">
        <v>5</v>
      </c>
      <c r="AA72" t="n">
        <v>3</v>
      </c>
      <c r="AB72" t="n">
        <v>2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4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5</v>
      </c>
      <c r="AQ72" t="n">
        <v>4</v>
      </c>
      <c r="AR72" t="n">
        <v>4</v>
      </c>
      <c r="AS72" t="n">
        <v>4</v>
      </c>
      <c r="AT72" t="n">
        <v>3</v>
      </c>
      <c r="AU72" t="n">
        <v>3</v>
      </c>
      <c r="AV72" t="n">
        <v>3</v>
      </c>
      <c r="AX72" t="n">
        <v>3</v>
      </c>
      <c r="AY72" t="n">
        <v>3</v>
      </c>
      <c r="AZ72" t="n">
        <v>2</v>
      </c>
      <c r="BA72" t="n">
        <v>3</v>
      </c>
      <c r="BB72" t="n">
        <v>2</v>
      </c>
      <c r="BC72" t="n">
        <v>3</v>
      </c>
      <c r="BD72" t="n">
        <v>1</v>
      </c>
      <c r="BE72" t="n">
        <v>5</v>
      </c>
      <c r="BF72" t="n">
        <v>3</v>
      </c>
      <c r="BG72" t="n">
        <v>3</v>
      </c>
      <c r="BH72" t="n">
        <v>4</v>
      </c>
      <c r="BI72" t="n">
        <v>3</v>
      </c>
      <c r="BJ72" t="n">
        <v>3</v>
      </c>
      <c r="BK72" t="n">
        <v>4</v>
      </c>
      <c r="BL72" t="n">
        <v>3</v>
      </c>
      <c r="BM72" t="n">
        <v>4</v>
      </c>
      <c r="BN72" t="n">
        <v>4</v>
      </c>
      <c r="BO72" t="n">
        <v>3</v>
      </c>
      <c r="BP72" t="n">
        <v>4</v>
      </c>
      <c r="BQ72" t="n">
        <v>5</v>
      </c>
      <c r="BR72" t="n">
        <v>3</v>
      </c>
      <c r="BS72" s="56">
        <f>IF(COUNT(N72:W72)&gt;=8,AVERAGE(N72:W72),"")</f>
        <v/>
      </c>
      <c r="BT72" s="56">
        <f>IF(COUNT(X72:AE72)&gt;=7,AVERAGE(X72:AE72),"")</f>
        <v/>
      </c>
      <c r="BU72" s="56">
        <f>IF(COUNT(AF72:AM72)&gt;=7,AVERAGE(AF72:AM72),"")</f>
        <v/>
      </c>
      <c r="BV72" s="56">
        <f>IF(COUNT(AN72:AV72)&gt;=8,AVERAGE(AN72:AV72),"")</f>
        <v/>
      </c>
      <c r="BW72" s="56">
        <f>IF(COUNT(AW72:BD72)&gt;=7,AVERAGE(AW72:BD72),"")</f>
        <v/>
      </c>
      <c r="BX72" s="56">
        <f>IF(COUNT(BE72:BJ72)&gt;=5,AVERAGE(BE72:BJ72),"")</f>
        <v/>
      </c>
      <c r="BY72" s="56">
        <f>IF(COUNT(BK72:BR72)&gt;=7,AVERAGE(BK72:BR72),"")</f>
        <v/>
      </c>
    </row>
    <row r="73">
      <c r="A73" t="inlineStr">
        <is>
          <t>R042</t>
        </is>
      </c>
      <c r="B73" t="inlineStr">
        <is>
          <t>Yes</t>
        </is>
      </c>
      <c r="C73" t="inlineStr">
        <is>
          <t>Yes</t>
        </is>
      </c>
      <c r="D73" t="inlineStr">
        <is>
          <t>Female</t>
        </is>
      </c>
      <c r="E73" t="inlineStr">
        <is>
          <t>45-54</t>
        </is>
      </c>
      <c r="F73" t="inlineStr">
        <is>
          <t>Diploma/OND/NCE</t>
        </is>
      </c>
      <c r="G73" t="inlineStr">
        <is>
          <t>Fintech/payment provider</t>
        </is>
      </c>
      <c r="H73" t="inlineStr">
        <is>
          <t>Digital Banking/Product</t>
        </is>
      </c>
      <c r="I73" t="inlineStr">
        <is>
          <t>2-5</t>
        </is>
      </c>
      <c r="J73" t="inlineStr">
        <is>
          <t>Yes</t>
        </is>
      </c>
      <c r="K73" t="n">
        <v>3</v>
      </c>
      <c r="L73" t="inlineStr">
        <is>
          <t>Yes</t>
        </is>
      </c>
      <c r="M73" t="inlineStr">
        <is>
          <t>Yes</t>
        </is>
      </c>
      <c r="N73" t="n">
        <v>2</v>
      </c>
      <c r="O73" t="n">
        <v>2</v>
      </c>
      <c r="P73" t="n">
        <v>3</v>
      </c>
      <c r="Q73" t="n">
        <v>1</v>
      </c>
      <c r="R73" t="n">
        <v>2</v>
      </c>
      <c r="S73" t="n">
        <v>1</v>
      </c>
      <c r="T73" t="n">
        <v>1</v>
      </c>
      <c r="U73" t="n">
        <v>2</v>
      </c>
      <c r="V73" t="n">
        <v>1</v>
      </c>
      <c r="W73" t="n">
        <v>2</v>
      </c>
      <c r="X73" t="n">
        <v>3</v>
      </c>
      <c r="Y73" t="n">
        <v>3</v>
      </c>
      <c r="Z73" t="n">
        <v>3</v>
      </c>
      <c r="AA73" t="n">
        <v>2</v>
      </c>
      <c r="AB73" t="n">
        <v>3</v>
      </c>
      <c r="AC73" t="n">
        <v>2</v>
      </c>
      <c r="AD73" t="n">
        <v>3</v>
      </c>
      <c r="AE73" t="n">
        <v>2</v>
      </c>
      <c r="AF73" t="n">
        <v>2</v>
      </c>
      <c r="AG73" t="n">
        <v>3</v>
      </c>
      <c r="AH73" t="n">
        <v>3</v>
      </c>
      <c r="AI73" t="n">
        <v>4</v>
      </c>
      <c r="AJ73" t="n">
        <v>2</v>
      </c>
      <c r="AK73" t="n">
        <v>3</v>
      </c>
      <c r="AL73" t="n">
        <v>3</v>
      </c>
      <c r="AM73" t="n">
        <v>2</v>
      </c>
      <c r="AN73" t="n">
        <v>4</v>
      </c>
      <c r="AO73" t="n">
        <v>3</v>
      </c>
      <c r="AP73" t="n">
        <v>4</v>
      </c>
      <c r="AQ73" t="n">
        <v>3</v>
      </c>
      <c r="AR73" t="n">
        <v>4</v>
      </c>
      <c r="AS73" t="n">
        <v>4</v>
      </c>
      <c r="AT73" t="n">
        <v>3</v>
      </c>
      <c r="AU73" t="n">
        <v>2</v>
      </c>
      <c r="AV73" t="n">
        <v>3</v>
      </c>
      <c r="AW73" t="n">
        <v>3</v>
      </c>
      <c r="AX73" t="n">
        <v>4</v>
      </c>
      <c r="AY73" t="n">
        <v>4</v>
      </c>
      <c r="AZ73" t="n">
        <v>4</v>
      </c>
      <c r="BA73" t="n">
        <v>4</v>
      </c>
      <c r="BB73" t="n">
        <v>3</v>
      </c>
      <c r="BC73" t="n">
        <v>4</v>
      </c>
      <c r="BD73" t="n">
        <v>4</v>
      </c>
      <c r="BE73" t="n">
        <v>3</v>
      </c>
      <c r="BF73" t="n">
        <v>4</v>
      </c>
      <c r="BG73" t="n">
        <v>3</v>
      </c>
      <c r="BI73" t="n">
        <v>3</v>
      </c>
      <c r="BJ73" t="n">
        <v>3</v>
      </c>
      <c r="BK73" t="n">
        <v>3</v>
      </c>
      <c r="BL73" t="n">
        <v>2</v>
      </c>
      <c r="BM73" t="n">
        <v>3</v>
      </c>
      <c r="BN73" t="n">
        <v>2</v>
      </c>
      <c r="BO73" t="n">
        <v>2</v>
      </c>
      <c r="BQ73" t="n">
        <v>3</v>
      </c>
      <c r="BR73" t="n">
        <v>3</v>
      </c>
      <c r="BS73" s="56">
        <f>IF(COUNT(N73:W73)&gt;=8,AVERAGE(N73:W73),"")</f>
        <v/>
      </c>
      <c r="BT73" s="56">
        <f>IF(COUNT(X73:AE73)&gt;=7,AVERAGE(X73:AE73),"")</f>
        <v/>
      </c>
      <c r="BU73" s="56">
        <f>IF(COUNT(AF73:AM73)&gt;=7,AVERAGE(AF73:AM73),"")</f>
        <v/>
      </c>
      <c r="BV73" s="56">
        <f>IF(COUNT(AN73:AV73)&gt;=8,AVERAGE(AN73:AV73),"")</f>
        <v/>
      </c>
      <c r="BW73" s="56">
        <f>IF(COUNT(AW73:BD73)&gt;=7,AVERAGE(AW73:BD73),"")</f>
        <v/>
      </c>
      <c r="BX73" s="56">
        <f>IF(COUNT(BE73:BJ73)&gt;=5,AVERAGE(BE73:BJ73),"")</f>
        <v/>
      </c>
      <c r="BY73" s="56">
        <f>IF(COUNT(BK73:BR73)&gt;=7,AVERAGE(BK73:BR73),"")</f>
        <v/>
      </c>
    </row>
    <row r="74">
      <c r="A74" t="inlineStr">
        <is>
          <t>R043</t>
        </is>
      </c>
      <c r="B74" t="inlineStr">
        <is>
          <t>Yes</t>
        </is>
      </c>
      <c r="C74" t="inlineStr">
        <is>
          <t>Yes</t>
        </is>
      </c>
      <c r="D74" t="inlineStr">
        <is>
          <t>Male</t>
        </is>
      </c>
      <c r="E74" t="inlineStr">
        <is>
          <t>25-34</t>
        </is>
      </c>
      <c r="F74" t="inlineStr">
        <is>
          <t>Master's</t>
        </is>
      </c>
      <c r="G74" t="inlineStr">
        <is>
          <t>Digital bank/neobank</t>
        </is>
      </c>
      <c r="H74" t="inlineStr">
        <is>
          <t>IT/Technology</t>
        </is>
      </c>
      <c r="I74" t="inlineStr">
        <is>
          <t>Less than 2</t>
        </is>
      </c>
      <c r="J74" t="inlineStr">
        <is>
          <t>Yes</t>
        </is>
      </c>
      <c r="K74" t="n">
        <v>2</v>
      </c>
      <c r="L74" t="inlineStr">
        <is>
          <t>Yes</t>
        </is>
      </c>
      <c r="M74" t="inlineStr">
        <is>
          <t>Yes</t>
        </is>
      </c>
      <c r="N74" t="n">
        <v>3</v>
      </c>
      <c r="O74" t="n">
        <v>2</v>
      </c>
      <c r="P74" t="n">
        <v>3</v>
      </c>
      <c r="Q74" t="n">
        <v>3</v>
      </c>
      <c r="S74" t="n">
        <v>2</v>
      </c>
      <c r="T74" t="n">
        <v>3</v>
      </c>
      <c r="U74" t="n">
        <v>4</v>
      </c>
      <c r="V74" t="n">
        <v>3</v>
      </c>
      <c r="W74" t="n">
        <v>2</v>
      </c>
      <c r="X74" t="n">
        <v>3</v>
      </c>
      <c r="Y74" t="n">
        <v>4</v>
      </c>
      <c r="Z74" t="n">
        <v>4</v>
      </c>
      <c r="AA74" t="n">
        <v>4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4</v>
      </c>
      <c r="AM74" t="n">
        <v>3</v>
      </c>
      <c r="AN74" t="n">
        <v>3</v>
      </c>
      <c r="AO74" t="n">
        <v>5</v>
      </c>
      <c r="AP74" t="n">
        <v>3</v>
      </c>
      <c r="AQ74" t="n">
        <v>2</v>
      </c>
      <c r="AR74" t="n">
        <v>4</v>
      </c>
      <c r="AS74" t="n">
        <v>3</v>
      </c>
      <c r="AT74" t="n">
        <v>4</v>
      </c>
      <c r="AU74" t="n">
        <v>2</v>
      </c>
      <c r="AV74" t="n">
        <v>4</v>
      </c>
      <c r="AW74" t="n">
        <v>4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5</v>
      </c>
      <c r="BD74" t="n">
        <v>2</v>
      </c>
      <c r="BE74" t="n">
        <v>4</v>
      </c>
      <c r="BF74" t="n">
        <v>3</v>
      </c>
      <c r="BG74" t="n">
        <v>3</v>
      </c>
      <c r="BH74" t="n">
        <v>3</v>
      </c>
      <c r="BI74" t="n">
        <v>4</v>
      </c>
      <c r="BJ74" t="n">
        <v>2</v>
      </c>
      <c r="BK74" t="n">
        <v>3</v>
      </c>
      <c r="BL74" t="n">
        <v>3</v>
      </c>
      <c r="BM74" t="n">
        <v>4</v>
      </c>
      <c r="BN74" t="n">
        <v>2</v>
      </c>
      <c r="BO74" t="n">
        <v>3</v>
      </c>
      <c r="BP74" t="n">
        <v>4</v>
      </c>
      <c r="BQ74" t="n">
        <v>3</v>
      </c>
      <c r="BR74" t="n">
        <v>3</v>
      </c>
      <c r="BS74" s="56">
        <f>IF(COUNT(N74:W74)&gt;=8,AVERAGE(N74:W74),"")</f>
        <v/>
      </c>
      <c r="BT74" s="56">
        <f>IF(COUNT(X74:AE74)&gt;=7,AVERAGE(X74:AE74),"")</f>
        <v/>
      </c>
      <c r="BU74" s="56">
        <f>IF(COUNT(AF74:AM74)&gt;=7,AVERAGE(AF74:AM74),"")</f>
        <v/>
      </c>
      <c r="BV74" s="56">
        <f>IF(COUNT(AN74:AV74)&gt;=8,AVERAGE(AN74:AV74),"")</f>
        <v/>
      </c>
      <c r="BW74" s="56">
        <f>IF(COUNT(AW74:BD74)&gt;=7,AVERAGE(AW74:BD74),"")</f>
        <v/>
      </c>
      <c r="BX74" s="56">
        <f>IF(COUNT(BE74:BJ74)&gt;=5,AVERAGE(BE74:BJ74),"")</f>
        <v/>
      </c>
      <c r="BY74" s="56">
        <f>IF(COUNT(BK74:BR74)&gt;=7,AVERAGE(BK74:BR74),"")</f>
        <v/>
      </c>
    </row>
    <row r="75">
      <c r="A75" t="inlineStr">
        <is>
          <t>R044</t>
        </is>
      </c>
      <c r="B75" t="inlineStr">
        <is>
          <t>Yes</t>
        </is>
      </c>
      <c r="C75" t="inlineStr">
        <is>
          <t>Yes</t>
        </is>
      </c>
      <c r="D75" t="inlineStr">
        <is>
          <t>Female</t>
        </is>
      </c>
      <c r="E75" t="inlineStr">
        <is>
          <t>35-44</t>
        </is>
      </c>
      <c r="F75" t="inlineStr">
        <is>
          <t>Diploma/OND/NCE</t>
        </is>
      </c>
      <c r="G75" t="inlineStr">
        <is>
          <t>Fintech/payment provider</t>
        </is>
      </c>
      <c r="H75" t="inlineStr">
        <is>
          <t>Digital Banking/Product</t>
        </is>
      </c>
      <c r="I75" t="inlineStr">
        <is>
          <t>11-15</t>
        </is>
      </c>
      <c r="J75" t="inlineStr">
        <is>
          <t>Yes</t>
        </is>
      </c>
      <c r="K75" t="n">
        <v>2</v>
      </c>
      <c r="L75" t="inlineStr">
        <is>
          <t>No</t>
        </is>
      </c>
      <c r="M75" t="inlineStr">
        <is>
          <t>Yes</t>
        </is>
      </c>
      <c r="N75" t="n">
        <v>3</v>
      </c>
      <c r="O75" t="n">
        <v>4</v>
      </c>
      <c r="Q75" t="n">
        <v>2</v>
      </c>
      <c r="R75" t="n">
        <v>3</v>
      </c>
      <c r="S75" t="n">
        <v>3</v>
      </c>
      <c r="T75" t="n">
        <v>2</v>
      </c>
      <c r="U75" t="n">
        <v>4</v>
      </c>
      <c r="V75" t="n">
        <v>5</v>
      </c>
      <c r="W75" t="n">
        <v>4</v>
      </c>
      <c r="X75" t="n">
        <v>2</v>
      </c>
      <c r="Y75" t="n">
        <v>2</v>
      </c>
      <c r="Z75" t="n">
        <v>3</v>
      </c>
      <c r="AA75" t="n">
        <v>2</v>
      </c>
      <c r="AB75" t="n">
        <v>2</v>
      </c>
      <c r="AC75" t="n">
        <v>3</v>
      </c>
      <c r="AD75" t="n">
        <v>3</v>
      </c>
      <c r="AE75" t="n">
        <v>2</v>
      </c>
      <c r="AF75" t="n">
        <v>2</v>
      </c>
      <c r="AG75" t="n">
        <v>3</v>
      </c>
      <c r="AH75" t="n">
        <v>1</v>
      </c>
      <c r="AI75" t="n">
        <v>2</v>
      </c>
      <c r="AJ75" t="n">
        <v>2</v>
      </c>
      <c r="AK75" t="n">
        <v>2</v>
      </c>
      <c r="AL75" t="n">
        <v>1</v>
      </c>
      <c r="AM75" t="n">
        <v>3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3</v>
      </c>
      <c r="AT75" t="n">
        <v>3</v>
      </c>
      <c r="AU75" t="n">
        <v>3</v>
      </c>
      <c r="AV75" t="n">
        <v>4</v>
      </c>
      <c r="AW75" t="n">
        <v>2</v>
      </c>
      <c r="AX75" t="n">
        <v>3</v>
      </c>
      <c r="AY75" t="n">
        <v>3</v>
      </c>
      <c r="AZ75" t="n">
        <v>2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2</v>
      </c>
      <c r="BH75" t="n">
        <v>4</v>
      </c>
      <c r="BI75" t="n">
        <v>4</v>
      </c>
      <c r="BJ75" t="n">
        <v>3</v>
      </c>
      <c r="BK75" t="n">
        <v>2</v>
      </c>
      <c r="BL75" t="n">
        <v>2</v>
      </c>
      <c r="BM75" t="n">
        <v>3</v>
      </c>
      <c r="BN75" t="n">
        <v>2</v>
      </c>
      <c r="BO75" t="n">
        <v>1</v>
      </c>
      <c r="BP75" t="n">
        <v>2</v>
      </c>
      <c r="BQ75" t="n">
        <v>3</v>
      </c>
      <c r="BR75" t="n">
        <v>2</v>
      </c>
      <c r="BS75" s="56">
        <f>IF(COUNT(N75:W75)&gt;=8,AVERAGE(N75:W75),"")</f>
        <v/>
      </c>
      <c r="BT75" s="56">
        <f>IF(COUNT(X75:AE75)&gt;=7,AVERAGE(X75:AE75),"")</f>
        <v/>
      </c>
      <c r="BU75" s="56">
        <f>IF(COUNT(AF75:AM75)&gt;=7,AVERAGE(AF75:AM75),"")</f>
        <v/>
      </c>
      <c r="BV75" s="56">
        <f>IF(COUNT(AN75:AV75)&gt;=8,AVERAGE(AN75:AV75),"")</f>
        <v/>
      </c>
      <c r="BW75" s="56">
        <f>IF(COUNT(AW75:BD75)&gt;=7,AVERAGE(AW75:BD75),"")</f>
        <v/>
      </c>
      <c r="BX75" s="56">
        <f>IF(COUNT(BE75:BJ75)&gt;=5,AVERAGE(BE75:BJ75),"")</f>
        <v/>
      </c>
      <c r="BY75" s="56">
        <f>IF(COUNT(BK75:BR75)&gt;=7,AVERAGE(BK75:BR75),"")</f>
        <v/>
      </c>
    </row>
    <row r="76">
      <c r="A76" t="inlineStr">
        <is>
          <t>R045</t>
        </is>
      </c>
      <c r="B76" t="inlineStr">
        <is>
          <t>Yes</t>
        </is>
      </c>
      <c r="C76" t="inlineStr">
        <is>
          <t>Yes</t>
        </is>
      </c>
      <c r="D76" t="inlineStr">
        <is>
          <t>Male</t>
        </is>
      </c>
      <c r="E76" t="inlineStr">
        <is>
          <t>25-34</t>
        </is>
      </c>
      <c r="F76" t="inlineStr">
        <is>
          <t>Doctorate</t>
        </is>
      </c>
      <c r="G76" t="inlineStr">
        <is>
          <t>Digital bank/neobank</t>
        </is>
      </c>
      <c r="H76" t="inlineStr">
        <is>
          <t>Other</t>
        </is>
      </c>
      <c r="I76" t="inlineStr">
        <is>
          <t>2-5</t>
        </is>
      </c>
      <c r="J76" t="inlineStr">
        <is>
          <t>Yes</t>
        </is>
      </c>
      <c r="K76" t="n">
        <v>3</v>
      </c>
      <c r="L76" t="inlineStr">
        <is>
          <t>Yes</t>
        </is>
      </c>
      <c r="M76" t="inlineStr">
        <is>
          <t>Yes</t>
        </is>
      </c>
      <c r="N76" t="n">
        <v>4</v>
      </c>
      <c r="O76" t="n">
        <v>2</v>
      </c>
      <c r="P76" t="n">
        <v>5</v>
      </c>
      <c r="Q76" t="n">
        <v>3</v>
      </c>
      <c r="R76" t="n">
        <v>3</v>
      </c>
      <c r="S76" t="n">
        <v>3</v>
      </c>
      <c r="T76" t="n">
        <v>3</v>
      </c>
      <c r="U76" t="n">
        <v>5</v>
      </c>
      <c r="W76" t="n">
        <v>4</v>
      </c>
      <c r="X76" t="n">
        <v>2</v>
      </c>
      <c r="Y76" t="n">
        <v>4</v>
      </c>
      <c r="Z76" t="n">
        <v>4</v>
      </c>
      <c r="AA76" t="n">
        <v>4</v>
      </c>
      <c r="AB76" t="n">
        <v>3</v>
      </c>
      <c r="AC76" t="n">
        <v>4</v>
      </c>
      <c r="AD76" t="n">
        <v>2</v>
      </c>
      <c r="AE76" t="n">
        <v>4</v>
      </c>
      <c r="AF76" t="n">
        <v>4</v>
      </c>
      <c r="AG76" t="n">
        <v>5</v>
      </c>
      <c r="AH76" t="n">
        <v>4</v>
      </c>
      <c r="AI76" t="n">
        <v>5</v>
      </c>
      <c r="AJ76" t="n">
        <v>3</v>
      </c>
      <c r="AK76" t="n">
        <v>5</v>
      </c>
      <c r="AL76" t="n">
        <v>3</v>
      </c>
      <c r="AM76" t="n">
        <v>4</v>
      </c>
      <c r="AN76" t="n">
        <v>4</v>
      </c>
      <c r="AO76" t="n">
        <v>3</v>
      </c>
      <c r="AP76" t="n">
        <v>3</v>
      </c>
      <c r="AQ76" t="n">
        <v>4</v>
      </c>
      <c r="AR76" t="n">
        <v>5</v>
      </c>
      <c r="AS76" t="n">
        <v>4</v>
      </c>
      <c r="AT76" t="n">
        <v>4</v>
      </c>
      <c r="AU76" t="n">
        <v>4</v>
      </c>
      <c r="AV76" t="n">
        <v>4</v>
      </c>
      <c r="AW76" t="n">
        <v>3</v>
      </c>
      <c r="AX76" t="n">
        <v>3</v>
      </c>
      <c r="AY76" t="n">
        <v>4</v>
      </c>
      <c r="AZ76" t="n">
        <v>4</v>
      </c>
      <c r="BA76" t="n">
        <v>5</v>
      </c>
      <c r="BB76" t="n">
        <v>4</v>
      </c>
      <c r="BC76" t="n">
        <v>5</v>
      </c>
      <c r="BD76" t="n">
        <v>4</v>
      </c>
      <c r="BE76" t="n">
        <v>4</v>
      </c>
      <c r="BF76" t="n">
        <v>4</v>
      </c>
      <c r="BG76" t="n">
        <v>4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4</v>
      </c>
      <c r="BN76" t="n">
        <v>3</v>
      </c>
      <c r="BO76" t="n">
        <v>4</v>
      </c>
      <c r="BP76" t="n">
        <v>2</v>
      </c>
      <c r="BQ76" t="n">
        <v>5</v>
      </c>
      <c r="BR76" t="n">
        <v>3</v>
      </c>
      <c r="BS76" s="56">
        <f>IF(COUNT(N76:W76)&gt;=8,AVERAGE(N76:W76),"")</f>
        <v/>
      </c>
      <c r="BT76" s="56">
        <f>IF(COUNT(X76:AE76)&gt;=7,AVERAGE(X76:AE76),"")</f>
        <v/>
      </c>
      <c r="BU76" s="56">
        <f>IF(COUNT(AF76:AM76)&gt;=7,AVERAGE(AF76:AM76),"")</f>
        <v/>
      </c>
      <c r="BV76" s="56">
        <f>IF(COUNT(AN76:AV76)&gt;=8,AVERAGE(AN76:AV76),"")</f>
        <v/>
      </c>
      <c r="BW76" s="56">
        <f>IF(COUNT(AW76:BD76)&gt;=7,AVERAGE(AW76:BD76),"")</f>
        <v/>
      </c>
      <c r="BX76" s="56">
        <f>IF(COUNT(BE76:BJ76)&gt;=5,AVERAGE(BE76:BJ76),"")</f>
        <v/>
      </c>
      <c r="BY76" s="56">
        <f>IF(COUNT(BK76:BR76)&gt;=7,AVERAGE(BK76:BR76),"")</f>
        <v/>
      </c>
    </row>
    <row r="77">
      <c r="A77" t="inlineStr">
        <is>
          <t>R046</t>
        </is>
      </c>
      <c r="B77" t="inlineStr">
        <is>
          <t>Yes</t>
        </is>
      </c>
      <c r="C77" t="inlineStr">
        <is>
          <t>Yes</t>
        </is>
      </c>
      <c r="D77" t="inlineStr">
        <is>
          <t>Male</t>
        </is>
      </c>
      <c r="E77" t="inlineStr">
        <is>
          <t>35-44</t>
        </is>
      </c>
      <c r="F77" t="inlineStr">
        <is>
          <t>Bachelor/HND</t>
        </is>
      </c>
      <c r="G77" t="inlineStr">
        <is>
          <t>Commercial bank</t>
        </is>
      </c>
      <c r="H77" t="inlineStr">
        <is>
          <t>IT/Technology</t>
        </is>
      </c>
      <c r="I77" t="inlineStr">
        <is>
          <t>Less than 2</t>
        </is>
      </c>
      <c r="J77" t="inlineStr">
        <is>
          <t>Yes</t>
        </is>
      </c>
      <c r="K77" t="n">
        <v>3</v>
      </c>
      <c r="L77" t="inlineStr">
        <is>
          <t>Yes</t>
        </is>
      </c>
      <c r="M77" t="inlineStr">
        <is>
          <t>Yes</t>
        </is>
      </c>
      <c r="N77" t="n">
        <v>2</v>
      </c>
      <c r="O77" t="n">
        <v>2</v>
      </c>
      <c r="P77" t="n">
        <v>3</v>
      </c>
      <c r="Q77" t="n">
        <v>3</v>
      </c>
      <c r="R77" t="n">
        <v>2</v>
      </c>
      <c r="S77" t="n">
        <v>2</v>
      </c>
      <c r="T77" t="n">
        <v>4</v>
      </c>
      <c r="U77" t="n">
        <v>2</v>
      </c>
      <c r="V77" t="n">
        <v>2</v>
      </c>
      <c r="W77" t="n">
        <v>1</v>
      </c>
      <c r="X77" t="n">
        <v>4</v>
      </c>
      <c r="Z77" t="n">
        <v>4</v>
      </c>
      <c r="AA77" t="n">
        <v>3</v>
      </c>
      <c r="AB77" t="n">
        <v>3</v>
      </c>
      <c r="AC77" t="n">
        <v>3</v>
      </c>
      <c r="AD77" t="n">
        <v>4</v>
      </c>
      <c r="AE77" t="n">
        <v>3</v>
      </c>
      <c r="AF77" t="n">
        <v>3</v>
      </c>
      <c r="AG77" t="n">
        <v>4</v>
      </c>
      <c r="AH77" t="n">
        <v>5</v>
      </c>
      <c r="AI77" t="n">
        <v>5</v>
      </c>
      <c r="AJ77" t="n">
        <v>3</v>
      </c>
      <c r="AK77" t="n">
        <v>5</v>
      </c>
      <c r="AL77" t="n">
        <v>5</v>
      </c>
      <c r="AM77" t="n">
        <v>2</v>
      </c>
      <c r="AN77" t="n">
        <v>4</v>
      </c>
      <c r="AO77" t="n">
        <v>4</v>
      </c>
      <c r="AP77" t="n">
        <v>5</v>
      </c>
      <c r="AQ77" t="n">
        <v>3</v>
      </c>
      <c r="AR77" t="n">
        <v>5</v>
      </c>
      <c r="AS77" t="n">
        <v>4</v>
      </c>
      <c r="AT77" t="n">
        <v>4</v>
      </c>
      <c r="AU77" t="n">
        <v>3</v>
      </c>
      <c r="AV77" t="n">
        <v>3</v>
      </c>
      <c r="AW77" t="n">
        <v>4</v>
      </c>
      <c r="AX77" t="n">
        <v>4</v>
      </c>
      <c r="AY77" t="n">
        <v>5</v>
      </c>
      <c r="AZ77" t="n">
        <v>5</v>
      </c>
      <c r="BA77" t="n">
        <v>3</v>
      </c>
      <c r="BB77" t="n">
        <v>5</v>
      </c>
      <c r="BC77" t="n">
        <v>5</v>
      </c>
      <c r="BD77" t="n">
        <v>4</v>
      </c>
      <c r="BE77" t="n">
        <v>3</v>
      </c>
      <c r="BF77" t="n">
        <v>3</v>
      </c>
      <c r="BG77" t="n">
        <v>3</v>
      </c>
      <c r="BH77" t="n">
        <v>4</v>
      </c>
      <c r="BI77" t="n">
        <v>4</v>
      </c>
      <c r="BJ77" t="n">
        <v>5</v>
      </c>
      <c r="BK77" t="n">
        <v>3</v>
      </c>
      <c r="BL77" t="n">
        <v>2</v>
      </c>
      <c r="BM77" t="n">
        <v>3</v>
      </c>
      <c r="BN77" t="n">
        <v>2</v>
      </c>
      <c r="BO77" t="n">
        <v>3</v>
      </c>
      <c r="BP77" t="n">
        <v>3</v>
      </c>
      <c r="BQ77" t="n">
        <v>3</v>
      </c>
      <c r="BR77" t="n">
        <v>3</v>
      </c>
      <c r="BS77" s="56">
        <f>IF(COUNT(N77:W77)&gt;=8,AVERAGE(N77:W77),"")</f>
        <v/>
      </c>
      <c r="BT77" s="56">
        <f>IF(COUNT(X77:AE77)&gt;=7,AVERAGE(X77:AE77),"")</f>
        <v/>
      </c>
      <c r="BU77" s="56">
        <f>IF(COUNT(AF77:AM77)&gt;=7,AVERAGE(AF77:AM77),"")</f>
        <v/>
      </c>
      <c r="BV77" s="56">
        <f>IF(COUNT(AN77:AV77)&gt;=8,AVERAGE(AN77:AV77),"")</f>
        <v/>
      </c>
      <c r="BW77" s="56">
        <f>IF(COUNT(AW77:BD77)&gt;=7,AVERAGE(AW77:BD77),"")</f>
        <v/>
      </c>
      <c r="BX77" s="56">
        <f>IF(COUNT(BE77:BJ77)&gt;=5,AVERAGE(BE77:BJ77),"")</f>
        <v/>
      </c>
      <c r="BY77" s="56">
        <f>IF(COUNT(BK77:BR77)&gt;=7,AVERAGE(BK77:BR77),"")</f>
        <v/>
      </c>
    </row>
    <row r="78">
      <c r="A78" t="inlineStr">
        <is>
          <t>R047</t>
        </is>
      </c>
      <c r="B78" t="inlineStr">
        <is>
          <t>Yes</t>
        </is>
      </c>
      <c r="C78" t="inlineStr">
        <is>
          <t>Yes</t>
        </is>
      </c>
      <c r="D78" t="inlineStr">
        <is>
          <t>Male</t>
        </is>
      </c>
      <c r="E78" t="inlineStr">
        <is>
          <t>45-54</t>
        </is>
      </c>
      <c r="F78" t="inlineStr">
        <is>
          <t>Master's</t>
        </is>
      </c>
      <c r="G78" t="inlineStr">
        <is>
          <t>Commercial bank</t>
        </is>
      </c>
      <c r="H78" t="inlineStr">
        <is>
          <t>Digital Banking/Product</t>
        </is>
      </c>
      <c r="I78" t="inlineStr">
        <is>
          <t>2-5</t>
        </is>
      </c>
      <c r="J78" t="inlineStr">
        <is>
          <t>Yes</t>
        </is>
      </c>
      <c r="K78" t="n">
        <v>2</v>
      </c>
      <c r="L78" t="inlineStr">
        <is>
          <t>Yes</t>
        </is>
      </c>
      <c r="M78" t="inlineStr">
        <is>
          <t>Yes</t>
        </is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W78" t="n">
        <v>4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3</v>
      </c>
      <c r="AD78" t="n">
        <v>3</v>
      </c>
      <c r="AE78" t="n">
        <v>2</v>
      </c>
      <c r="AF78" t="n">
        <v>1</v>
      </c>
      <c r="AG78" t="n">
        <v>2</v>
      </c>
      <c r="AH78" t="n">
        <v>2</v>
      </c>
      <c r="AI78" t="n">
        <v>1</v>
      </c>
      <c r="AK78" t="n">
        <v>1</v>
      </c>
      <c r="AL78" t="n">
        <v>1</v>
      </c>
      <c r="AM78" t="n">
        <v>2</v>
      </c>
      <c r="AN78" t="n">
        <v>2</v>
      </c>
      <c r="AO78" t="n">
        <v>2</v>
      </c>
      <c r="AQ78" t="n">
        <v>2</v>
      </c>
      <c r="AR78" t="n">
        <v>2</v>
      </c>
      <c r="AS78" t="n">
        <v>1</v>
      </c>
      <c r="AT78" t="n">
        <v>3</v>
      </c>
      <c r="AU78" t="n">
        <v>2</v>
      </c>
      <c r="AV78" t="n">
        <v>2</v>
      </c>
      <c r="AX78" t="n">
        <v>2</v>
      </c>
      <c r="AY78" t="n">
        <v>1</v>
      </c>
      <c r="AZ78" t="n">
        <v>1</v>
      </c>
      <c r="BA78" t="n">
        <v>2</v>
      </c>
      <c r="BB78" t="n">
        <v>2</v>
      </c>
      <c r="BD78" t="n">
        <v>2</v>
      </c>
      <c r="BE78" t="n">
        <v>3</v>
      </c>
      <c r="BF78" t="n">
        <v>2</v>
      </c>
      <c r="BG78" t="n">
        <v>1</v>
      </c>
      <c r="BH78" t="n">
        <v>2</v>
      </c>
      <c r="BI78" t="n">
        <v>2</v>
      </c>
      <c r="BJ78" t="n">
        <v>1</v>
      </c>
      <c r="BK78" t="n">
        <v>4</v>
      </c>
      <c r="BL78" t="n">
        <v>2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2</v>
      </c>
      <c r="BS78" s="56">
        <f>IF(COUNT(N78:W78)&gt;=8,AVERAGE(N78:W78),"")</f>
        <v/>
      </c>
      <c r="BT78" s="56">
        <f>IF(COUNT(X78:AE78)&gt;=7,AVERAGE(X78:AE78),"")</f>
        <v/>
      </c>
      <c r="BU78" s="56">
        <f>IF(COUNT(AF78:AM78)&gt;=7,AVERAGE(AF78:AM78),"")</f>
        <v/>
      </c>
      <c r="BV78" s="56">
        <f>IF(COUNT(AN78:AV78)&gt;=8,AVERAGE(AN78:AV78),"")</f>
        <v/>
      </c>
      <c r="BW78" s="56">
        <f>IF(COUNT(AW78:BD78)&gt;=7,AVERAGE(AW78:BD78),"")</f>
        <v/>
      </c>
      <c r="BX78" s="56">
        <f>IF(COUNT(BE78:BJ78)&gt;=5,AVERAGE(BE78:BJ78),"")</f>
        <v/>
      </c>
      <c r="BY78" s="56">
        <f>IF(COUNT(BK78:BR78)&gt;=7,AVERAGE(BK78:BR78),"")</f>
        <v/>
      </c>
    </row>
    <row r="79">
      <c r="A79" t="inlineStr">
        <is>
          <t>R048</t>
        </is>
      </c>
      <c r="B79" t="inlineStr">
        <is>
          <t>Yes</t>
        </is>
      </c>
      <c r="C79" t="inlineStr">
        <is>
          <t>Yes</t>
        </is>
      </c>
      <c r="D79" t="inlineStr">
        <is>
          <t>Male</t>
        </is>
      </c>
      <c r="E79" t="inlineStr">
        <is>
          <t>35-44</t>
        </is>
      </c>
      <c r="F79" t="inlineStr">
        <is>
          <t>Bachelor/HND</t>
        </is>
      </c>
      <c r="G79" t="inlineStr">
        <is>
          <t>Microfinance bank</t>
        </is>
      </c>
      <c r="H79" t="inlineStr">
        <is>
          <t>Data/Analytics/AI</t>
        </is>
      </c>
      <c r="I79" t="inlineStr">
        <is>
          <t>Less than 2</t>
        </is>
      </c>
      <c r="J79" t="inlineStr">
        <is>
          <t>Yes</t>
        </is>
      </c>
      <c r="K79" t="n">
        <v>2</v>
      </c>
      <c r="L79" t="inlineStr">
        <is>
          <t>Yes</t>
        </is>
      </c>
      <c r="M79" t="inlineStr">
        <is>
          <t>Yes</t>
        </is>
      </c>
      <c r="N79" t="n">
        <v>3</v>
      </c>
      <c r="O79" t="n">
        <v>3</v>
      </c>
      <c r="P79" t="n">
        <v>5</v>
      </c>
      <c r="Q79" t="n">
        <v>4</v>
      </c>
      <c r="R79" t="n">
        <v>4</v>
      </c>
      <c r="S79" t="n">
        <v>3</v>
      </c>
      <c r="T79" t="n">
        <v>4</v>
      </c>
      <c r="U79" t="n">
        <v>4</v>
      </c>
      <c r="V79" t="n">
        <v>4</v>
      </c>
      <c r="W79" t="n">
        <v>4</v>
      </c>
      <c r="X79" t="n">
        <v>3</v>
      </c>
      <c r="Y79" t="n">
        <v>2</v>
      </c>
      <c r="Z79" t="n">
        <v>4</v>
      </c>
      <c r="AA79" t="n">
        <v>3</v>
      </c>
      <c r="AB79" t="n">
        <v>4</v>
      </c>
      <c r="AC79" t="n">
        <v>4</v>
      </c>
      <c r="AD79" t="n">
        <v>4</v>
      </c>
      <c r="AE79" t="n">
        <v>3</v>
      </c>
      <c r="AF79" t="n">
        <v>3</v>
      </c>
      <c r="AG79" t="n">
        <v>4</v>
      </c>
      <c r="AH79" t="n">
        <v>1</v>
      </c>
      <c r="AI79" t="n">
        <v>5</v>
      </c>
      <c r="AJ79" t="n">
        <v>2</v>
      </c>
      <c r="AK79" t="n">
        <v>4</v>
      </c>
      <c r="AL79" t="n">
        <v>4</v>
      </c>
      <c r="AM79" t="n">
        <v>4</v>
      </c>
      <c r="AN79" t="n">
        <v>4</v>
      </c>
      <c r="AO79" t="n">
        <v>2</v>
      </c>
      <c r="AP79" t="n">
        <v>3</v>
      </c>
      <c r="AQ79" t="n">
        <v>3</v>
      </c>
      <c r="AR79" t="n">
        <v>4</v>
      </c>
      <c r="AS79" t="n">
        <v>3</v>
      </c>
      <c r="AT79" t="n">
        <v>3</v>
      </c>
      <c r="AU79" t="n">
        <v>3</v>
      </c>
      <c r="AV79" t="n">
        <v>4</v>
      </c>
      <c r="AW79" t="n">
        <v>4</v>
      </c>
      <c r="AX79" t="n">
        <v>4</v>
      </c>
      <c r="AY79" t="n">
        <v>5</v>
      </c>
      <c r="AZ79" t="n">
        <v>3</v>
      </c>
      <c r="BA79" t="n">
        <v>4</v>
      </c>
      <c r="BB79" t="n">
        <v>4</v>
      </c>
      <c r="BC79" t="n">
        <v>4</v>
      </c>
      <c r="BD79" t="n">
        <v>3</v>
      </c>
      <c r="BE79" t="n">
        <v>3</v>
      </c>
      <c r="BF79" t="n">
        <v>3</v>
      </c>
      <c r="BG79" t="n">
        <v>2</v>
      </c>
      <c r="BH79" t="n">
        <v>3</v>
      </c>
      <c r="BI79" t="n">
        <v>2</v>
      </c>
      <c r="BJ79" t="n">
        <v>3</v>
      </c>
      <c r="BK79" t="n">
        <v>5</v>
      </c>
      <c r="BL79" t="n">
        <v>4</v>
      </c>
      <c r="BM79" t="n">
        <v>3</v>
      </c>
      <c r="BN79" t="n">
        <v>3</v>
      </c>
      <c r="BO79" t="n">
        <v>4</v>
      </c>
      <c r="BP79" t="n">
        <v>4</v>
      </c>
      <c r="BQ79" t="n">
        <v>5</v>
      </c>
      <c r="BR79" t="n">
        <v>4</v>
      </c>
      <c r="BS79" s="56">
        <f>IF(COUNT(N79:W79)&gt;=8,AVERAGE(N79:W79),"")</f>
        <v/>
      </c>
      <c r="BT79" s="56">
        <f>IF(COUNT(X79:AE79)&gt;=7,AVERAGE(X79:AE79),"")</f>
        <v/>
      </c>
      <c r="BU79" s="56">
        <f>IF(COUNT(AF79:AM79)&gt;=7,AVERAGE(AF79:AM79),"")</f>
        <v/>
      </c>
      <c r="BV79" s="56">
        <f>IF(COUNT(AN79:AV79)&gt;=8,AVERAGE(AN79:AV79),"")</f>
        <v/>
      </c>
      <c r="BW79" s="56">
        <f>IF(COUNT(AW79:BD79)&gt;=7,AVERAGE(AW79:BD79),"")</f>
        <v/>
      </c>
      <c r="BX79" s="56">
        <f>IF(COUNT(BE79:BJ79)&gt;=5,AVERAGE(BE79:BJ79),"")</f>
        <v/>
      </c>
      <c r="BY79" s="56">
        <f>IF(COUNT(BK79:BR79)&gt;=7,AVERAGE(BK79:BR79),"")</f>
        <v/>
      </c>
    </row>
    <row r="80">
      <c r="A80" t="inlineStr">
        <is>
          <t>R049</t>
        </is>
      </c>
      <c r="B80" t="inlineStr">
        <is>
          <t>Yes</t>
        </is>
      </c>
      <c r="C80" t="inlineStr">
        <is>
          <t>Yes</t>
        </is>
      </c>
      <c r="D80" t="inlineStr">
        <is>
          <t>Female</t>
        </is>
      </c>
      <c r="E80" t="inlineStr">
        <is>
          <t>25-34</t>
        </is>
      </c>
      <c r="F80" t="inlineStr">
        <is>
          <t>Bachelor/HND</t>
        </is>
      </c>
      <c r="G80" t="inlineStr">
        <is>
          <t>Fintech/payment provider</t>
        </is>
      </c>
      <c r="H80" t="inlineStr">
        <is>
          <t>Data/Analytics/AI</t>
        </is>
      </c>
      <c r="I80" t="inlineStr">
        <is>
          <t>2-5</t>
        </is>
      </c>
      <c r="J80" t="inlineStr">
        <is>
          <t>Yes</t>
        </is>
      </c>
      <c r="K80" t="n">
        <v>1</v>
      </c>
      <c r="L80" t="inlineStr">
        <is>
          <t>No</t>
        </is>
      </c>
      <c r="M80" t="inlineStr">
        <is>
          <t>Yes</t>
        </is>
      </c>
      <c r="N80" t="n">
        <v>3</v>
      </c>
      <c r="O80" t="n">
        <v>3</v>
      </c>
      <c r="P80" t="n">
        <v>4</v>
      </c>
      <c r="Q80" t="n">
        <v>3</v>
      </c>
      <c r="R80" t="n">
        <v>4</v>
      </c>
      <c r="S80" t="n">
        <v>4</v>
      </c>
      <c r="T80" t="n">
        <v>2</v>
      </c>
      <c r="U80" t="n">
        <v>3</v>
      </c>
      <c r="V80" t="n">
        <v>4</v>
      </c>
      <c r="W80" t="n">
        <v>4</v>
      </c>
      <c r="X80" t="n">
        <v>3</v>
      </c>
      <c r="Y80" t="n">
        <v>2</v>
      </c>
      <c r="Z80" t="n">
        <v>2</v>
      </c>
      <c r="AA80" t="n">
        <v>1</v>
      </c>
      <c r="AB80" t="n">
        <v>2</v>
      </c>
      <c r="AC80" t="n">
        <v>2</v>
      </c>
      <c r="AD80" t="n">
        <v>3</v>
      </c>
      <c r="AE80" t="n">
        <v>3</v>
      </c>
      <c r="AF80" t="n">
        <v>2</v>
      </c>
      <c r="AG80" t="n">
        <v>2</v>
      </c>
      <c r="AH80" t="n">
        <v>2</v>
      </c>
      <c r="AI80" t="n">
        <v>3</v>
      </c>
      <c r="AJ80" t="n">
        <v>2</v>
      </c>
      <c r="AK80" t="n">
        <v>2</v>
      </c>
      <c r="AL80" t="n">
        <v>2</v>
      </c>
      <c r="AM80" t="n">
        <v>1</v>
      </c>
      <c r="AN80" t="n">
        <v>3</v>
      </c>
      <c r="AO80" t="n">
        <v>2</v>
      </c>
      <c r="AP80" t="n">
        <v>4</v>
      </c>
      <c r="AQ80" t="n">
        <v>2</v>
      </c>
      <c r="AR80" t="n">
        <v>4</v>
      </c>
      <c r="AS80" t="n">
        <v>3</v>
      </c>
      <c r="AT80" t="n">
        <v>3</v>
      </c>
      <c r="AU80" t="n">
        <v>2</v>
      </c>
      <c r="AV80" t="n">
        <v>3</v>
      </c>
      <c r="AW80" t="n">
        <v>2</v>
      </c>
      <c r="AX80" t="n">
        <v>1</v>
      </c>
      <c r="AY80" t="n">
        <v>2</v>
      </c>
      <c r="BA80" t="n">
        <v>3</v>
      </c>
      <c r="BB80" t="n">
        <v>1</v>
      </c>
      <c r="BC80" t="n">
        <v>2</v>
      </c>
      <c r="BD80" t="n">
        <v>1</v>
      </c>
      <c r="BE80" t="n">
        <v>3</v>
      </c>
      <c r="BF80" t="n">
        <v>2</v>
      </c>
      <c r="BG80" t="n">
        <v>3</v>
      </c>
      <c r="BH80" t="n">
        <v>3</v>
      </c>
      <c r="BI80" t="n">
        <v>3</v>
      </c>
      <c r="BJ80" t="n">
        <v>3</v>
      </c>
      <c r="BK80" t="n">
        <v>2</v>
      </c>
      <c r="BL80" t="n">
        <v>1</v>
      </c>
      <c r="BM80" t="n">
        <v>3</v>
      </c>
      <c r="BN80" t="n">
        <v>3</v>
      </c>
      <c r="BO80" t="n">
        <v>3</v>
      </c>
      <c r="BP80" t="n">
        <v>2</v>
      </c>
      <c r="BQ80" t="n">
        <v>2</v>
      </c>
      <c r="BR80" t="n">
        <v>2</v>
      </c>
      <c r="BS80" s="56">
        <f>IF(COUNT(N80:W80)&gt;=8,AVERAGE(N80:W80),"")</f>
        <v/>
      </c>
      <c r="BT80" s="56">
        <f>IF(COUNT(X80:AE80)&gt;=7,AVERAGE(X80:AE80),"")</f>
        <v/>
      </c>
      <c r="BU80" s="56">
        <f>IF(COUNT(AF80:AM80)&gt;=7,AVERAGE(AF80:AM80),"")</f>
        <v/>
      </c>
      <c r="BV80" s="56">
        <f>IF(COUNT(AN80:AV80)&gt;=8,AVERAGE(AN80:AV80),"")</f>
        <v/>
      </c>
      <c r="BW80" s="56">
        <f>IF(COUNT(AW80:BD80)&gt;=7,AVERAGE(AW80:BD80),"")</f>
        <v/>
      </c>
      <c r="BX80" s="56">
        <f>IF(COUNT(BE80:BJ80)&gt;=5,AVERAGE(BE80:BJ80),"")</f>
        <v/>
      </c>
      <c r="BY80" s="56">
        <f>IF(COUNT(BK80:BR80)&gt;=7,AVERAGE(BK80:BR80),"")</f>
        <v/>
      </c>
    </row>
    <row r="81">
      <c r="A81" t="inlineStr">
        <is>
          <t>R050</t>
        </is>
      </c>
      <c r="B81" t="inlineStr">
        <is>
          <t>Yes</t>
        </is>
      </c>
      <c r="C81" t="inlineStr">
        <is>
          <t>Yes</t>
        </is>
      </c>
      <c r="D81" t="inlineStr">
        <is>
          <t>Female</t>
        </is>
      </c>
      <c r="E81" t="inlineStr">
        <is>
          <t>35-44</t>
        </is>
      </c>
      <c r="F81" t="inlineStr">
        <is>
          <t>Bachelor/HND</t>
        </is>
      </c>
      <c r="G81" t="inlineStr">
        <is>
          <t>Commercial bank</t>
        </is>
      </c>
      <c r="H81" t="inlineStr">
        <is>
          <t>IT/Technology</t>
        </is>
      </c>
      <c r="I81" t="inlineStr">
        <is>
          <t>2-5</t>
        </is>
      </c>
      <c r="J81" t="inlineStr">
        <is>
          <t>Yes</t>
        </is>
      </c>
      <c r="K81" t="n">
        <v>3</v>
      </c>
      <c r="L81" t="inlineStr">
        <is>
          <t>Yes</t>
        </is>
      </c>
      <c r="M81" t="inlineStr">
        <is>
          <t>Yes</t>
        </is>
      </c>
      <c r="N81" t="n">
        <v>3</v>
      </c>
      <c r="O81" t="n">
        <v>2</v>
      </c>
      <c r="P81" t="n">
        <v>4</v>
      </c>
      <c r="Q81" t="n">
        <v>2</v>
      </c>
      <c r="R81" t="n">
        <v>4</v>
      </c>
      <c r="S81" t="n">
        <v>3</v>
      </c>
      <c r="T81" t="n">
        <v>3</v>
      </c>
      <c r="U81" t="n">
        <v>3</v>
      </c>
      <c r="V81" t="n">
        <v>4</v>
      </c>
      <c r="W81" t="n">
        <v>4</v>
      </c>
      <c r="X81" t="n">
        <v>3</v>
      </c>
      <c r="Y81" t="n">
        <v>2</v>
      </c>
      <c r="Z81" t="n">
        <v>3</v>
      </c>
      <c r="AA81" t="n">
        <v>2</v>
      </c>
      <c r="AB81" t="n">
        <v>3</v>
      </c>
      <c r="AC81" t="n">
        <v>2</v>
      </c>
      <c r="AD81" t="n">
        <v>3</v>
      </c>
      <c r="AE81" t="n">
        <v>3</v>
      </c>
      <c r="AF81" t="n">
        <v>3</v>
      </c>
      <c r="AG81" t="n">
        <v>4</v>
      </c>
      <c r="AH81" t="n">
        <v>3</v>
      </c>
      <c r="AI81" t="n">
        <v>4</v>
      </c>
      <c r="AJ81" t="n">
        <v>3</v>
      </c>
      <c r="AK81" t="n">
        <v>3</v>
      </c>
      <c r="AL81" t="n">
        <v>3</v>
      </c>
      <c r="AM81" t="n">
        <v>2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4</v>
      </c>
      <c r="AU81" t="n">
        <v>3</v>
      </c>
      <c r="AV81" t="n">
        <v>3</v>
      </c>
      <c r="AW81" t="n">
        <v>4</v>
      </c>
      <c r="AX81" t="n">
        <v>3</v>
      </c>
      <c r="AY81" t="n">
        <v>4</v>
      </c>
      <c r="AZ81" t="n">
        <v>3</v>
      </c>
      <c r="BB81" t="n">
        <v>3</v>
      </c>
      <c r="BC81" t="n">
        <v>3</v>
      </c>
      <c r="BD81" t="n">
        <v>3</v>
      </c>
      <c r="BE81" t="n">
        <v>4</v>
      </c>
      <c r="BF81" t="n">
        <v>4</v>
      </c>
      <c r="BG81" t="n">
        <v>3</v>
      </c>
      <c r="BH81" t="n">
        <v>3</v>
      </c>
      <c r="BI81" t="n">
        <v>4</v>
      </c>
      <c r="BJ81" t="n">
        <v>3</v>
      </c>
      <c r="BK81" t="n">
        <v>2</v>
      </c>
      <c r="BL81" t="n">
        <v>1</v>
      </c>
      <c r="BM81" t="n">
        <v>3</v>
      </c>
      <c r="BN81" t="n">
        <v>3</v>
      </c>
      <c r="BO81" t="n">
        <v>3</v>
      </c>
      <c r="BP81" t="n">
        <v>4</v>
      </c>
      <c r="BQ81" t="n">
        <v>4</v>
      </c>
      <c r="BR81" t="n">
        <v>3</v>
      </c>
      <c r="BS81" s="56">
        <f>IF(COUNT(N81:W81)&gt;=8,AVERAGE(N81:W81),"")</f>
        <v/>
      </c>
      <c r="BT81" s="56">
        <f>IF(COUNT(X81:AE81)&gt;=7,AVERAGE(X81:AE81),"")</f>
        <v/>
      </c>
      <c r="BU81" s="56">
        <f>IF(COUNT(AF81:AM81)&gt;=7,AVERAGE(AF81:AM81),"")</f>
        <v/>
      </c>
      <c r="BV81" s="56">
        <f>IF(COUNT(AN81:AV81)&gt;=8,AVERAGE(AN81:AV81),"")</f>
        <v/>
      </c>
      <c r="BW81" s="56">
        <f>IF(COUNT(AW81:BD81)&gt;=7,AVERAGE(AW81:BD81),"")</f>
        <v/>
      </c>
      <c r="BX81" s="56">
        <f>IF(COUNT(BE81:BJ81)&gt;=5,AVERAGE(BE81:BJ81),"")</f>
        <v/>
      </c>
      <c r="BY81" s="56">
        <f>IF(COUNT(BK81:BR81)&gt;=7,AVERAGE(BK81:BR81),"")</f>
        <v/>
      </c>
    </row>
    <row r="82">
      <c r="A82" t="inlineStr">
        <is>
          <t>R051</t>
        </is>
      </c>
      <c r="B82" t="inlineStr">
        <is>
          <t>Yes</t>
        </is>
      </c>
      <c r="C82" t="inlineStr">
        <is>
          <t>Yes</t>
        </is>
      </c>
      <c r="D82" t="inlineStr">
        <is>
          <t>Male</t>
        </is>
      </c>
      <c r="E82" t="inlineStr">
        <is>
          <t>35-44</t>
        </is>
      </c>
      <c r="F82" t="inlineStr">
        <is>
          <t>Postgraduate Diploma</t>
        </is>
      </c>
      <c r="G82" t="inlineStr">
        <is>
          <t>Digital bank/neobank</t>
        </is>
      </c>
      <c r="H82" t="inlineStr">
        <is>
          <t>Risk/Compliance</t>
        </is>
      </c>
      <c r="I82" t="inlineStr">
        <is>
          <t>Less than 2</t>
        </is>
      </c>
      <c r="J82" t="inlineStr">
        <is>
          <t>Yes</t>
        </is>
      </c>
      <c r="K82" t="n">
        <v>0</v>
      </c>
      <c r="L82" t="inlineStr">
        <is>
          <t>Yes</t>
        </is>
      </c>
      <c r="M82" t="inlineStr">
        <is>
          <t>Yes</t>
        </is>
      </c>
      <c r="N82" t="n">
        <v>4</v>
      </c>
      <c r="O82" t="n">
        <v>4</v>
      </c>
      <c r="P82" t="n">
        <v>4</v>
      </c>
      <c r="Q82" t="n">
        <v>3</v>
      </c>
      <c r="R82" t="n">
        <v>3</v>
      </c>
      <c r="S82" t="n">
        <v>3</v>
      </c>
      <c r="T82" t="n">
        <v>2</v>
      </c>
      <c r="U82" t="n">
        <v>4</v>
      </c>
      <c r="V82" t="n">
        <v>4</v>
      </c>
      <c r="W82" t="n">
        <v>2</v>
      </c>
      <c r="X82" t="n">
        <v>4</v>
      </c>
      <c r="Y82" t="n">
        <v>2</v>
      </c>
      <c r="Z82" t="n">
        <v>3</v>
      </c>
      <c r="AA82" t="n">
        <v>2</v>
      </c>
      <c r="AB82" t="n">
        <v>4</v>
      </c>
      <c r="AC82" t="n">
        <v>3</v>
      </c>
      <c r="AD82" t="n">
        <v>4</v>
      </c>
      <c r="AE82" t="n">
        <v>4</v>
      </c>
      <c r="AF82" t="n">
        <v>3</v>
      </c>
      <c r="AH82" t="n">
        <v>1</v>
      </c>
      <c r="AI82" t="n">
        <v>4</v>
      </c>
      <c r="AJ82" t="n">
        <v>2</v>
      </c>
      <c r="AK82" t="n">
        <v>3</v>
      </c>
      <c r="AL82" t="n">
        <v>3</v>
      </c>
      <c r="AM82" t="n">
        <v>3</v>
      </c>
      <c r="AN82" t="n">
        <v>2</v>
      </c>
      <c r="AO82" t="n">
        <v>1</v>
      </c>
      <c r="AP82" t="n">
        <v>2</v>
      </c>
      <c r="AQ82" t="n">
        <v>1</v>
      </c>
      <c r="AR82" t="n">
        <v>2</v>
      </c>
      <c r="AS82" t="n">
        <v>1</v>
      </c>
      <c r="AT82" t="n">
        <v>1</v>
      </c>
      <c r="AU82" t="n">
        <v>1</v>
      </c>
      <c r="AV82" t="n">
        <v>1</v>
      </c>
      <c r="AW82" t="n">
        <v>3</v>
      </c>
      <c r="AX82" t="n">
        <v>4</v>
      </c>
      <c r="AY82" t="n">
        <v>3</v>
      </c>
      <c r="AZ82" t="n">
        <v>3</v>
      </c>
      <c r="BA82" t="n">
        <v>4</v>
      </c>
      <c r="BB82" t="n">
        <v>2</v>
      </c>
      <c r="BC82" t="n">
        <v>3</v>
      </c>
      <c r="BD82" t="n">
        <v>3</v>
      </c>
      <c r="BE82" t="n">
        <v>3</v>
      </c>
      <c r="BF82" t="n">
        <v>3</v>
      </c>
      <c r="BG82" t="n">
        <v>2</v>
      </c>
      <c r="BH82" t="n">
        <v>3</v>
      </c>
      <c r="BI82" t="n">
        <v>3</v>
      </c>
      <c r="BJ82" t="n">
        <v>1</v>
      </c>
      <c r="BK82" t="n">
        <v>2</v>
      </c>
      <c r="BL82" t="n">
        <v>2</v>
      </c>
      <c r="BM82" t="n">
        <v>3</v>
      </c>
      <c r="BN82" t="n">
        <v>4</v>
      </c>
      <c r="BO82" t="n">
        <v>4</v>
      </c>
      <c r="BP82" t="n">
        <v>1</v>
      </c>
      <c r="BQ82" t="n">
        <v>3</v>
      </c>
      <c r="BR82" t="n">
        <v>2</v>
      </c>
      <c r="BS82" s="56">
        <f>IF(COUNT(N82:W82)&gt;=8,AVERAGE(N82:W82),"")</f>
        <v/>
      </c>
      <c r="BT82" s="56">
        <f>IF(COUNT(X82:AE82)&gt;=7,AVERAGE(X82:AE82),"")</f>
        <v/>
      </c>
      <c r="BU82" s="56">
        <f>IF(COUNT(AF82:AM82)&gt;=7,AVERAGE(AF82:AM82),"")</f>
        <v/>
      </c>
      <c r="BV82" s="56">
        <f>IF(COUNT(AN82:AV82)&gt;=8,AVERAGE(AN82:AV82),"")</f>
        <v/>
      </c>
      <c r="BW82" s="56">
        <f>IF(COUNT(AW82:BD82)&gt;=7,AVERAGE(AW82:BD82),"")</f>
        <v/>
      </c>
      <c r="BX82" s="56">
        <f>IF(COUNT(BE82:BJ82)&gt;=5,AVERAGE(BE82:BJ82),"")</f>
        <v/>
      </c>
      <c r="BY82" s="56">
        <f>IF(COUNT(BK82:BR82)&gt;=7,AVERAGE(BK82:BR82),"")</f>
        <v/>
      </c>
    </row>
    <row r="83">
      <c r="A83" t="inlineStr">
        <is>
          <t>R052</t>
        </is>
      </c>
      <c r="B83" t="inlineStr">
        <is>
          <t>Yes</t>
        </is>
      </c>
      <c r="C83" t="inlineStr">
        <is>
          <t>Yes</t>
        </is>
      </c>
      <c r="D83" t="inlineStr">
        <is>
          <t>Female</t>
        </is>
      </c>
      <c r="E83" t="inlineStr">
        <is>
          <t>35-44</t>
        </is>
      </c>
      <c r="F83" t="inlineStr">
        <is>
          <t>Bachelor/HND</t>
        </is>
      </c>
      <c r="G83" t="inlineStr">
        <is>
          <t>Fintech/payment provider</t>
        </is>
      </c>
      <c r="H83" t="inlineStr">
        <is>
          <t>IT/Technology</t>
        </is>
      </c>
      <c r="I83" t="inlineStr">
        <is>
          <t>Less than 2</t>
        </is>
      </c>
      <c r="J83" t="inlineStr">
        <is>
          <t>Yes</t>
        </is>
      </c>
      <c r="K83" t="n">
        <v>0</v>
      </c>
      <c r="L83" t="inlineStr">
        <is>
          <t>No</t>
        </is>
      </c>
      <c r="M83" t="inlineStr">
        <is>
          <t>Yes</t>
        </is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4</v>
      </c>
      <c r="U83" t="n">
        <v>3</v>
      </c>
      <c r="V83" t="n">
        <v>4</v>
      </c>
      <c r="W83" t="n">
        <v>3</v>
      </c>
      <c r="X83" t="n">
        <v>3</v>
      </c>
      <c r="Y83" t="n">
        <v>2</v>
      </c>
      <c r="Z83" t="n">
        <v>2</v>
      </c>
      <c r="AA83" t="n">
        <v>1</v>
      </c>
      <c r="AB83" t="n">
        <v>2</v>
      </c>
      <c r="AC83" t="n">
        <v>2</v>
      </c>
      <c r="AD83" t="n">
        <v>2</v>
      </c>
      <c r="AE83" t="n">
        <v>3</v>
      </c>
      <c r="AF83" t="n">
        <v>2</v>
      </c>
      <c r="AG83" t="n">
        <v>3</v>
      </c>
      <c r="AH83" t="n">
        <v>1</v>
      </c>
      <c r="AI83" t="n">
        <v>2</v>
      </c>
      <c r="AJ83" t="n">
        <v>3</v>
      </c>
      <c r="AK83" t="n">
        <v>3</v>
      </c>
      <c r="AL83" t="n">
        <v>3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4</v>
      </c>
      <c r="AS83" t="n">
        <v>2</v>
      </c>
      <c r="AT83" t="n">
        <v>2</v>
      </c>
      <c r="AU83" t="n">
        <v>1</v>
      </c>
      <c r="AV83" t="n">
        <v>3</v>
      </c>
      <c r="AW83" t="n">
        <v>3</v>
      </c>
      <c r="AX83" t="n">
        <v>2</v>
      </c>
      <c r="AY83" t="n">
        <v>3</v>
      </c>
      <c r="AZ83" t="n">
        <v>2</v>
      </c>
      <c r="BA83" t="n">
        <v>5</v>
      </c>
      <c r="BB83" t="n">
        <v>2</v>
      </c>
      <c r="BC83" t="n">
        <v>4</v>
      </c>
      <c r="BD83" t="n">
        <v>2</v>
      </c>
      <c r="BE83" t="n">
        <v>3</v>
      </c>
      <c r="BF83" t="n">
        <v>2</v>
      </c>
      <c r="BG83" t="n">
        <v>3</v>
      </c>
      <c r="BH83" t="n">
        <v>4</v>
      </c>
      <c r="BI83" t="n">
        <v>2</v>
      </c>
      <c r="BJ83" t="n">
        <v>3</v>
      </c>
      <c r="BK83" t="n">
        <v>3</v>
      </c>
      <c r="BL83" t="n">
        <v>3</v>
      </c>
      <c r="BM83" t="n">
        <v>3</v>
      </c>
      <c r="BN83" t="n">
        <v>2</v>
      </c>
      <c r="BO83" t="n">
        <v>3</v>
      </c>
      <c r="BP83" t="n">
        <v>3</v>
      </c>
      <c r="BQ83" t="n">
        <v>3</v>
      </c>
      <c r="BR83" t="n">
        <v>2</v>
      </c>
      <c r="BS83" s="56">
        <f>IF(COUNT(N83:W83)&gt;=8,AVERAGE(N83:W83),"")</f>
        <v/>
      </c>
      <c r="BT83" s="56">
        <f>IF(COUNT(X83:AE83)&gt;=7,AVERAGE(X83:AE83),"")</f>
        <v/>
      </c>
      <c r="BU83" s="56">
        <f>IF(COUNT(AF83:AM83)&gt;=7,AVERAGE(AF83:AM83),"")</f>
        <v/>
      </c>
      <c r="BV83" s="56">
        <f>IF(COUNT(AN83:AV83)&gt;=8,AVERAGE(AN83:AV83),"")</f>
        <v/>
      </c>
      <c r="BW83" s="56">
        <f>IF(COUNT(AW83:BD83)&gt;=7,AVERAGE(AW83:BD83),"")</f>
        <v/>
      </c>
      <c r="BX83" s="56">
        <f>IF(COUNT(BE83:BJ83)&gt;=5,AVERAGE(BE83:BJ83),"")</f>
        <v/>
      </c>
      <c r="BY83" s="56">
        <f>IF(COUNT(BK83:BR83)&gt;=7,AVERAGE(BK83:BR83),"")</f>
        <v/>
      </c>
    </row>
    <row r="84">
      <c r="A84" t="inlineStr">
        <is>
          <t>R053</t>
        </is>
      </c>
      <c r="B84" t="inlineStr">
        <is>
          <t>Yes</t>
        </is>
      </c>
      <c r="C84" t="inlineStr">
        <is>
          <t>Yes</t>
        </is>
      </c>
      <c r="D84" t="inlineStr">
        <is>
          <t>Female</t>
        </is>
      </c>
      <c r="E84" t="inlineStr">
        <is>
          <t>35-44</t>
        </is>
      </c>
      <c r="F84" t="inlineStr">
        <is>
          <t>Other</t>
        </is>
      </c>
      <c r="G84" t="inlineStr">
        <is>
          <t>Fintech/payment provider</t>
        </is>
      </c>
      <c r="H84" t="inlineStr">
        <is>
          <t>Other</t>
        </is>
      </c>
      <c r="I84" t="inlineStr">
        <is>
          <t>2-5</t>
        </is>
      </c>
      <c r="J84" t="inlineStr">
        <is>
          <t>Yes</t>
        </is>
      </c>
      <c r="K84" t="n">
        <v>2</v>
      </c>
      <c r="L84" t="inlineStr">
        <is>
          <t>No</t>
        </is>
      </c>
      <c r="M84" t="inlineStr">
        <is>
          <t>Yes</t>
        </is>
      </c>
      <c r="N84" t="n">
        <v>3</v>
      </c>
      <c r="O84" t="n">
        <v>4</v>
      </c>
      <c r="P84" t="n">
        <v>4</v>
      </c>
      <c r="Q84" t="n">
        <v>3</v>
      </c>
      <c r="R84" t="n">
        <v>3</v>
      </c>
      <c r="S84" t="n">
        <v>5</v>
      </c>
      <c r="T84" t="n">
        <v>2</v>
      </c>
      <c r="U84" t="n">
        <v>3</v>
      </c>
      <c r="V84" t="n">
        <v>5</v>
      </c>
      <c r="W84" t="n">
        <v>4</v>
      </c>
      <c r="X84" t="n">
        <v>3</v>
      </c>
      <c r="Y84" t="n">
        <v>2</v>
      </c>
      <c r="Z84" t="n">
        <v>4</v>
      </c>
      <c r="AA84" t="n">
        <v>3</v>
      </c>
      <c r="AB84" t="n">
        <v>4</v>
      </c>
      <c r="AC84" t="n">
        <v>2</v>
      </c>
      <c r="AD84" t="n">
        <v>3</v>
      </c>
      <c r="AE84" t="n">
        <v>2</v>
      </c>
      <c r="AF84" t="n">
        <v>3</v>
      </c>
      <c r="AG84" t="n">
        <v>4</v>
      </c>
      <c r="AH84" t="n">
        <v>4</v>
      </c>
      <c r="AI84" t="n">
        <v>5</v>
      </c>
      <c r="AJ84" t="n">
        <v>4</v>
      </c>
      <c r="AK84" t="n">
        <v>5</v>
      </c>
      <c r="AM84" t="n">
        <v>4</v>
      </c>
      <c r="AN84" t="n">
        <v>2</v>
      </c>
      <c r="AO84" t="n">
        <v>1</v>
      </c>
      <c r="AP84" t="n">
        <v>2</v>
      </c>
      <c r="AQ84" t="n">
        <v>1</v>
      </c>
      <c r="AR84" t="n">
        <v>3</v>
      </c>
      <c r="AS84" t="n">
        <v>3</v>
      </c>
      <c r="AT84" t="n">
        <v>3</v>
      </c>
      <c r="AU84" t="n">
        <v>2</v>
      </c>
      <c r="AV84" t="n">
        <v>2</v>
      </c>
      <c r="AW84" t="n">
        <v>3</v>
      </c>
      <c r="AX84" t="n">
        <v>4</v>
      </c>
      <c r="AY84" t="n">
        <v>5</v>
      </c>
      <c r="AZ84" t="n">
        <v>3</v>
      </c>
      <c r="BA84" t="n">
        <v>3</v>
      </c>
      <c r="BB84" t="n">
        <v>4</v>
      </c>
      <c r="BC84" t="n">
        <v>5</v>
      </c>
      <c r="BD84" t="n">
        <v>3</v>
      </c>
      <c r="BE84" t="n">
        <v>4</v>
      </c>
      <c r="BF84" t="n">
        <v>4</v>
      </c>
      <c r="BG84" t="n">
        <v>3</v>
      </c>
      <c r="BH84" t="n">
        <v>5</v>
      </c>
      <c r="BI84" t="n">
        <v>5</v>
      </c>
      <c r="BJ84" t="n">
        <v>3</v>
      </c>
      <c r="BK84" t="n">
        <v>3</v>
      </c>
      <c r="BL84" t="n">
        <v>3</v>
      </c>
      <c r="BM84" t="n">
        <v>4</v>
      </c>
      <c r="BN84" t="n">
        <v>2</v>
      </c>
      <c r="BO84" t="n">
        <v>4</v>
      </c>
      <c r="BP84" t="n">
        <v>3</v>
      </c>
      <c r="BQ84" t="n">
        <v>5</v>
      </c>
      <c r="BR84" t="n">
        <v>4</v>
      </c>
      <c r="BS84" s="56">
        <f>IF(COUNT(N84:W84)&gt;=8,AVERAGE(N84:W84),"")</f>
        <v/>
      </c>
      <c r="BT84" s="56">
        <f>IF(COUNT(X84:AE84)&gt;=7,AVERAGE(X84:AE84),"")</f>
        <v/>
      </c>
      <c r="BU84" s="56">
        <f>IF(COUNT(AF84:AM84)&gt;=7,AVERAGE(AF84:AM84),"")</f>
        <v/>
      </c>
      <c r="BV84" s="56">
        <f>IF(COUNT(AN84:AV84)&gt;=8,AVERAGE(AN84:AV84),"")</f>
        <v/>
      </c>
      <c r="BW84" s="56">
        <f>IF(COUNT(AW84:BD84)&gt;=7,AVERAGE(AW84:BD84),"")</f>
        <v/>
      </c>
      <c r="BX84" s="56">
        <f>IF(COUNT(BE84:BJ84)&gt;=5,AVERAGE(BE84:BJ84),"")</f>
        <v/>
      </c>
      <c r="BY84" s="56">
        <f>IF(COUNT(BK84:BR84)&gt;=7,AVERAGE(BK84:BR84),"")</f>
        <v/>
      </c>
    </row>
    <row r="85">
      <c r="A85" t="inlineStr">
        <is>
          <t>R054</t>
        </is>
      </c>
      <c r="B85" t="inlineStr">
        <is>
          <t>Yes</t>
        </is>
      </c>
      <c r="C85" t="inlineStr">
        <is>
          <t>Yes</t>
        </is>
      </c>
      <c r="D85" t="inlineStr">
        <is>
          <t>Male</t>
        </is>
      </c>
      <c r="E85" t="inlineStr">
        <is>
          <t>35-44</t>
        </is>
      </c>
      <c r="F85" t="inlineStr">
        <is>
          <t>Postgraduate Diploma</t>
        </is>
      </c>
      <c r="G85" t="inlineStr">
        <is>
          <t>Commercial bank</t>
        </is>
      </c>
      <c r="H85" t="inlineStr">
        <is>
          <t>Customer Experience/Service</t>
        </is>
      </c>
      <c r="I85" t="inlineStr">
        <is>
          <t>6-10</t>
        </is>
      </c>
      <c r="J85" t="inlineStr">
        <is>
          <t>Yes</t>
        </is>
      </c>
      <c r="K85" t="n">
        <v>4</v>
      </c>
      <c r="L85" t="inlineStr">
        <is>
          <t>Yes</t>
        </is>
      </c>
      <c r="M85" t="inlineStr">
        <is>
          <t>Yes</t>
        </is>
      </c>
      <c r="N85" t="n">
        <v>4</v>
      </c>
      <c r="O85" t="n">
        <v>3</v>
      </c>
      <c r="P85" t="n">
        <v>2</v>
      </c>
      <c r="Q85" t="n">
        <v>3</v>
      </c>
      <c r="R85" t="n">
        <v>3</v>
      </c>
      <c r="S85" t="n">
        <v>4</v>
      </c>
      <c r="T85" t="n">
        <v>3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4</v>
      </c>
      <c r="AA85" t="n">
        <v>1</v>
      </c>
      <c r="AB85" t="n">
        <v>4</v>
      </c>
      <c r="AC85" t="n">
        <v>5</v>
      </c>
      <c r="AD85" t="n">
        <v>4</v>
      </c>
      <c r="AF85" t="n">
        <v>2</v>
      </c>
      <c r="AG85" t="n">
        <v>3</v>
      </c>
      <c r="AH85" t="n">
        <v>2</v>
      </c>
      <c r="AI85" t="n">
        <v>2</v>
      </c>
      <c r="AJ85" t="n">
        <v>2</v>
      </c>
      <c r="AK85" t="n">
        <v>4</v>
      </c>
      <c r="AL85" t="n">
        <v>3</v>
      </c>
      <c r="AM85" t="n">
        <v>3</v>
      </c>
      <c r="AN85" t="n">
        <v>4</v>
      </c>
      <c r="AO85" t="n">
        <v>5</v>
      </c>
      <c r="AP85" t="n">
        <v>3</v>
      </c>
      <c r="AQ85" t="n">
        <v>2</v>
      </c>
      <c r="AR85" t="n">
        <v>3</v>
      </c>
      <c r="AS85" t="n">
        <v>4</v>
      </c>
      <c r="AT85" t="n">
        <v>4</v>
      </c>
      <c r="AU85" t="n">
        <v>5</v>
      </c>
      <c r="AV85" t="n">
        <v>5</v>
      </c>
      <c r="AW85" t="n">
        <v>3</v>
      </c>
      <c r="AX85" t="n">
        <v>2</v>
      </c>
      <c r="AY85" t="n">
        <v>3</v>
      </c>
      <c r="AZ85" t="n">
        <v>3</v>
      </c>
      <c r="BA85" t="n">
        <v>3</v>
      </c>
      <c r="BB85" t="n">
        <v>4</v>
      </c>
      <c r="BC85" t="n">
        <v>4</v>
      </c>
      <c r="BD85" t="n">
        <v>2</v>
      </c>
      <c r="BE85" t="n">
        <v>5</v>
      </c>
      <c r="BF85" t="n">
        <v>5</v>
      </c>
      <c r="BG85" t="n">
        <v>4</v>
      </c>
      <c r="BH85" t="n">
        <v>5</v>
      </c>
      <c r="BI85" t="n">
        <v>4</v>
      </c>
      <c r="BJ85" t="n">
        <v>4</v>
      </c>
      <c r="BK85" t="n">
        <v>2</v>
      </c>
      <c r="BL85" t="n">
        <v>2</v>
      </c>
      <c r="BM85" t="n">
        <v>3</v>
      </c>
      <c r="BN85" t="n">
        <v>2</v>
      </c>
      <c r="BO85" t="n">
        <v>3</v>
      </c>
      <c r="BP85" t="n">
        <v>4</v>
      </c>
      <c r="BQ85" t="n">
        <v>3</v>
      </c>
      <c r="BR85" t="n">
        <v>2</v>
      </c>
      <c r="BS85" s="56">
        <f>IF(COUNT(N85:W85)&gt;=8,AVERAGE(N85:W85),"")</f>
        <v/>
      </c>
      <c r="BT85" s="56">
        <f>IF(COUNT(X85:AE85)&gt;=7,AVERAGE(X85:AE85),"")</f>
        <v/>
      </c>
      <c r="BU85" s="56">
        <f>IF(COUNT(AF85:AM85)&gt;=7,AVERAGE(AF85:AM85),"")</f>
        <v/>
      </c>
      <c r="BV85" s="56">
        <f>IF(COUNT(AN85:AV85)&gt;=8,AVERAGE(AN85:AV85),"")</f>
        <v/>
      </c>
      <c r="BW85" s="56">
        <f>IF(COUNT(AW85:BD85)&gt;=7,AVERAGE(AW85:BD85),"")</f>
        <v/>
      </c>
      <c r="BX85" s="56">
        <f>IF(COUNT(BE85:BJ85)&gt;=5,AVERAGE(BE85:BJ85),"")</f>
        <v/>
      </c>
      <c r="BY85" s="56">
        <f>IF(COUNT(BK85:BR85)&gt;=7,AVERAGE(BK85:BR85),"")</f>
        <v/>
      </c>
    </row>
    <row r="86">
      <c r="A86" t="inlineStr">
        <is>
          <t>R055</t>
        </is>
      </c>
      <c r="B86" t="inlineStr">
        <is>
          <t>Yes</t>
        </is>
      </c>
      <c r="C86" t="inlineStr">
        <is>
          <t>Yes</t>
        </is>
      </c>
      <c r="D86" t="inlineStr">
        <is>
          <t>Male</t>
        </is>
      </c>
      <c r="E86" t="inlineStr">
        <is>
          <t>35-44</t>
        </is>
      </c>
      <c r="F86" t="inlineStr">
        <is>
          <t>Bachelor/HND</t>
        </is>
      </c>
      <c r="G86" t="inlineStr">
        <is>
          <t>Microfinance bank</t>
        </is>
      </c>
      <c r="H86" t="inlineStr">
        <is>
          <t>Relationship/Marketing</t>
        </is>
      </c>
      <c r="I86" t="inlineStr">
        <is>
          <t>6-10</t>
        </is>
      </c>
      <c r="J86" t="inlineStr">
        <is>
          <t>Yes</t>
        </is>
      </c>
      <c r="K86" t="n">
        <v>2</v>
      </c>
      <c r="L86" t="inlineStr">
        <is>
          <t>Yes</t>
        </is>
      </c>
      <c r="M86" t="inlineStr">
        <is>
          <t>Yes</t>
        </is>
      </c>
      <c r="N86" t="n">
        <v>3</v>
      </c>
      <c r="O86" t="n">
        <v>4</v>
      </c>
      <c r="P86" t="n">
        <v>3</v>
      </c>
      <c r="Q86" t="n">
        <v>3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1</v>
      </c>
      <c r="X86" t="n">
        <v>2</v>
      </c>
      <c r="Y86" t="n">
        <v>1</v>
      </c>
      <c r="Z86" t="n">
        <v>3</v>
      </c>
      <c r="AA86" t="n">
        <v>2</v>
      </c>
      <c r="AB86" t="n">
        <v>2</v>
      </c>
      <c r="AC86" t="n">
        <v>2</v>
      </c>
      <c r="AD86" t="n">
        <v>2</v>
      </c>
      <c r="AE86" t="n">
        <v>3</v>
      </c>
      <c r="AF86" t="n">
        <v>2</v>
      </c>
      <c r="AG86" t="n">
        <v>1</v>
      </c>
      <c r="AH86" t="n">
        <v>2</v>
      </c>
      <c r="AI86" t="n">
        <v>3</v>
      </c>
      <c r="AJ86" t="n">
        <v>3</v>
      </c>
      <c r="AK86" t="n">
        <v>3</v>
      </c>
      <c r="AL86" t="n">
        <v>4</v>
      </c>
      <c r="AM86" t="n">
        <v>3</v>
      </c>
      <c r="AN86" t="n">
        <v>4</v>
      </c>
      <c r="AO86" t="n">
        <v>3</v>
      </c>
      <c r="AP86" t="n">
        <v>4</v>
      </c>
      <c r="AQ86" t="n">
        <v>3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3</v>
      </c>
      <c r="AY86" t="n">
        <v>3</v>
      </c>
      <c r="AZ86" t="n">
        <v>3</v>
      </c>
      <c r="BB86" t="n">
        <v>3</v>
      </c>
      <c r="BC86" t="n">
        <v>4</v>
      </c>
      <c r="BD86" t="n">
        <v>3</v>
      </c>
      <c r="BE86" t="n">
        <v>2</v>
      </c>
      <c r="BF86" t="n">
        <v>2</v>
      </c>
      <c r="BG86" t="n">
        <v>2</v>
      </c>
      <c r="BH86" t="n">
        <v>3</v>
      </c>
      <c r="BI86" t="n">
        <v>4</v>
      </c>
      <c r="BJ86" t="n">
        <v>3</v>
      </c>
      <c r="BK86" t="n">
        <v>4</v>
      </c>
      <c r="BL86" t="n">
        <v>3</v>
      </c>
      <c r="BM86" t="n">
        <v>4</v>
      </c>
      <c r="BN86" t="n">
        <v>4</v>
      </c>
      <c r="BO86" t="n">
        <v>3</v>
      </c>
      <c r="BP86" t="n">
        <v>4</v>
      </c>
      <c r="BQ86" t="n">
        <v>4</v>
      </c>
      <c r="BR86" t="n">
        <v>3</v>
      </c>
      <c r="BS86" s="56">
        <f>IF(COUNT(N86:W86)&gt;=8,AVERAGE(N86:W86),"")</f>
        <v/>
      </c>
      <c r="BT86" s="56">
        <f>IF(COUNT(X86:AE86)&gt;=7,AVERAGE(X86:AE86),"")</f>
        <v/>
      </c>
      <c r="BU86" s="56">
        <f>IF(COUNT(AF86:AM86)&gt;=7,AVERAGE(AF86:AM86),"")</f>
        <v/>
      </c>
      <c r="BV86" s="56">
        <f>IF(COUNT(AN86:AV86)&gt;=8,AVERAGE(AN86:AV86),"")</f>
        <v/>
      </c>
      <c r="BW86" s="56">
        <f>IF(COUNT(AW86:BD86)&gt;=7,AVERAGE(AW86:BD86),"")</f>
        <v/>
      </c>
      <c r="BX86" s="56">
        <f>IF(COUNT(BE86:BJ86)&gt;=5,AVERAGE(BE86:BJ86),"")</f>
        <v/>
      </c>
      <c r="BY86" s="56">
        <f>IF(COUNT(BK86:BR86)&gt;=7,AVERAGE(BK86:BR86),"")</f>
        <v/>
      </c>
    </row>
    <row r="87">
      <c r="A87" t="inlineStr">
        <is>
          <t>R056</t>
        </is>
      </c>
      <c r="B87" t="inlineStr">
        <is>
          <t>Yes</t>
        </is>
      </c>
      <c r="C87" t="inlineStr">
        <is>
          <t>Yes</t>
        </is>
      </c>
      <c r="D87" t="inlineStr">
        <is>
          <t>Female</t>
        </is>
      </c>
      <c r="E87" t="inlineStr">
        <is>
          <t>25-34</t>
        </is>
      </c>
      <c r="F87" t="inlineStr">
        <is>
          <t>Master's</t>
        </is>
      </c>
      <c r="G87" t="inlineStr">
        <is>
          <t>Commercial bank</t>
        </is>
      </c>
      <c r="H87" t="inlineStr">
        <is>
          <t>Other</t>
        </is>
      </c>
      <c r="I87" t="inlineStr">
        <is>
          <t>2-5</t>
        </is>
      </c>
      <c r="J87" t="inlineStr">
        <is>
          <t>Yes</t>
        </is>
      </c>
      <c r="K87" t="n">
        <v>3</v>
      </c>
      <c r="L87" t="inlineStr">
        <is>
          <t>Yes</t>
        </is>
      </c>
      <c r="M87" t="inlineStr">
        <is>
          <t>Yes</t>
        </is>
      </c>
      <c r="N87" t="n">
        <v>5</v>
      </c>
      <c r="O87" t="n">
        <v>4</v>
      </c>
      <c r="P87" t="n">
        <v>5</v>
      </c>
      <c r="Q87" t="n">
        <v>4</v>
      </c>
      <c r="R87" t="n">
        <v>4</v>
      </c>
      <c r="S87" t="n">
        <v>5</v>
      </c>
      <c r="T87" t="n">
        <v>3</v>
      </c>
      <c r="U87" t="n">
        <v>5</v>
      </c>
      <c r="V87" t="n">
        <v>4</v>
      </c>
      <c r="W87" t="n">
        <v>4</v>
      </c>
      <c r="X87" t="n">
        <v>4</v>
      </c>
      <c r="Y87" t="n">
        <v>3</v>
      </c>
      <c r="Z87" t="n">
        <v>5</v>
      </c>
      <c r="AA87" t="n">
        <v>3</v>
      </c>
      <c r="AB87" t="n">
        <v>4</v>
      </c>
      <c r="AC87" t="n">
        <v>5</v>
      </c>
      <c r="AD87" t="n">
        <v>4</v>
      </c>
      <c r="AE87" t="n">
        <v>4</v>
      </c>
      <c r="AF87" t="n">
        <v>4</v>
      </c>
      <c r="AG87" t="n">
        <v>4</v>
      </c>
      <c r="AH87" t="n">
        <v>2</v>
      </c>
      <c r="AI87" t="n">
        <v>4</v>
      </c>
      <c r="AJ87" t="n">
        <v>4</v>
      </c>
      <c r="AK87" t="n">
        <v>4</v>
      </c>
      <c r="AL87" t="n">
        <v>3</v>
      </c>
      <c r="AM87" t="n">
        <v>5</v>
      </c>
      <c r="AN87" t="n">
        <v>4</v>
      </c>
      <c r="AO87" t="n">
        <v>4</v>
      </c>
      <c r="AP87" t="n">
        <v>4</v>
      </c>
      <c r="AQ87" t="n">
        <v>3</v>
      </c>
      <c r="AR87" t="n">
        <v>4</v>
      </c>
      <c r="AS87" t="n">
        <v>4</v>
      </c>
      <c r="AT87" t="n">
        <v>3</v>
      </c>
      <c r="AU87" t="n">
        <v>3</v>
      </c>
      <c r="AV87" t="n">
        <v>3</v>
      </c>
      <c r="AW87" t="n">
        <v>5</v>
      </c>
      <c r="AX87" t="n">
        <v>3</v>
      </c>
      <c r="AY87" t="n">
        <v>4</v>
      </c>
      <c r="AZ87" t="n">
        <v>4</v>
      </c>
      <c r="BA87" t="n">
        <v>5</v>
      </c>
      <c r="BB87" t="n">
        <v>4</v>
      </c>
      <c r="BC87" t="n">
        <v>5</v>
      </c>
      <c r="BD87" t="n">
        <v>4</v>
      </c>
      <c r="BE87" t="n">
        <v>2</v>
      </c>
      <c r="BF87" t="n">
        <v>3</v>
      </c>
      <c r="BG87" t="n">
        <v>2</v>
      </c>
      <c r="BH87" t="n">
        <v>2</v>
      </c>
      <c r="BI87" t="n">
        <v>2</v>
      </c>
      <c r="BJ87" t="n">
        <v>3</v>
      </c>
      <c r="BK87" t="n">
        <v>3</v>
      </c>
      <c r="BL87" t="n">
        <v>2</v>
      </c>
      <c r="BM87" t="n">
        <v>3</v>
      </c>
      <c r="BN87" t="n">
        <v>3</v>
      </c>
      <c r="BO87" t="n">
        <v>4</v>
      </c>
      <c r="BP87" t="n">
        <v>4</v>
      </c>
      <c r="BQ87" t="n">
        <v>4</v>
      </c>
      <c r="BR87" t="n">
        <v>3</v>
      </c>
      <c r="BS87" s="56">
        <f>IF(COUNT(N87:W87)&gt;=8,AVERAGE(N87:W87),"")</f>
        <v/>
      </c>
      <c r="BT87" s="56">
        <f>IF(COUNT(X87:AE87)&gt;=7,AVERAGE(X87:AE87),"")</f>
        <v/>
      </c>
      <c r="BU87" s="56">
        <f>IF(COUNT(AF87:AM87)&gt;=7,AVERAGE(AF87:AM87),"")</f>
        <v/>
      </c>
      <c r="BV87" s="56">
        <f>IF(COUNT(AN87:AV87)&gt;=8,AVERAGE(AN87:AV87),"")</f>
        <v/>
      </c>
      <c r="BW87" s="56">
        <f>IF(COUNT(AW87:BD87)&gt;=7,AVERAGE(AW87:BD87),"")</f>
        <v/>
      </c>
      <c r="BX87" s="56">
        <f>IF(COUNT(BE87:BJ87)&gt;=5,AVERAGE(BE87:BJ87),"")</f>
        <v/>
      </c>
      <c r="BY87" s="56">
        <f>IF(COUNT(BK87:BR87)&gt;=7,AVERAGE(BK87:BR87),"")</f>
        <v/>
      </c>
    </row>
    <row r="88">
      <c r="A88" t="inlineStr">
        <is>
          <t>R057</t>
        </is>
      </c>
      <c r="B88" t="inlineStr">
        <is>
          <t>Yes</t>
        </is>
      </c>
      <c r="C88" t="inlineStr">
        <is>
          <t>Yes</t>
        </is>
      </c>
      <c r="D88" t="inlineStr">
        <is>
          <t>Male</t>
        </is>
      </c>
      <c r="E88" t="inlineStr">
        <is>
          <t>35-44</t>
        </is>
      </c>
      <c r="F88" t="inlineStr">
        <is>
          <t>Diploma/OND/NCE</t>
        </is>
      </c>
      <c r="G88" t="inlineStr">
        <is>
          <t>Commercial bank</t>
        </is>
      </c>
      <c r="H88" t="inlineStr">
        <is>
          <t>Relationship/Marketing</t>
        </is>
      </c>
      <c r="I88" t="inlineStr">
        <is>
          <t>Less than 2</t>
        </is>
      </c>
      <c r="J88" t="inlineStr">
        <is>
          <t>Yes</t>
        </is>
      </c>
      <c r="K88" t="n">
        <v>2</v>
      </c>
      <c r="L88" t="inlineStr">
        <is>
          <t>Yes</t>
        </is>
      </c>
      <c r="M88" t="inlineStr">
        <is>
          <t>Yes</t>
        </is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4</v>
      </c>
      <c r="T88" t="n">
        <v>3</v>
      </c>
      <c r="U88" t="n">
        <v>3</v>
      </c>
      <c r="V88" t="n">
        <v>3</v>
      </c>
      <c r="W88" t="n">
        <v>2</v>
      </c>
      <c r="Y88" t="n">
        <v>3</v>
      </c>
      <c r="Z88" t="n">
        <v>4</v>
      </c>
      <c r="AA88" t="n">
        <v>2</v>
      </c>
      <c r="AB88" t="n">
        <v>3</v>
      </c>
      <c r="AC88" t="n">
        <v>3</v>
      </c>
      <c r="AD88" t="n">
        <v>1</v>
      </c>
      <c r="AE88" t="n">
        <v>2</v>
      </c>
      <c r="AF88" t="n">
        <v>3</v>
      </c>
      <c r="AG88" t="n">
        <v>3</v>
      </c>
      <c r="AH88" t="n">
        <v>3</v>
      </c>
      <c r="AI88" t="n">
        <v>4</v>
      </c>
      <c r="AJ88" t="n">
        <v>2</v>
      </c>
      <c r="AK88" t="n">
        <v>3</v>
      </c>
      <c r="AL88" t="n">
        <v>2</v>
      </c>
      <c r="AM88" t="n">
        <v>4</v>
      </c>
      <c r="AN88" t="n">
        <v>2</v>
      </c>
      <c r="AO88" t="n">
        <v>1</v>
      </c>
      <c r="AP88" t="n">
        <v>2</v>
      </c>
      <c r="AQ88" t="n">
        <v>1</v>
      </c>
      <c r="AR88" t="n">
        <v>2</v>
      </c>
      <c r="AS88" t="n">
        <v>2</v>
      </c>
      <c r="AT88" t="n">
        <v>1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3</v>
      </c>
      <c r="BA88" t="n">
        <v>2</v>
      </c>
      <c r="BB88" t="n">
        <v>2</v>
      </c>
      <c r="BC88" t="n">
        <v>3</v>
      </c>
      <c r="BD88" t="n">
        <v>2</v>
      </c>
      <c r="BE88" t="n">
        <v>2</v>
      </c>
      <c r="BF88" t="n">
        <v>3</v>
      </c>
      <c r="BG88" t="n">
        <v>2</v>
      </c>
      <c r="BH88" t="n">
        <v>2</v>
      </c>
      <c r="BI88" t="n">
        <v>3</v>
      </c>
      <c r="BJ88" t="n">
        <v>3</v>
      </c>
      <c r="BK88" t="n">
        <v>2</v>
      </c>
      <c r="BL88" t="n">
        <v>3</v>
      </c>
      <c r="BM88" t="n">
        <v>3</v>
      </c>
      <c r="BN88" t="n">
        <v>2</v>
      </c>
      <c r="BO88" t="n">
        <v>3</v>
      </c>
      <c r="BP88" t="n">
        <v>4</v>
      </c>
      <c r="BR88" t="n">
        <v>2</v>
      </c>
      <c r="BS88" s="56">
        <f>IF(COUNT(N88:W88)&gt;=8,AVERAGE(N88:W88),"")</f>
        <v/>
      </c>
      <c r="BT88" s="56">
        <f>IF(COUNT(X88:AE88)&gt;=7,AVERAGE(X88:AE88),"")</f>
        <v/>
      </c>
      <c r="BU88" s="56">
        <f>IF(COUNT(AF88:AM88)&gt;=7,AVERAGE(AF88:AM88),"")</f>
        <v/>
      </c>
      <c r="BV88" s="56">
        <f>IF(COUNT(AN88:AV88)&gt;=8,AVERAGE(AN88:AV88),"")</f>
        <v/>
      </c>
      <c r="BW88" s="56">
        <f>IF(COUNT(AW88:BD88)&gt;=7,AVERAGE(AW88:BD88),"")</f>
        <v/>
      </c>
      <c r="BX88" s="56">
        <f>IF(COUNT(BE88:BJ88)&gt;=5,AVERAGE(BE88:BJ88),"")</f>
        <v/>
      </c>
      <c r="BY88" s="56">
        <f>IF(COUNT(BK88:BR88)&gt;=7,AVERAGE(BK88:BR88),"")</f>
        <v/>
      </c>
    </row>
    <row r="89">
      <c r="A89" t="inlineStr">
        <is>
          <t>R058</t>
        </is>
      </c>
      <c r="B89" t="inlineStr">
        <is>
          <t>Yes</t>
        </is>
      </c>
      <c r="C89" t="inlineStr">
        <is>
          <t>Yes</t>
        </is>
      </c>
      <c r="D89" t="inlineStr">
        <is>
          <t>Female</t>
        </is>
      </c>
      <c r="E89" t="inlineStr">
        <is>
          <t>55 or above</t>
        </is>
      </c>
      <c r="F89" t="inlineStr">
        <is>
          <t>Bachelor/HND</t>
        </is>
      </c>
      <c r="G89" t="inlineStr">
        <is>
          <t>Commercial bank</t>
        </is>
      </c>
      <c r="H89" t="inlineStr">
        <is>
          <t>Digital Banking/Product</t>
        </is>
      </c>
      <c r="I89" t="inlineStr">
        <is>
          <t>16 or more</t>
        </is>
      </c>
      <c r="J89" t="inlineStr">
        <is>
          <t>Yes</t>
        </is>
      </c>
      <c r="K89" t="n">
        <v>4</v>
      </c>
      <c r="L89" t="inlineStr">
        <is>
          <t>Yes</t>
        </is>
      </c>
      <c r="M89" t="inlineStr">
        <is>
          <t>Yes</t>
        </is>
      </c>
      <c r="N89" t="n">
        <v>3</v>
      </c>
      <c r="O89" t="n">
        <v>3</v>
      </c>
      <c r="P89" t="n">
        <v>3</v>
      </c>
      <c r="Q89" t="n">
        <v>2</v>
      </c>
      <c r="R89" t="n">
        <v>1</v>
      </c>
      <c r="S89" t="n">
        <v>2</v>
      </c>
      <c r="U89" t="n">
        <v>3</v>
      </c>
      <c r="V89" t="n">
        <v>2</v>
      </c>
      <c r="W89" t="n">
        <v>2</v>
      </c>
      <c r="X89" t="n">
        <v>2</v>
      </c>
      <c r="Y89" t="n">
        <v>3</v>
      </c>
      <c r="Z89" t="n">
        <v>3</v>
      </c>
      <c r="AA89" t="n">
        <v>3</v>
      </c>
      <c r="AB89" t="n">
        <v>2</v>
      </c>
      <c r="AC89" t="n">
        <v>4</v>
      </c>
      <c r="AD89" t="n">
        <v>4</v>
      </c>
      <c r="AE89" t="n">
        <v>3</v>
      </c>
      <c r="AF89" t="n">
        <v>2</v>
      </c>
      <c r="AG89" t="n">
        <v>4</v>
      </c>
      <c r="AH89" t="n">
        <v>3</v>
      </c>
      <c r="AI89" t="n">
        <v>4</v>
      </c>
      <c r="AJ89" t="n">
        <v>2</v>
      </c>
      <c r="AK89" t="n">
        <v>5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2</v>
      </c>
      <c r="AR89" t="n">
        <v>2</v>
      </c>
      <c r="AS89" t="n">
        <v>3</v>
      </c>
      <c r="AT89" t="n">
        <v>3</v>
      </c>
      <c r="AU89" t="n">
        <v>2</v>
      </c>
      <c r="AV89" t="n">
        <v>3</v>
      </c>
      <c r="AW89" t="n">
        <v>4</v>
      </c>
      <c r="AX89" t="n">
        <v>3</v>
      </c>
      <c r="AY89" t="n">
        <v>3</v>
      </c>
      <c r="AZ89" t="n">
        <v>3</v>
      </c>
      <c r="BA89" t="n">
        <v>5</v>
      </c>
      <c r="BB89" t="n">
        <v>3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3</v>
      </c>
      <c r="BO89" t="n">
        <v>4</v>
      </c>
      <c r="BP89" t="n">
        <v>4</v>
      </c>
      <c r="BQ89" t="n">
        <v>5</v>
      </c>
      <c r="BR89" t="n">
        <v>3</v>
      </c>
      <c r="BS89" s="56">
        <f>IF(COUNT(N89:W89)&gt;=8,AVERAGE(N89:W89),"")</f>
        <v/>
      </c>
      <c r="BT89" s="56">
        <f>IF(COUNT(X89:AE89)&gt;=7,AVERAGE(X89:AE89),"")</f>
        <v/>
      </c>
      <c r="BU89" s="56">
        <f>IF(COUNT(AF89:AM89)&gt;=7,AVERAGE(AF89:AM89),"")</f>
        <v/>
      </c>
      <c r="BV89" s="56">
        <f>IF(COUNT(AN89:AV89)&gt;=8,AVERAGE(AN89:AV89),"")</f>
        <v/>
      </c>
      <c r="BW89" s="56">
        <f>IF(COUNT(AW89:BD89)&gt;=7,AVERAGE(AW89:BD89),"")</f>
        <v/>
      </c>
      <c r="BX89" s="56">
        <f>IF(COUNT(BE89:BJ89)&gt;=5,AVERAGE(BE89:BJ89),"")</f>
        <v/>
      </c>
      <c r="BY89" s="56">
        <f>IF(COUNT(BK89:BR89)&gt;=7,AVERAGE(BK89:BR89),"")</f>
        <v/>
      </c>
    </row>
    <row r="90">
      <c r="A90" t="inlineStr">
        <is>
          <t>R059</t>
        </is>
      </c>
      <c r="B90" t="inlineStr">
        <is>
          <t>Yes</t>
        </is>
      </c>
      <c r="C90" t="inlineStr">
        <is>
          <t>Yes</t>
        </is>
      </c>
      <c r="D90" t="inlineStr">
        <is>
          <t>Male</t>
        </is>
      </c>
      <c r="E90" t="inlineStr">
        <is>
          <t>25-34</t>
        </is>
      </c>
      <c r="F90" t="inlineStr">
        <is>
          <t>Bachelor/HND</t>
        </is>
      </c>
      <c r="G90" t="inlineStr">
        <is>
          <t>Commercial bank</t>
        </is>
      </c>
      <c r="H90" t="inlineStr">
        <is>
          <t>Data/Analytics/AI</t>
        </is>
      </c>
      <c r="I90" t="inlineStr">
        <is>
          <t>2-5</t>
        </is>
      </c>
      <c r="J90" t="inlineStr">
        <is>
          <t>Yes</t>
        </is>
      </c>
      <c r="K90" t="n">
        <v>4</v>
      </c>
      <c r="L90" t="inlineStr">
        <is>
          <t>Yes</t>
        </is>
      </c>
      <c r="M90" t="inlineStr">
        <is>
          <t>Yes</t>
        </is>
      </c>
      <c r="N90" t="n">
        <v>4</v>
      </c>
      <c r="O90" t="n">
        <v>3</v>
      </c>
      <c r="P90" t="n">
        <v>4</v>
      </c>
      <c r="Q90" t="n">
        <v>4</v>
      </c>
      <c r="R90" t="n">
        <v>4</v>
      </c>
      <c r="S90" t="n">
        <v>3</v>
      </c>
      <c r="T90" t="n">
        <v>3</v>
      </c>
      <c r="U90" t="n">
        <v>4</v>
      </c>
      <c r="V90" t="n">
        <v>5</v>
      </c>
      <c r="W90" t="n">
        <v>3</v>
      </c>
      <c r="X90" t="n">
        <v>4</v>
      </c>
      <c r="Y90" t="n">
        <v>2</v>
      </c>
      <c r="Z90" t="n">
        <v>3</v>
      </c>
      <c r="AA90" t="n">
        <v>2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5</v>
      </c>
      <c r="AH90" t="n">
        <v>5</v>
      </c>
      <c r="AI90" t="n">
        <v>5</v>
      </c>
      <c r="AJ90" t="n">
        <v>4</v>
      </c>
      <c r="AK90" t="n">
        <v>4</v>
      </c>
      <c r="AL90" t="n">
        <v>4</v>
      </c>
      <c r="AM90" t="n">
        <v>4</v>
      </c>
      <c r="AN90" t="n">
        <v>3</v>
      </c>
      <c r="AO90" t="n">
        <v>2</v>
      </c>
      <c r="AP90" t="n">
        <v>4</v>
      </c>
      <c r="AQ90" t="n">
        <v>2</v>
      </c>
      <c r="AR90" t="n">
        <v>3</v>
      </c>
      <c r="AS90" t="n">
        <v>2</v>
      </c>
      <c r="AT90" t="n">
        <v>2</v>
      </c>
      <c r="AU90" t="n">
        <v>3</v>
      </c>
      <c r="AV90" t="n">
        <v>4</v>
      </c>
      <c r="AW90" t="n">
        <v>5</v>
      </c>
      <c r="AX90" t="n">
        <v>4</v>
      </c>
      <c r="AY90" t="n">
        <v>4</v>
      </c>
      <c r="AZ90" t="n">
        <v>4</v>
      </c>
      <c r="BA90" t="n">
        <v>4</v>
      </c>
      <c r="BB90" t="n">
        <v>3</v>
      </c>
      <c r="BC90" t="n">
        <v>5</v>
      </c>
      <c r="BD90" t="n">
        <v>4</v>
      </c>
      <c r="BE90" t="n">
        <v>4</v>
      </c>
      <c r="BF90" t="n">
        <v>5</v>
      </c>
      <c r="BG90" t="n">
        <v>5</v>
      </c>
      <c r="BH90" t="n">
        <v>4</v>
      </c>
      <c r="BI90" t="n">
        <v>5</v>
      </c>
      <c r="BJ90" t="n">
        <v>4</v>
      </c>
      <c r="BK90" t="n">
        <v>3</v>
      </c>
      <c r="BL90" t="n">
        <v>2</v>
      </c>
      <c r="BM90" t="n">
        <v>2</v>
      </c>
      <c r="BN90" t="n">
        <v>3</v>
      </c>
      <c r="BO90" t="n">
        <v>3</v>
      </c>
      <c r="BP90" t="n">
        <v>1</v>
      </c>
      <c r="BQ90" t="n">
        <v>4</v>
      </c>
      <c r="BR90" t="n">
        <v>3</v>
      </c>
      <c r="BS90" s="56">
        <f>IF(COUNT(N90:W90)&gt;=8,AVERAGE(N90:W90),"")</f>
        <v/>
      </c>
      <c r="BT90" s="56">
        <f>IF(COUNT(X90:AE90)&gt;=7,AVERAGE(X90:AE90),"")</f>
        <v/>
      </c>
      <c r="BU90" s="56">
        <f>IF(COUNT(AF90:AM90)&gt;=7,AVERAGE(AF90:AM90),"")</f>
        <v/>
      </c>
      <c r="BV90" s="56">
        <f>IF(COUNT(AN90:AV90)&gt;=8,AVERAGE(AN90:AV90),"")</f>
        <v/>
      </c>
      <c r="BW90" s="56">
        <f>IF(COUNT(AW90:BD90)&gt;=7,AVERAGE(AW90:BD90),"")</f>
        <v/>
      </c>
      <c r="BX90" s="56">
        <f>IF(COUNT(BE90:BJ90)&gt;=5,AVERAGE(BE90:BJ90),"")</f>
        <v/>
      </c>
      <c r="BY90" s="56">
        <f>IF(COUNT(BK90:BR90)&gt;=7,AVERAGE(BK90:BR90),"")</f>
        <v/>
      </c>
    </row>
    <row r="91">
      <c r="A91" t="inlineStr">
        <is>
          <t>R060</t>
        </is>
      </c>
      <c r="B91" t="inlineStr">
        <is>
          <t>Yes</t>
        </is>
      </c>
      <c r="C91" t="inlineStr">
        <is>
          <t>Yes</t>
        </is>
      </c>
      <c r="D91" t="inlineStr">
        <is>
          <t>Male</t>
        </is>
      </c>
      <c r="E91" t="inlineStr">
        <is>
          <t>45-54</t>
        </is>
      </c>
      <c r="F91" t="inlineStr">
        <is>
          <t>Bachelor/HND</t>
        </is>
      </c>
      <c r="G91" t="inlineStr">
        <is>
          <t>Commercial bank</t>
        </is>
      </c>
      <c r="H91" t="inlineStr">
        <is>
          <t>Digital Banking/Product</t>
        </is>
      </c>
      <c r="I91" t="inlineStr">
        <is>
          <t>6-10</t>
        </is>
      </c>
      <c r="J91" t="inlineStr">
        <is>
          <t>Yes</t>
        </is>
      </c>
      <c r="K91" t="n">
        <v>4</v>
      </c>
      <c r="L91" t="inlineStr">
        <is>
          <t>Yes</t>
        </is>
      </c>
      <c r="M91" t="inlineStr">
        <is>
          <t>Yes</t>
        </is>
      </c>
      <c r="N91" t="n">
        <v>3</v>
      </c>
      <c r="O91" t="n">
        <v>3</v>
      </c>
      <c r="P91" t="n">
        <v>3</v>
      </c>
      <c r="Q91" t="n">
        <v>5</v>
      </c>
      <c r="R91" t="n">
        <v>4</v>
      </c>
      <c r="S91" t="n">
        <v>3</v>
      </c>
      <c r="T91" t="n">
        <v>4</v>
      </c>
      <c r="U91" t="n">
        <v>3</v>
      </c>
      <c r="V91" t="n">
        <v>4</v>
      </c>
      <c r="W91" t="n">
        <v>4</v>
      </c>
      <c r="X91" t="n">
        <v>5</v>
      </c>
      <c r="Y91" t="n">
        <v>3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4</v>
      </c>
      <c r="AI91" t="n">
        <v>5</v>
      </c>
      <c r="AJ91" t="n">
        <v>3</v>
      </c>
      <c r="AK91" t="n">
        <v>4</v>
      </c>
      <c r="AL91" t="n">
        <v>4</v>
      </c>
      <c r="AM91" t="n">
        <v>3</v>
      </c>
      <c r="AN91" t="n">
        <v>3</v>
      </c>
      <c r="AO91" t="n">
        <v>3</v>
      </c>
      <c r="AP91" t="n">
        <v>3</v>
      </c>
      <c r="AQ91" t="n">
        <v>2</v>
      </c>
      <c r="AR91" t="n">
        <v>3</v>
      </c>
      <c r="AS91" t="n">
        <v>3</v>
      </c>
      <c r="AT91" t="n">
        <v>4</v>
      </c>
      <c r="AU91" t="n">
        <v>4</v>
      </c>
      <c r="AV91" t="n">
        <v>3</v>
      </c>
      <c r="AW91" t="n">
        <v>5</v>
      </c>
      <c r="AX91" t="n">
        <v>4</v>
      </c>
      <c r="AY91" t="n">
        <v>4</v>
      </c>
      <c r="AZ91" t="n">
        <v>5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3</v>
      </c>
      <c r="BG91" t="n">
        <v>2</v>
      </c>
      <c r="BH91" t="n">
        <v>4</v>
      </c>
      <c r="BI91" t="n">
        <v>3</v>
      </c>
      <c r="BJ91" t="n">
        <v>4</v>
      </c>
      <c r="BK91" t="n">
        <v>2</v>
      </c>
      <c r="BL91" t="n">
        <v>3</v>
      </c>
      <c r="BM91" t="n">
        <v>4</v>
      </c>
      <c r="BN91" t="n">
        <v>3</v>
      </c>
      <c r="BO91" t="n">
        <v>3</v>
      </c>
      <c r="BP91" t="n">
        <v>4</v>
      </c>
      <c r="BQ91" t="n">
        <v>4</v>
      </c>
      <c r="BR91" t="n">
        <v>3</v>
      </c>
      <c r="BS91" s="56">
        <f>IF(COUNT(N91:W91)&gt;=8,AVERAGE(N91:W91),"")</f>
        <v/>
      </c>
      <c r="BT91" s="56">
        <f>IF(COUNT(X91:AE91)&gt;=7,AVERAGE(X91:AE91),"")</f>
        <v/>
      </c>
      <c r="BU91" s="56">
        <f>IF(COUNT(AF91:AM91)&gt;=7,AVERAGE(AF91:AM91),"")</f>
        <v/>
      </c>
      <c r="BV91" s="56">
        <f>IF(COUNT(AN91:AV91)&gt;=8,AVERAGE(AN91:AV91),"")</f>
        <v/>
      </c>
      <c r="BW91" s="56">
        <f>IF(COUNT(AW91:BD91)&gt;=7,AVERAGE(AW91:BD91),"")</f>
        <v/>
      </c>
      <c r="BX91" s="56">
        <f>IF(COUNT(BE91:BJ91)&gt;=5,AVERAGE(BE91:BJ91),"")</f>
        <v/>
      </c>
      <c r="BY91" s="56">
        <f>IF(COUNT(BK91:BR91)&gt;=7,AVERAGE(BK91:BR91),"")</f>
        <v/>
      </c>
    </row>
    <row r="92">
      <c r="A92" t="inlineStr">
        <is>
          <t>R061</t>
        </is>
      </c>
      <c r="B92" t="inlineStr">
        <is>
          <t>Yes</t>
        </is>
      </c>
      <c r="C92" t="inlineStr">
        <is>
          <t>Yes</t>
        </is>
      </c>
      <c r="D92" t="inlineStr">
        <is>
          <t>Male</t>
        </is>
      </c>
      <c r="E92" t="inlineStr">
        <is>
          <t>25-34</t>
        </is>
      </c>
      <c r="F92" t="inlineStr">
        <is>
          <t>Bachelor/HND</t>
        </is>
      </c>
      <c r="G92" t="inlineStr">
        <is>
          <t>Digital bank/neobank</t>
        </is>
      </c>
      <c r="H92" t="inlineStr">
        <is>
          <t>Data/Analytics/AI</t>
        </is>
      </c>
      <c r="I92" t="inlineStr">
        <is>
          <t>2-5</t>
        </is>
      </c>
      <c r="J92" t="inlineStr">
        <is>
          <t>Yes</t>
        </is>
      </c>
      <c r="K92" t="n">
        <v>1</v>
      </c>
      <c r="L92" t="inlineStr">
        <is>
          <t>No</t>
        </is>
      </c>
      <c r="M92" t="inlineStr">
        <is>
          <t>Yes</t>
        </is>
      </c>
      <c r="N92" t="n">
        <v>4</v>
      </c>
      <c r="O92" t="n">
        <v>3</v>
      </c>
      <c r="P92" t="n">
        <v>4</v>
      </c>
      <c r="R92" t="n">
        <v>3</v>
      </c>
      <c r="S92" t="n">
        <v>2</v>
      </c>
      <c r="T92" t="n">
        <v>2</v>
      </c>
      <c r="U92" t="n">
        <v>3</v>
      </c>
      <c r="V92" t="n">
        <v>3</v>
      </c>
      <c r="W92" t="n">
        <v>3</v>
      </c>
      <c r="X92" t="n">
        <v>4</v>
      </c>
      <c r="Y92" t="n">
        <v>4</v>
      </c>
      <c r="Z92" t="n">
        <v>4</v>
      </c>
      <c r="AA92" t="n">
        <v>2</v>
      </c>
      <c r="AB92" t="n">
        <v>3</v>
      </c>
      <c r="AC92" t="n">
        <v>3</v>
      </c>
      <c r="AE92" t="n">
        <v>3</v>
      </c>
      <c r="AF92" t="n">
        <v>4</v>
      </c>
      <c r="AG92" t="n">
        <v>3</v>
      </c>
      <c r="AH92" t="n">
        <v>4</v>
      </c>
      <c r="AI92" t="n">
        <v>3</v>
      </c>
      <c r="AJ92" t="n">
        <v>3</v>
      </c>
      <c r="AK92" t="n">
        <v>4</v>
      </c>
      <c r="AL92" t="n">
        <v>3</v>
      </c>
      <c r="AM92" t="n">
        <v>4</v>
      </c>
      <c r="AN92" t="n">
        <v>4</v>
      </c>
      <c r="AO92" t="n">
        <v>3</v>
      </c>
      <c r="AP92" t="n">
        <v>3</v>
      </c>
      <c r="AQ92" t="n">
        <v>2</v>
      </c>
      <c r="AR92" t="n">
        <v>4</v>
      </c>
      <c r="AS92" t="n">
        <v>4</v>
      </c>
      <c r="AT92" t="n">
        <v>3</v>
      </c>
      <c r="AU92" t="n">
        <v>3</v>
      </c>
      <c r="AV92" t="n">
        <v>4</v>
      </c>
      <c r="AW92" t="n">
        <v>5</v>
      </c>
      <c r="AX92" t="n">
        <v>4</v>
      </c>
      <c r="AY92" t="n">
        <v>5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2</v>
      </c>
      <c r="BF92" t="n">
        <v>3</v>
      </c>
      <c r="BG92" t="n">
        <v>2</v>
      </c>
      <c r="BH92" t="n">
        <v>3</v>
      </c>
      <c r="BI92" t="n">
        <v>4</v>
      </c>
      <c r="BJ92" t="n">
        <v>3</v>
      </c>
      <c r="BK92" t="n">
        <v>3</v>
      </c>
      <c r="BL92" t="n">
        <v>3</v>
      </c>
      <c r="BM92" t="n">
        <v>4</v>
      </c>
      <c r="BN92" t="n">
        <v>2</v>
      </c>
      <c r="BO92" t="n">
        <v>4</v>
      </c>
      <c r="BP92" t="n">
        <v>3</v>
      </c>
      <c r="BQ92" t="n">
        <v>2</v>
      </c>
      <c r="BR92" t="n">
        <v>2</v>
      </c>
      <c r="BS92" s="56">
        <f>IF(COUNT(N92:W92)&gt;=8,AVERAGE(N92:W92),"")</f>
        <v/>
      </c>
      <c r="BT92" s="56">
        <f>IF(COUNT(X92:AE92)&gt;=7,AVERAGE(X92:AE92),"")</f>
        <v/>
      </c>
      <c r="BU92" s="56">
        <f>IF(COUNT(AF92:AM92)&gt;=7,AVERAGE(AF92:AM92),"")</f>
        <v/>
      </c>
      <c r="BV92" s="56">
        <f>IF(COUNT(AN92:AV92)&gt;=8,AVERAGE(AN92:AV92),"")</f>
        <v/>
      </c>
      <c r="BW92" s="56">
        <f>IF(COUNT(AW92:BD92)&gt;=7,AVERAGE(AW92:BD92),"")</f>
        <v/>
      </c>
      <c r="BX92" s="56">
        <f>IF(COUNT(BE92:BJ92)&gt;=5,AVERAGE(BE92:BJ92),"")</f>
        <v/>
      </c>
      <c r="BY92" s="56">
        <f>IF(COUNT(BK92:BR92)&gt;=7,AVERAGE(BK92:BR92),"")</f>
        <v/>
      </c>
    </row>
    <row r="93">
      <c r="A93" t="inlineStr">
        <is>
          <t>R062</t>
        </is>
      </c>
      <c r="B93" t="inlineStr">
        <is>
          <t>Yes</t>
        </is>
      </c>
      <c r="C93" t="inlineStr">
        <is>
          <t>Yes</t>
        </is>
      </c>
      <c r="D93" t="inlineStr">
        <is>
          <t>Female</t>
        </is>
      </c>
      <c r="E93" t="inlineStr">
        <is>
          <t>25-34</t>
        </is>
      </c>
      <c r="F93" t="inlineStr">
        <is>
          <t>Bachelor/HND</t>
        </is>
      </c>
      <c r="G93" t="inlineStr">
        <is>
          <t>Commercial bank</t>
        </is>
      </c>
      <c r="H93" t="inlineStr">
        <is>
          <t>Customer Experience/Service</t>
        </is>
      </c>
      <c r="I93" t="inlineStr">
        <is>
          <t>2-5</t>
        </is>
      </c>
      <c r="J93" t="inlineStr">
        <is>
          <t>Yes</t>
        </is>
      </c>
      <c r="K93" t="n">
        <v>1</v>
      </c>
      <c r="L93" t="inlineStr">
        <is>
          <t>Yes</t>
        </is>
      </c>
      <c r="M93" t="inlineStr">
        <is>
          <t>Yes</t>
        </is>
      </c>
      <c r="N93" t="n">
        <v>2</v>
      </c>
      <c r="O93" t="n">
        <v>3</v>
      </c>
      <c r="P93" t="n">
        <v>3</v>
      </c>
      <c r="Q93" t="n">
        <v>3</v>
      </c>
      <c r="R93" t="n">
        <v>2</v>
      </c>
      <c r="S93" t="n">
        <v>4</v>
      </c>
      <c r="T93" t="n">
        <v>3</v>
      </c>
      <c r="U93" t="n">
        <v>3</v>
      </c>
      <c r="V93" t="n">
        <v>3</v>
      </c>
      <c r="W93" t="n">
        <v>2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2</v>
      </c>
      <c r="AL93" t="n">
        <v>1</v>
      </c>
      <c r="AM93" t="n">
        <v>1</v>
      </c>
      <c r="AN93" t="n">
        <v>2</v>
      </c>
      <c r="AO93" t="n">
        <v>1</v>
      </c>
      <c r="AP93" t="n">
        <v>1</v>
      </c>
      <c r="AR93" t="n">
        <v>1</v>
      </c>
      <c r="AS93" t="n">
        <v>2</v>
      </c>
      <c r="AT93" t="n">
        <v>1</v>
      </c>
      <c r="AU93" t="n">
        <v>3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3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4</v>
      </c>
      <c r="BL93" t="n">
        <v>3</v>
      </c>
      <c r="BM93" t="n">
        <v>4</v>
      </c>
      <c r="BN93" t="n">
        <v>4</v>
      </c>
      <c r="BO93" t="n">
        <v>3</v>
      </c>
      <c r="BP93" t="n">
        <v>3</v>
      </c>
      <c r="BQ93" t="n">
        <v>4</v>
      </c>
      <c r="BR93" t="n">
        <v>3</v>
      </c>
      <c r="BS93" s="56">
        <f>IF(COUNT(N93:W93)&gt;=8,AVERAGE(N93:W93),"")</f>
        <v/>
      </c>
      <c r="BT93" s="56">
        <f>IF(COUNT(X93:AE93)&gt;=7,AVERAGE(X93:AE93),"")</f>
        <v/>
      </c>
      <c r="BU93" s="56">
        <f>IF(COUNT(AF93:AM93)&gt;=7,AVERAGE(AF93:AM93),"")</f>
        <v/>
      </c>
      <c r="BV93" s="56">
        <f>IF(COUNT(AN93:AV93)&gt;=8,AVERAGE(AN93:AV93),"")</f>
        <v/>
      </c>
      <c r="BW93" s="56">
        <f>IF(COUNT(AW93:BD93)&gt;=7,AVERAGE(AW93:BD93),"")</f>
        <v/>
      </c>
      <c r="BX93" s="56">
        <f>IF(COUNT(BE93:BJ93)&gt;=5,AVERAGE(BE93:BJ93),"")</f>
        <v/>
      </c>
      <c r="BY93" s="56">
        <f>IF(COUNT(BK93:BR93)&gt;=7,AVERAGE(BK93:BR93),"")</f>
        <v/>
      </c>
    </row>
    <row r="94">
      <c r="A94" t="inlineStr">
        <is>
          <t>R063</t>
        </is>
      </c>
      <c r="B94" t="inlineStr">
        <is>
          <t>Yes</t>
        </is>
      </c>
      <c r="C94" t="inlineStr">
        <is>
          <t>Yes</t>
        </is>
      </c>
      <c r="D94" t="inlineStr">
        <is>
          <t>Female</t>
        </is>
      </c>
      <c r="E94" t="inlineStr">
        <is>
          <t>35-44</t>
        </is>
      </c>
      <c r="F94" t="inlineStr">
        <is>
          <t>Bachelor/HND</t>
        </is>
      </c>
      <c r="G94" t="inlineStr">
        <is>
          <t>Microfinance bank</t>
        </is>
      </c>
      <c r="H94" t="inlineStr">
        <is>
          <t>Customer Experience/Service</t>
        </is>
      </c>
      <c r="I94" t="inlineStr">
        <is>
          <t>2-5</t>
        </is>
      </c>
      <c r="J94" t="inlineStr">
        <is>
          <t>Yes</t>
        </is>
      </c>
      <c r="K94" t="n">
        <v>2</v>
      </c>
      <c r="L94" t="inlineStr">
        <is>
          <t>Yes</t>
        </is>
      </c>
      <c r="M94" t="inlineStr">
        <is>
          <t>Yes</t>
        </is>
      </c>
      <c r="N94" t="n">
        <v>3</v>
      </c>
      <c r="O94" t="n">
        <v>2</v>
      </c>
      <c r="P94" t="n">
        <v>4</v>
      </c>
      <c r="Q94" t="n">
        <v>2</v>
      </c>
      <c r="R94" t="n">
        <v>2</v>
      </c>
      <c r="S94" t="n">
        <v>4</v>
      </c>
      <c r="T94" t="n">
        <v>4</v>
      </c>
      <c r="U94" t="n">
        <v>4</v>
      </c>
      <c r="V94" t="n">
        <v>3</v>
      </c>
      <c r="W94" t="n">
        <v>3</v>
      </c>
      <c r="X94" t="n">
        <v>3</v>
      </c>
      <c r="Y94" t="n">
        <v>3</v>
      </c>
      <c r="Z94" t="n">
        <v>4</v>
      </c>
      <c r="AA94" t="n">
        <v>3</v>
      </c>
      <c r="AB94" t="n">
        <v>2</v>
      </c>
      <c r="AC94" t="n">
        <v>5</v>
      </c>
      <c r="AD94" t="n">
        <v>4</v>
      </c>
      <c r="AE94" t="n">
        <v>4</v>
      </c>
      <c r="AF94" t="n">
        <v>2</v>
      </c>
      <c r="AG94" t="n">
        <v>3</v>
      </c>
      <c r="AH94" t="n">
        <v>3</v>
      </c>
      <c r="AI94" t="n">
        <v>4</v>
      </c>
      <c r="AJ94" t="n">
        <v>3</v>
      </c>
      <c r="AK94" t="n">
        <v>4</v>
      </c>
      <c r="AL94" t="n">
        <v>3</v>
      </c>
      <c r="AM94" t="n">
        <v>3</v>
      </c>
      <c r="AN94" t="n">
        <v>4</v>
      </c>
      <c r="AO94" t="n">
        <v>4</v>
      </c>
      <c r="AP94" t="n">
        <v>3</v>
      </c>
      <c r="AQ94" t="n">
        <v>3</v>
      </c>
      <c r="AR94" t="n">
        <v>3</v>
      </c>
      <c r="AS94" t="n">
        <v>3</v>
      </c>
      <c r="AT94" t="n">
        <v>4</v>
      </c>
      <c r="AU94" t="n">
        <v>4</v>
      </c>
      <c r="AV94" t="n">
        <v>4</v>
      </c>
      <c r="AW94" t="n">
        <v>4</v>
      </c>
      <c r="AX94" t="n">
        <v>3</v>
      </c>
      <c r="AY94" t="n">
        <v>3</v>
      </c>
      <c r="AZ94" t="n">
        <v>3</v>
      </c>
      <c r="BA94" t="n">
        <v>3</v>
      </c>
      <c r="BB94" t="n">
        <v>4</v>
      </c>
      <c r="BC94" t="n">
        <v>4</v>
      </c>
      <c r="BD94" t="n">
        <v>3</v>
      </c>
      <c r="BE94" t="n">
        <v>2</v>
      </c>
      <c r="BF94" t="n">
        <v>4</v>
      </c>
      <c r="BG94" t="n">
        <v>2</v>
      </c>
      <c r="BH94" t="n">
        <v>4</v>
      </c>
      <c r="BI94" t="n">
        <v>3</v>
      </c>
      <c r="BJ94" t="n">
        <v>2</v>
      </c>
      <c r="BK94" t="n">
        <v>2</v>
      </c>
      <c r="BL94" t="n">
        <v>2</v>
      </c>
      <c r="BM94" t="n">
        <v>2</v>
      </c>
      <c r="BN94" t="n">
        <v>3</v>
      </c>
      <c r="BO94" t="n">
        <v>3</v>
      </c>
      <c r="BP94" t="n">
        <v>3</v>
      </c>
      <c r="BR94" t="n">
        <v>3</v>
      </c>
      <c r="BS94" s="56">
        <f>IF(COUNT(N94:W94)&gt;=8,AVERAGE(N94:W94),"")</f>
        <v/>
      </c>
      <c r="BT94" s="56">
        <f>IF(COUNT(X94:AE94)&gt;=7,AVERAGE(X94:AE94),"")</f>
        <v/>
      </c>
      <c r="BU94" s="56">
        <f>IF(COUNT(AF94:AM94)&gt;=7,AVERAGE(AF94:AM94),"")</f>
        <v/>
      </c>
      <c r="BV94" s="56">
        <f>IF(COUNT(AN94:AV94)&gt;=8,AVERAGE(AN94:AV94),"")</f>
        <v/>
      </c>
      <c r="BW94" s="56">
        <f>IF(COUNT(AW94:BD94)&gt;=7,AVERAGE(AW94:BD94),"")</f>
        <v/>
      </c>
      <c r="BX94" s="56">
        <f>IF(COUNT(BE94:BJ94)&gt;=5,AVERAGE(BE94:BJ94),"")</f>
        <v/>
      </c>
      <c r="BY94" s="56">
        <f>IF(COUNT(BK94:BR94)&gt;=7,AVERAGE(BK94:BR94),"")</f>
        <v/>
      </c>
    </row>
    <row r="95">
      <c r="A95" t="inlineStr">
        <is>
          <t>R064</t>
        </is>
      </c>
      <c r="B95" t="inlineStr">
        <is>
          <t>Yes</t>
        </is>
      </c>
      <c r="C95" t="inlineStr">
        <is>
          <t>Yes</t>
        </is>
      </c>
      <c r="D95" t="inlineStr">
        <is>
          <t>Male</t>
        </is>
      </c>
      <c r="E95" t="inlineStr">
        <is>
          <t>35-44</t>
        </is>
      </c>
      <c r="F95" t="inlineStr">
        <is>
          <t>Master's</t>
        </is>
      </c>
      <c r="G95" t="inlineStr">
        <is>
          <t>Insurance/investment/other licensed financial institution</t>
        </is>
      </c>
      <c r="H95" t="inlineStr">
        <is>
          <t>Customer Experience/Service</t>
        </is>
      </c>
      <c r="I95" t="inlineStr">
        <is>
          <t>16 or more</t>
        </is>
      </c>
      <c r="J95" t="inlineStr">
        <is>
          <t>Yes</t>
        </is>
      </c>
      <c r="K95" t="n">
        <v>2</v>
      </c>
      <c r="L95" t="inlineStr">
        <is>
          <t>Do not know</t>
        </is>
      </c>
      <c r="M95" t="inlineStr">
        <is>
          <t>Yes</t>
        </is>
      </c>
      <c r="N95" t="n">
        <v>1</v>
      </c>
      <c r="O95" t="n">
        <v>2</v>
      </c>
      <c r="P95" t="n">
        <v>1</v>
      </c>
      <c r="Q95" t="n">
        <v>1</v>
      </c>
      <c r="R95" t="n">
        <v>1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4</v>
      </c>
      <c r="Y95" t="n">
        <v>3</v>
      </c>
      <c r="Z95" t="n">
        <v>3</v>
      </c>
      <c r="AA95" t="n">
        <v>4</v>
      </c>
      <c r="AB95" t="n">
        <v>4</v>
      </c>
      <c r="AC95" t="n">
        <v>4</v>
      </c>
      <c r="AD95" t="n">
        <v>3</v>
      </c>
      <c r="AE95" t="n">
        <v>3</v>
      </c>
      <c r="AF95" t="n">
        <v>2</v>
      </c>
      <c r="AH95" t="n">
        <v>3</v>
      </c>
      <c r="AI95" t="n">
        <v>4</v>
      </c>
      <c r="AJ95" t="n">
        <v>2</v>
      </c>
      <c r="AK95" t="n">
        <v>3</v>
      </c>
      <c r="AL95" t="n">
        <v>4</v>
      </c>
      <c r="AM95" t="n">
        <v>3</v>
      </c>
      <c r="AN95" t="n">
        <v>2</v>
      </c>
      <c r="AO95" t="n">
        <v>3</v>
      </c>
      <c r="AP95" t="n">
        <v>2</v>
      </c>
      <c r="AQ95" t="n">
        <v>2</v>
      </c>
      <c r="AR95" t="n">
        <v>3</v>
      </c>
      <c r="AS95" t="n">
        <v>2</v>
      </c>
      <c r="AT95" t="n">
        <v>2</v>
      </c>
      <c r="AU95" t="n">
        <v>2</v>
      </c>
      <c r="AV95" t="n">
        <v>3</v>
      </c>
      <c r="AW95" t="n">
        <v>4</v>
      </c>
      <c r="AX95" t="n">
        <v>2</v>
      </c>
      <c r="AY95" t="n">
        <v>3</v>
      </c>
      <c r="AZ95" t="n">
        <v>2</v>
      </c>
      <c r="BA95" t="n">
        <v>4</v>
      </c>
      <c r="BB95" t="n">
        <v>2</v>
      </c>
      <c r="BC95" t="n">
        <v>2</v>
      </c>
      <c r="BD95" t="n">
        <v>3</v>
      </c>
      <c r="BE95" t="n">
        <v>2</v>
      </c>
      <c r="BF95" t="n">
        <v>3</v>
      </c>
      <c r="BG95" t="n">
        <v>2</v>
      </c>
      <c r="BH95" t="n">
        <v>3</v>
      </c>
      <c r="BI95" t="n">
        <v>4</v>
      </c>
      <c r="BJ95" t="n">
        <v>2</v>
      </c>
      <c r="BK95" t="n">
        <v>3</v>
      </c>
      <c r="BL95" t="n">
        <v>2</v>
      </c>
      <c r="BM95" t="n">
        <v>3</v>
      </c>
      <c r="BN95" t="n">
        <v>3</v>
      </c>
      <c r="BO95" t="n">
        <v>4</v>
      </c>
      <c r="BP95" t="n">
        <v>3</v>
      </c>
      <c r="BQ95" t="n">
        <v>3</v>
      </c>
      <c r="BR95" t="n">
        <v>2</v>
      </c>
      <c r="BS95" s="56">
        <f>IF(COUNT(N95:W95)&gt;=8,AVERAGE(N95:W95),"")</f>
        <v/>
      </c>
      <c r="BT95" s="56">
        <f>IF(COUNT(X95:AE95)&gt;=7,AVERAGE(X95:AE95),"")</f>
        <v/>
      </c>
      <c r="BU95" s="56">
        <f>IF(COUNT(AF95:AM95)&gt;=7,AVERAGE(AF95:AM95),"")</f>
        <v/>
      </c>
      <c r="BV95" s="56">
        <f>IF(COUNT(AN95:AV95)&gt;=8,AVERAGE(AN95:AV95),"")</f>
        <v/>
      </c>
      <c r="BW95" s="56">
        <f>IF(COUNT(AW95:BD95)&gt;=7,AVERAGE(AW95:BD95),"")</f>
        <v/>
      </c>
      <c r="BX95" s="56">
        <f>IF(COUNT(BE95:BJ95)&gt;=5,AVERAGE(BE95:BJ95),"")</f>
        <v/>
      </c>
      <c r="BY95" s="56">
        <f>IF(COUNT(BK95:BR95)&gt;=7,AVERAGE(BK95:BR95),"")</f>
        <v/>
      </c>
    </row>
    <row r="96">
      <c r="A96" t="inlineStr">
        <is>
          <t>R065</t>
        </is>
      </c>
      <c r="B96" t="inlineStr">
        <is>
          <t>Yes</t>
        </is>
      </c>
      <c r="C96" t="inlineStr">
        <is>
          <t>Yes</t>
        </is>
      </c>
      <c r="D96" t="inlineStr">
        <is>
          <t>Female</t>
        </is>
      </c>
      <c r="E96" t="inlineStr">
        <is>
          <t>35-44</t>
        </is>
      </c>
      <c r="F96" t="inlineStr">
        <is>
          <t>Diploma/OND/NCE</t>
        </is>
      </c>
      <c r="G96" t="inlineStr">
        <is>
          <t>Commercial bank</t>
        </is>
      </c>
      <c r="H96" t="inlineStr">
        <is>
          <t>IT/Technology</t>
        </is>
      </c>
      <c r="I96" t="inlineStr">
        <is>
          <t>2-5</t>
        </is>
      </c>
      <c r="J96" t="inlineStr">
        <is>
          <t>Yes</t>
        </is>
      </c>
      <c r="K96" t="n">
        <v>1</v>
      </c>
      <c r="L96" t="inlineStr">
        <is>
          <t>No</t>
        </is>
      </c>
      <c r="M96" t="inlineStr">
        <is>
          <t>Yes</t>
        </is>
      </c>
      <c r="N96" t="n">
        <v>3</v>
      </c>
      <c r="O96" t="n">
        <v>3</v>
      </c>
      <c r="P96" t="n">
        <v>5</v>
      </c>
      <c r="Q96" t="n">
        <v>4</v>
      </c>
      <c r="R96" t="n">
        <v>4</v>
      </c>
      <c r="S96" t="n">
        <v>4</v>
      </c>
      <c r="T96" t="n">
        <v>3</v>
      </c>
      <c r="U96" t="n">
        <v>4</v>
      </c>
      <c r="W96" t="n">
        <v>2</v>
      </c>
      <c r="X96" t="n">
        <v>3</v>
      </c>
      <c r="Y96" t="n">
        <v>2</v>
      </c>
      <c r="Z96" t="n">
        <v>4</v>
      </c>
      <c r="AA96" t="n">
        <v>2</v>
      </c>
      <c r="AB96" t="n">
        <v>4</v>
      </c>
      <c r="AC96" t="n">
        <v>4</v>
      </c>
      <c r="AD96" t="n">
        <v>3</v>
      </c>
      <c r="AE96" t="n">
        <v>3</v>
      </c>
      <c r="AF96" t="n">
        <v>2</v>
      </c>
      <c r="AG96" t="n">
        <v>3</v>
      </c>
      <c r="AH96" t="n">
        <v>3</v>
      </c>
      <c r="AI96" t="n">
        <v>3</v>
      </c>
      <c r="AJ96" t="n">
        <v>4</v>
      </c>
      <c r="AK96" t="n">
        <v>3</v>
      </c>
      <c r="AL96" t="n">
        <v>3</v>
      </c>
      <c r="AM96" t="n">
        <v>3</v>
      </c>
      <c r="AN96" t="n">
        <v>4</v>
      </c>
      <c r="AO96" t="n">
        <v>3</v>
      </c>
      <c r="AP96" t="n">
        <v>3</v>
      </c>
      <c r="AQ96" t="n">
        <v>3</v>
      </c>
      <c r="AR96" t="n">
        <v>3</v>
      </c>
      <c r="AS96" t="n">
        <v>2</v>
      </c>
      <c r="AT96" t="n">
        <v>4</v>
      </c>
      <c r="AU96" t="n">
        <v>3</v>
      </c>
      <c r="AV96" t="n">
        <v>3</v>
      </c>
      <c r="AW96" t="n">
        <v>2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4</v>
      </c>
      <c r="BD96" t="n">
        <v>2</v>
      </c>
      <c r="BE96" t="n">
        <v>2</v>
      </c>
      <c r="BF96" t="n">
        <v>3</v>
      </c>
      <c r="BG96" t="n">
        <v>2</v>
      </c>
      <c r="BH96" t="n">
        <v>2</v>
      </c>
      <c r="BI96" t="n">
        <v>3</v>
      </c>
      <c r="BJ96" t="n">
        <v>2</v>
      </c>
      <c r="BK96" t="n">
        <v>5</v>
      </c>
      <c r="BL96" t="n">
        <v>4</v>
      </c>
      <c r="BN96" t="n">
        <v>4</v>
      </c>
      <c r="BO96" t="n">
        <v>3</v>
      </c>
      <c r="BP96" t="n">
        <v>2</v>
      </c>
      <c r="BQ96" t="n">
        <v>4</v>
      </c>
      <c r="BR96" t="n">
        <v>3</v>
      </c>
      <c r="BS96" s="56">
        <f>IF(COUNT(N96:W96)&gt;=8,AVERAGE(N96:W96),"")</f>
        <v/>
      </c>
      <c r="BT96" s="56">
        <f>IF(COUNT(X96:AE96)&gt;=7,AVERAGE(X96:AE96),"")</f>
        <v/>
      </c>
      <c r="BU96" s="56">
        <f>IF(COUNT(AF96:AM96)&gt;=7,AVERAGE(AF96:AM96),"")</f>
        <v/>
      </c>
      <c r="BV96" s="56">
        <f>IF(COUNT(AN96:AV96)&gt;=8,AVERAGE(AN96:AV96),"")</f>
        <v/>
      </c>
      <c r="BW96" s="56">
        <f>IF(COUNT(AW96:BD96)&gt;=7,AVERAGE(AW96:BD96),"")</f>
        <v/>
      </c>
      <c r="BX96" s="56">
        <f>IF(COUNT(BE96:BJ96)&gt;=5,AVERAGE(BE96:BJ96),"")</f>
        <v/>
      </c>
      <c r="BY96" s="56">
        <f>IF(COUNT(BK96:BR96)&gt;=7,AVERAGE(BK96:BR96),"")</f>
        <v/>
      </c>
    </row>
    <row r="97">
      <c r="A97" t="inlineStr">
        <is>
          <t>R066</t>
        </is>
      </c>
      <c r="B97" t="inlineStr">
        <is>
          <t>Yes</t>
        </is>
      </c>
      <c r="C97" t="inlineStr">
        <is>
          <t>Yes</t>
        </is>
      </c>
      <c r="D97" t="inlineStr">
        <is>
          <t>Female</t>
        </is>
      </c>
      <c r="E97" t="inlineStr">
        <is>
          <t>35-44</t>
        </is>
      </c>
      <c r="F97" t="inlineStr">
        <is>
          <t>Master's</t>
        </is>
      </c>
      <c r="G97" t="inlineStr">
        <is>
          <t>Fintech/payment provider</t>
        </is>
      </c>
      <c r="H97" t="inlineStr">
        <is>
          <t>IT/Technology</t>
        </is>
      </c>
      <c r="I97" t="inlineStr">
        <is>
          <t>6-10</t>
        </is>
      </c>
      <c r="J97" t="inlineStr">
        <is>
          <t>Yes</t>
        </is>
      </c>
      <c r="K97" t="n">
        <v>1</v>
      </c>
      <c r="L97" t="inlineStr">
        <is>
          <t>No</t>
        </is>
      </c>
      <c r="M97" t="inlineStr">
        <is>
          <t>Yes</t>
        </is>
      </c>
      <c r="N97" t="n">
        <v>1</v>
      </c>
      <c r="O97" t="n">
        <v>2</v>
      </c>
      <c r="P97" t="n">
        <v>3</v>
      </c>
      <c r="Q97" t="n">
        <v>1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5</v>
      </c>
      <c r="Y97" t="n">
        <v>4</v>
      </c>
      <c r="Z97" t="n">
        <v>4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2</v>
      </c>
      <c r="AG97" t="n">
        <v>3</v>
      </c>
      <c r="AH97" t="n">
        <v>3</v>
      </c>
      <c r="AI97" t="n">
        <v>4</v>
      </c>
      <c r="AJ97" t="n">
        <v>2</v>
      </c>
      <c r="AK97" t="n">
        <v>3</v>
      </c>
      <c r="AL97" t="n">
        <v>2</v>
      </c>
      <c r="AM97" t="n">
        <v>3</v>
      </c>
      <c r="AN97" t="n">
        <v>5</v>
      </c>
      <c r="AO97" t="n">
        <v>4</v>
      </c>
      <c r="AP97" t="n">
        <v>4</v>
      </c>
      <c r="AQ97" t="n">
        <v>5</v>
      </c>
      <c r="AR97" t="n">
        <v>4</v>
      </c>
      <c r="AS97" t="n">
        <v>4</v>
      </c>
      <c r="AT97" t="n">
        <v>3</v>
      </c>
      <c r="AU97" t="n">
        <v>3</v>
      </c>
      <c r="AV97" t="n">
        <v>3</v>
      </c>
      <c r="AW97" t="n">
        <v>4</v>
      </c>
      <c r="AY97" t="n">
        <v>4</v>
      </c>
      <c r="AZ97" t="n">
        <v>3</v>
      </c>
      <c r="BA97" t="n">
        <v>3</v>
      </c>
      <c r="BB97" t="n">
        <v>3</v>
      </c>
      <c r="BC97" t="n">
        <v>4</v>
      </c>
      <c r="BD97" t="n">
        <v>3</v>
      </c>
      <c r="BE97" t="n">
        <v>2</v>
      </c>
      <c r="BF97" t="n">
        <v>4</v>
      </c>
      <c r="BG97" t="n">
        <v>2</v>
      </c>
      <c r="BH97" t="n">
        <v>4</v>
      </c>
      <c r="BI97" t="n">
        <v>2</v>
      </c>
      <c r="BJ97" t="n">
        <v>2</v>
      </c>
      <c r="BK97" t="n">
        <v>2</v>
      </c>
      <c r="BL97" t="n">
        <v>3</v>
      </c>
      <c r="BM97" t="n">
        <v>3</v>
      </c>
      <c r="BN97" t="n">
        <v>3</v>
      </c>
      <c r="BO97" t="n">
        <v>3</v>
      </c>
      <c r="BP97" t="n">
        <v>5</v>
      </c>
      <c r="BQ97" t="n">
        <v>4</v>
      </c>
      <c r="BS97" s="56">
        <f>IF(COUNT(N97:W97)&gt;=8,AVERAGE(N97:W97),"")</f>
        <v/>
      </c>
      <c r="BT97" s="56">
        <f>IF(COUNT(X97:AE97)&gt;=7,AVERAGE(X97:AE97),"")</f>
        <v/>
      </c>
      <c r="BU97" s="56">
        <f>IF(COUNT(AF97:AM97)&gt;=7,AVERAGE(AF97:AM97),"")</f>
        <v/>
      </c>
      <c r="BV97" s="56">
        <f>IF(COUNT(AN97:AV97)&gt;=8,AVERAGE(AN97:AV97),"")</f>
        <v/>
      </c>
      <c r="BW97" s="56">
        <f>IF(COUNT(AW97:BD97)&gt;=7,AVERAGE(AW97:BD97),"")</f>
        <v/>
      </c>
      <c r="BX97" s="56">
        <f>IF(COUNT(BE97:BJ97)&gt;=5,AVERAGE(BE97:BJ97),"")</f>
        <v/>
      </c>
      <c r="BY97" s="56">
        <f>IF(COUNT(BK97:BR97)&gt;=7,AVERAGE(BK97:BR97),"")</f>
        <v/>
      </c>
    </row>
    <row r="98">
      <c r="A98" t="inlineStr">
        <is>
          <t>R067</t>
        </is>
      </c>
      <c r="B98" t="inlineStr">
        <is>
          <t>Yes</t>
        </is>
      </c>
      <c r="C98" t="inlineStr">
        <is>
          <t>Yes</t>
        </is>
      </c>
      <c r="D98" t="inlineStr">
        <is>
          <t>Male</t>
        </is>
      </c>
      <c r="E98" t="inlineStr">
        <is>
          <t>45-54</t>
        </is>
      </c>
      <c r="F98" t="inlineStr">
        <is>
          <t>Master's</t>
        </is>
      </c>
      <c r="G98" t="inlineStr">
        <is>
          <t>Commercial bank</t>
        </is>
      </c>
      <c r="H98" t="inlineStr">
        <is>
          <t>Other</t>
        </is>
      </c>
      <c r="I98" t="inlineStr">
        <is>
          <t>6-10</t>
        </is>
      </c>
      <c r="J98" t="inlineStr">
        <is>
          <t>Yes</t>
        </is>
      </c>
      <c r="K98" t="n">
        <v>1</v>
      </c>
      <c r="L98" t="inlineStr">
        <is>
          <t>No</t>
        </is>
      </c>
      <c r="M98" t="inlineStr">
        <is>
          <t>Yes</t>
        </is>
      </c>
      <c r="N98" t="n">
        <v>3</v>
      </c>
      <c r="O98" t="n">
        <v>3</v>
      </c>
      <c r="P98" t="n">
        <v>4</v>
      </c>
      <c r="Q98" t="n">
        <v>3</v>
      </c>
      <c r="R98" t="n">
        <v>3</v>
      </c>
      <c r="S98" t="n">
        <v>3</v>
      </c>
      <c r="T98" t="n">
        <v>2</v>
      </c>
      <c r="U98" t="n">
        <v>4</v>
      </c>
      <c r="W98" t="n">
        <v>3</v>
      </c>
      <c r="X98" t="n">
        <v>4</v>
      </c>
      <c r="Y98" t="n">
        <v>3</v>
      </c>
      <c r="Z98" t="n">
        <v>4</v>
      </c>
      <c r="AA98" t="n">
        <v>3</v>
      </c>
      <c r="AB98" t="n">
        <v>4</v>
      </c>
      <c r="AC98" t="n">
        <v>3</v>
      </c>
      <c r="AD98" t="n">
        <v>4</v>
      </c>
      <c r="AE98" t="n">
        <v>4</v>
      </c>
      <c r="AF98" t="n">
        <v>3</v>
      </c>
      <c r="AG98" t="n">
        <v>3</v>
      </c>
      <c r="AH98" t="n">
        <v>3</v>
      </c>
      <c r="AI98" t="n">
        <v>4</v>
      </c>
      <c r="AJ98" t="n">
        <v>5</v>
      </c>
      <c r="AK98" t="n">
        <v>3</v>
      </c>
      <c r="AM98" t="n">
        <v>5</v>
      </c>
      <c r="AN98" t="n">
        <v>2</v>
      </c>
      <c r="AO98" t="n">
        <v>3</v>
      </c>
      <c r="AP98" t="n">
        <v>2</v>
      </c>
      <c r="AQ98" t="n">
        <v>3</v>
      </c>
      <c r="AR98" t="n">
        <v>3</v>
      </c>
      <c r="AS98" t="n">
        <v>4</v>
      </c>
      <c r="AT98" t="n">
        <v>2</v>
      </c>
      <c r="AU98" t="n">
        <v>2</v>
      </c>
      <c r="AV98" t="n">
        <v>2</v>
      </c>
      <c r="AW98" t="n">
        <v>3</v>
      </c>
      <c r="AX98" t="n">
        <v>4</v>
      </c>
      <c r="AY98" t="n">
        <v>3</v>
      </c>
      <c r="AZ98" t="n">
        <v>3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4</v>
      </c>
      <c r="BG98" t="n">
        <v>2</v>
      </c>
      <c r="BH98" t="n">
        <v>4</v>
      </c>
      <c r="BI98" t="n">
        <v>3</v>
      </c>
      <c r="BJ98" t="n">
        <v>2</v>
      </c>
      <c r="BK98" t="n">
        <v>4</v>
      </c>
      <c r="BL98" t="n">
        <v>3</v>
      </c>
      <c r="BM98" t="n">
        <v>4</v>
      </c>
      <c r="BN98" t="n">
        <v>4</v>
      </c>
      <c r="BO98" t="n">
        <v>4</v>
      </c>
      <c r="BP98" t="n">
        <v>3</v>
      </c>
      <c r="BQ98" t="n">
        <v>3</v>
      </c>
      <c r="BR98" t="n">
        <v>3</v>
      </c>
      <c r="BS98" s="56">
        <f>IF(COUNT(N98:W98)&gt;=8,AVERAGE(N98:W98),"")</f>
        <v/>
      </c>
      <c r="BT98" s="56">
        <f>IF(COUNT(X98:AE98)&gt;=7,AVERAGE(X98:AE98),"")</f>
        <v/>
      </c>
      <c r="BU98" s="56">
        <f>IF(COUNT(AF98:AM98)&gt;=7,AVERAGE(AF98:AM98),"")</f>
        <v/>
      </c>
      <c r="BV98" s="56">
        <f>IF(COUNT(AN98:AV98)&gt;=8,AVERAGE(AN98:AV98),"")</f>
        <v/>
      </c>
      <c r="BW98" s="56">
        <f>IF(COUNT(AW98:BD98)&gt;=7,AVERAGE(AW98:BD98),"")</f>
        <v/>
      </c>
      <c r="BX98" s="56">
        <f>IF(COUNT(BE98:BJ98)&gt;=5,AVERAGE(BE98:BJ98),"")</f>
        <v/>
      </c>
      <c r="BY98" s="56">
        <f>IF(COUNT(BK98:BR98)&gt;=7,AVERAGE(BK98:BR98),"")</f>
        <v/>
      </c>
    </row>
    <row r="99">
      <c r="A99" t="inlineStr">
        <is>
          <t>R068</t>
        </is>
      </c>
      <c r="B99" t="inlineStr">
        <is>
          <t>Yes</t>
        </is>
      </c>
      <c r="C99" t="inlineStr">
        <is>
          <t>Yes</t>
        </is>
      </c>
      <c r="D99" t="inlineStr">
        <is>
          <t>Male</t>
        </is>
      </c>
      <c r="E99" t="inlineStr">
        <is>
          <t>35-44</t>
        </is>
      </c>
      <c r="F99" t="inlineStr">
        <is>
          <t>Master's</t>
        </is>
      </c>
      <c r="G99" t="inlineStr">
        <is>
          <t>Commercial bank</t>
        </is>
      </c>
      <c r="H99" t="inlineStr">
        <is>
          <t>Customer Experience/Service</t>
        </is>
      </c>
      <c r="I99" t="inlineStr">
        <is>
          <t>6-10</t>
        </is>
      </c>
      <c r="J99" t="inlineStr">
        <is>
          <t>Yes</t>
        </is>
      </c>
      <c r="K99" t="n">
        <v>2</v>
      </c>
      <c r="L99" t="inlineStr">
        <is>
          <t>No</t>
        </is>
      </c>
      <c r="M99" t="inlineStr">
        <is>
          <t>Yes</t>
        </is>
      </c>
      <c r="N99" t="n">
        <v>2</v>
      </c>
      <c r="O99" t="n">
        <v>2</v>
      </c>
      <c r="P99" t="n">
        <v>3</v>
      </c>
      <c r="Q99" t="n">
        <v>3</v>
      </c>
      <c r="R99" t="n">
        <v>2</v>
      </c>
      <c r="S99" t="n">
        <v>3</v>
      </c>
      <c r="T99" t="n">
        <v>1</v>
      </c>
      <c r="U99" t="n">
        <v>3</v>
      </c>
      <c r="V99" t="n">
        <v>2</v>
      </c>
      <c r="X99" t="n">
        <v>3</v>
      </c>
      <c r="Y99" t="n">
        <v>3</v>
      </c>
      <c r="Z99" t="n">
        <v>3</v>
      </c>
      <c r="AA99" t="n">
        <v>2</v>
      </c>
      <c r="AB99" t="n">
        <v>2</v>
      </c>
      <c r="AC99" t="n">
        <v>3</v>
      </c>
      <c r="AD99" t="n">
        <v>3</v>
      </c>
      <c r="AE99" t="n">
        <v>3</v>
      </c>
      <c r="AF99" t="n">
        <v>5</v>
      </c>
      <c r="AG99" t="n">
        <v>4</v>
      </c>
      <c r="AH99" t="n">
        <v>4</v>
      </c>
      <c r="AI99" t="n">
        <v>4</v>
      </c>
      <c r="AJ99" t="n">
        <v>2</v>
      </c>
      <c r="AK99" t="n">
        <v>3</v>
      </c>
      <c r="AL99" t="n">
        <v>4</v>
      </c>
      <c r="AM99" t="n">
        <v>2</v>
      </c>
      <c r="AN99" t="n">
        <v>3</v>
      </c>
      <c r="AO99" t="n">
        <v>1</v>
      </c>
      <c r="AP99" t="n">
        <v>2</v>
      </c>
      <c r="AQ99" t="n">
        <v>1</v>
      </c>
      <c r="AR99" t="n">
        <v>4</v>
      </c>
      <c r="AS99" t="n">
        <v>2</v>
      </c>
      <c r="AT99" t="n">
        <v>3</v>
      </c>
      <c r="AU99" t="n">
        <v>2</v>
      </c>
      <c r="AV99" t="n">
        <v>4</v>
      </c>
      <c r="AW99" t="n">
        <v>2</v>
      </c>
      <c r="AX99" t="n">
        <v>3</v>
      </c>
      <c r="AY99" t="n">
        <v>3</v>
      </c>
      <c r="AZ99" t="n">
        <v>2</v>
      </c>
      <c r="BA99" t="n">
        <v>3</v>
      </c>
      <c r="BB99" t="n">
        <v>1</v>
      </c>
      <c r="BC99" t="n">
        <v>3</v>
      </c>
      <c r="BD99" t="n">
        <v>2</v>
      </c>
      <c r="BE99" t="n">
        <v>3</v>
      </c>
      <c r="BF99" t="n">
        <v>3</v>
      </c>
      <c r="BH99" t="n">
        <v>4</v>
      </c>
      <c r="BI99" t="n">
        <v>3</v>
      </c>
      <c r="BJ99" t="n">
        <v>4</v>
      </c>
      <c r="BK99" t="n">
        <v>3</v>
      </c>
      <c r="BL99" t="n">
        <v>1</v>
      </c>
      <c r="BM99" t="n">
        <v>3</v>
      </c>
      <c r="BN99" t="n">
        <v>2</v>
      </c>
      <c r="BO99" t="n">
        <v>3</v>
      </c>
      <c r="BP99" t="n">
        <v>2</v>
      </c>
      <c r="BQ99" t="n">
        <v>4</v>
      </c>
      <c r="BR99" t="n">
        <v>1</v>
      </c>
      <c r="BS99" s="56">
        <f>IF(COUNT(N99:W99)&gt;=8,AVERAGE(N99:W99),"")</f>
        <v/>
      </c>
      <c r="BT99" s="56">
        <f>IF(COUNT(X99:AE99)&gt;=7,AVERAGE(X99:AE99),"")</f>
        <v/>
      </c>
      <c r="BU99" s="56">
        <f>IF(COUNT(AF99:AM99)&gt;=7,AVERAGE(AF99:AM99),"")</f>
        <v/>
      </c>
      <c r="BV99" s="56">
        <f>IF(COUNT(AN99:AV99)&gt;=8,AVERAGE(AN99:AV99),"")</f>
        <v/>
      </c>
      <c r="BW99" s="56">
        <f>IF(COUNT(AW99:BD99)&gt;=7,AVERAGE(AW99:BD99),"")</f>
        <v/>
      </c>
      <c r="BX99" s="56">
        <f>IF(COUNT(BE99:BJ99)&gt;=5,AVERAGE(BE99:BJ99),"")</f>
        <v/>
      </c>
      <c r="BY99" s="56">
        <f>IF(COUNT(BK99:BR99)&gt;=7,AVERAGE(BK99:BR99),"")</f>
        <v/>
      </c>
    </row>
    <row r="100">
      <c r="A100" t="inlineStr">
        <is>
          <t>R069</t>
        </is>
      </c>
      <c r="B100" t="inlineStr">
        <is>
          <t>Yes</t>
        </is>
      </c>
      <c r="C100" t="inlineStr">
        <is>
          <t>Yes</t>
        </is>
      </c>
      <c r="D100" t="inlineStr">
        <is>
          <t>Male</t>
        </is>
      </c>
      <c r="E100" t="inlineStr">
        <is>
          <t>18-24</t>
        </is>
      </c>
      <c r="F100" t="inlineStr">
        <is>
          <t>Master's</t>
        </is>
      </c>
      <c r="G100" t="inlineStr">
        <is>
          <t>Commercial bank</t>
        </is>
      </c>
      <c r="H100" t="inlineStr">
        <is>
          <t>Data/Analytics/AI</t>
        </is>
      </c>
      <c r="I100" t="inlineStr">
        <is>
          <t>11-15</t>
        </is>
      </c>
      <c r="J100" t="inlineStr">
        <is>
          <t>Yes</t>
        </is>
      </c>
      <c r="K100" t="n">
        <v>1</v>
      </c>
      <c r="L100" t="inlineStr">
        <is>
          <t>Yes</t>
        </is>
      </c>
      <c r="M100" t="inlineStr">
        <is>
          <t>Yes</t>
        </is>
      </c>
      <c r="N100" t="n">
        <v>4</v>
      </c>
      <c r="O100" t="n">
        <v>3</v>
      </c>
      <c r="P100" t="n">
        <v>5</v>
      </c>
      <c r="Q100" t="n">
        <v>4</v>
      </c>
      <c r="R100" t="n">
        <v>3</v>
      </c>
      <c r="S100" t="n">
        <v>4</v>
      </c>
      <c r="T100" t="n">
        <v>3</v>
      </c>
      <c r="U100" t="n">
        <v>5</v>
      </c>
      <c r="V100" t="n">
        <v>4</v>
      </c>
      <c r="W100" t="n">
        <v>4</v>
      </c>
      <c r="X100" t="n">
        <v>4</v>
      </c>
      <c r="Y100" t="n">
        <v>3</v>
      </c>
      <c r="Z100" t="n">
        <v>4</v>
      </c>
      <c r="AA100" t="n">
        <v>3</v>
      </c>
      <c r="AB100" t="n">
        <v>4</v>
      </c>
      <c r="AC100" t="n">
        <v>3</v>
      </c>
      <c r="AD100" t="n">
        <v>3</v>
      </c>
      <c r="AE100" t="n">
        <v>3</v>
      </c>
      <c r="AH100" t="n">
        <v>4</v>
      </c>
      <c r="AI100" t="n">
        <v>3</v>
      </c>
      <c r="AJ100" t="n">
        <v>4</v>
      </c>
      <c r="AK100" t="n">
        <v>3</v>
      </c>
      <c r="AL100" t="n">
        <v>3</v>
      </c>
      <c r="AM100" t="n">
        <v>2</v>
      </c>
      <c r="AN100" t="n">
        <v>5</v>
      </c>
      <c r="AO100" t="n">
        <v>3</v>
      </c>
      <c r="AP100" t="n">
        <v>4</v>
      </c>
      <c r="AQ100" t="n">
        <v>3</v>
      </c>
      <c r="AR100" t="n">
        <v>4</v>
      </c>
      <c r="AS100" t="n">
        <v>4</v>
      </c>
      <c r="AT100" t="n">
        <v>4</v>
      </c>
      <c r="AU100" t="n">
        <v>5</v>
      </c>
      <c r="AV100" t="n">
        <v>4</v>
      </c>
      <c r="AW100" t="n">
        <v>5</v>
      </c>
      <c r="AX100" t="n">
        <v>4</v>
      </c>
      <c r="AY100" t="n">
        <v>2</v>
      </c>
      <c r="AZ100" t="n">
        <v>4</v>
      </c>
      <c r="BA100" t="n">
        <v>5</v>
      </c>
      <c r="BB100" t="n">
        <v>2</v>
      </c>
      <c r="BC100" t="n">
        <v>3</v>
      </c>
      <c r="BD100" t="n">
        <v>5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2</v>
      </c>
      <c r="BL100" t="n">
        <v>1</v>
      </c>
      <c r="BM100" t="n">
        <v>3</v>
      </c>
      <c r="BN100" t="n">
        <v>2</v>
      </c>
      <c r="BO100" t="n">
        <v>3</v>
      </c>
      <c r="BP100" t="n">
        <v>3</v>
      </c>
      <c r="BQ100" t="n">
        <v>3</v>
      </c>
      <c r="BR100" t="n">
        <v>1</v>
      </c>
      <c r="BS100" s="56">
        <f>IF(COUNT(N100:W100)&gt;=8,AVERAGE(N100:W100),"")</f>
        <v/>
      </c>
      <c r="BT100" s="56">
        <f>IF(COUNT(X100:AE100)&gt;=7,AVERAGE(X100:AE100),"")</f>
        <v/>
      </c>
      <c r="BU100" s="56">
        <f>IF(COUNT(AF100:AM100)&gt;=7,AVERAGE(AF100:AM100),"")</f>
        <v/>
      </c>
      <c r="BV100" s="56">
        <f>IF(COUNT(AN100:AV100)&gt;=8,AVERAGE(AN100:AV100),"")</f>
        <v/>
      </c>
      <c r="BW100" s="56">
        <f>IF(COUNT(AW100:BD100)&gt;=7,AVERAGE(AW100:BD100),"")</f>
        <v/>
      </c>
      <c r="BX100" s="56">
        <f>IF(COUNT(BE100:BJ100)&gt;=5,AVERAGE(BE100:BJ100),"")</f>
        <v/>
      </c>
      <c r="BY100" s="56">
        <f>IF(COUNT(BK100:BR100)&gt;=7,AVERAGE(BK100:BR100),"")</f>
        <v/>
      </c>
    </row>
    <row r="101">
      <c r="A101" t="inlineStr">
        <is>
          <t>R070</t>
        </is>
      </c>
      <c r="B101" t="inlineStr">
        <is>
          <t>Yes</t>
        </is>
      </c>
      <c r="C101" t="inlineStr">
        <is>
          <t>Yes</t>
        </is>
      </c>
      <c r="D101" t="inlineStr">
        <is>
          <t>Male</t>
        </is>
      </c>
      <c r="E101" t="inlineStr">
        <is>
          <t>25-34</t>
        </is>
      </c>
      <c r="F101" t="inlineStr">
        <is>
          <t>Bachelor/HND</t>
        </is>
      </c>
      <c r="G101" t="inlineStr">
        <is>
          <t>Merchant bank</t>
        </is>
      </c>
      <c r="H101" t="inlineStr">
        <is>
          <t>Data/Analytics/AI</t>
        </is>
      </c>
      <c r="I101" t="inlineStr">
        <is>
          <t>6-10</t>
        </is>
      </c>
      <c r="J101" t="inlineStr">
        <is>
          <t>Yes</t>
        </is>
      </c>
      <c r="K101" t="n">
        <v>3</v>
      </c>
      <c r="L101" t="inlineStr">
        <is>
          <t>Yes</t>
        </is>
      </c>
      <c r="M101" t="inlineStr">
        <is>
          <t>Yes</t>
        </is>
      </c>
      <c r="N101" t="n">
        <v>3</v>
      </c>
      <c r="O101" t="n">
        <v>2</v>
      </c>
      <c r="P101" t="n">
        <v>4</v>
      </c>
      <c r="Q101" t="n">
        <v>2</v>
      </c>
      <c r="R101" t="n">
        <v>3</v>
      </c>
      <c r="S101" t="n">
        <v>3</v>
      </c>
      <c r="T101" t="n">
        <v>2</v>
      </c>
      <c r="U101" t="n">
        <v>3</v>
      </c>
      <c r="V101" t="n">
        <v>3</v>
      </c>
      <c r="W101" t="n">
        <v>2</v>
      </c>
      <c r="X101" t="n">
        <v>4</v>
      </c>
      <c r="Y101" t="n">
        <v>4</v>
      </c>
      <c r="Z101" t="n">
        <v>4</v>
      </c>
      <c r="AA101" t="n">
        <v>3</v>
      </c>
      <c r="AB101" t="n">
        <v>3</v>
      </c>
      <c r="AC101" t="n">
        <v>4</v>
      </c>
      <c r="AD101" t="n">
        <v>3</v>
      </c>
      <c r="AE101" t="n">
        <v>4</v>
      </c>
      <c r="AF101" t="n">
        <v>3</v>
      </c>
      <c r="AG101" t="n">
        <v>3</v>
      </c>
      <c r="AH101" t="n">
        <v>4</v>
      </c>
      <c r="AI101" t="n">
        <v>5</v>
      </c>
      <c r="AJ101" t="n">
        <v>3</v>
      </c>
      <c r="AK101" t="n">
        <v>4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4</v>
      </c>
      <c r="AR101" t="n">
        <v>3</v>
      </c>
      <c r="AS101" t="n">
        <v>4</v>
      </c>
      <c r="AT101" t="n">
        <v>2</v>
      </c>
      <c r="AU101" t="n">
        <v>2</v>
      </c>
      <c r="AV101" t="n">
        <v>2</v>
      </c>
      <c r="AW101" t="n">
        <v>3</v>
      </c>
      <c r="AX101" t="n">
        <v>3</v>
      </c>
      <c r="AY101" t="n">
        <v>3</v>
      </c>
      <c r="AZ101" t="n">
        <v>2</v>
      </c>
      <c r="BA101" t="n">
        <v>4</v>
      </c>
      <c r="BB101" t="n">
        <v>4</v>
      </c>
      <c r="BC101" t="n">
        <v>4</v>
      </c>
      <c r="BD101" t="n">
        <v>4</v>
      </c>
      <c r="BE101" t="n">
        <v>3</v>
      </c>
      <c r="BF101" t="n">
        <v>3</v>
      </c>
      <c r="BG101" t="n">
        <v>2</v>
      </c>
      <c r="BH101" t="n">
        <v>4</v>
      </c>
      <c r="BI101" t="n">
        <v>3</v>
      </c>
      <c r="BJ101" t="n">
        <v>2</v>
      </c>
      <c r="BK101" t="n">
        <v>3</v>
      </c>
      <c r="BL101" t="n">
        <v>3</v>
      </c>
      <c r="BM101" t="n">
        <v>4</v>
      </c>
      <c r="BN101" t="n">
        <v>3</v>
      </c>
      <c r="BO101" t="n">
        <v>3</v>
      </c>
      <c r="BP101" t="n">
        <v>3</v>
      </c>
      <c r="BQ101" t="n">
        <v>4</v>
      </c>
      <c r="BR101" t="n">
        <v>3</v>
      </c>
      <c r="BS101" s="56">
        <f>IF(COUNT(N101:W101)&gt;=8,AVERAGE(N101:W101),"")</f>
        <v/>
      </c>
      <c r="BT101" s="56">
        <f>IF(COUNT(X101:AE101)&gt;=7,AVERAGE(X101:AE101),"")</f>
        <v/>
      </c>
      <c r="BU101" s="56">
        <f>IF(COUNT(AF101:AM101)&gt;=7,AVERAGE(AF101:AM101),"")</f>
        <v/>
      </c>
      <c r="BV101" s="56">
        <f>IF(COUNT(AN101:AV101)&gt;=8,AVERAGE(AN101:AV101),"")</f>
        <v/>
      </c>
      <c r="BW101" s="56">
        <f>IF(COUNT(AW101:BD101)&gt;=7,AVERAGE(AW101:BD101),"")</f>
        <v/>
      </c>
      <c r="BX101" s="56">
        <f>IF(COUNT(BE101:BJ101)&gt;=5,AVERAGE(BE101:BJ101),"")</f>
        <v/>
      </c>
      <c r="BY101" s="56">
        <f>IF(COUNT(BK101:BR101)&gt;=7,AVERAGE(BK101:BR101),"")</f>
        <v/>
      </c>
    </row>
    <row r="102">
      <c r="A102" t="inlineStr">
        <is>
          <t>R071</t>
        </is>
      </c>
      <c r="B102" t="inlineStr">
        <is>
          <t>Yes</t>
        </is>
      </c>
      <c r="C102" t="inlineStr">
        <is>
          <t>Yes</t>
        </is>
      </c>
      <c r="D102" t="inlineStr">
        <is>
          <t>Male</t>
        </is>
      </c>
      <c r="E102" t="inlineStr">
        <is>
          <t>25-34</t>
        </is>
      </c>
      <c r="F102" t="inlineStr">
        <is>
          <t>Diploma/OND/NCE</t>
        </is>
      </c>
      <c r="G102" t="inlineStr">
        <is>
          <t>Digital bank/neobank</t>
        </is>
      </c>
      <c r="H102" t="inlineStr">
        <is>
          <t>Data/Analytics/AI</t>
        </is>
      </c>
      <c r="I102" t="inlineStr">
        <is>
          <t>6-10</t>
        </is>
      </c>
      <c r="J102" t="inlineStr">
        <is>
          <t>Yes</t>
        </is>
      </c>
      <c r="K102" t="n">
        <v>4</v>
      </c>
      <c r="L102" t="inlineStr">
        <is>
          <t>No</t>
        </is>
      </c>
      <c r="M102" t="inlineStr">
        <is>
          <t>Yes</t>
        </is>
      </c>
      <c r="N102" t="n">
        <v>4</v>
      </c>
      <c r="O102" t="n">
        <v>3</v>
      </c>
      <c r="P102" t="n">
        <v>4</v>
      </c>
      <c r="Q102" t="n">
        <v>4</v>
      </c>
      <c r="R102" t="n">
        <v>5</v>
      </c>
      <c r="S102" t="n">
        <v>4</v>
      </c>
      <c r="T102" t="n">
        <v>3</v>
      </c>
      <c r="U102" t="n">
        <v>4</v>
      </c>
      <c r="V102" t="n">
        <v>4</v>
      </c>
      <c r="W102" t="n">
        <v>4</v>
      </c>
      <c r="X102" t="n">
        <v>4</v>
      </c>
      <c r="Y102" t="n">
        <v>3</v>
      </c>
      <c r="Z102" t="n">
        <v>3</v>
      </c>
      <c r="AA102" t="n">
        <v>3</v>
      </c>
      <c r="AB102" t="n">
        <v>3</v>
      </c>
      <c r="AC102" t="n">
        <v>3</v>
      </c>
      <c r="AD102" t="n">
        <v>3</v>
      </c>
      <c r="AE102" t="n">
        <v>4</v>
      </c>
      <c r="AF102" t="n">
        <v>2</v>
      </c>
      <c r="AG102" t="n">
        <v>4</v>
      </c>
      <c r="AI102" t="n">
        <v>4</v>
      </c>
      <c r="AJ102" t="n">
        <v>4</v>
      </c>
      <c r="AK102" t="n">
        <v>2</v>
      </c>
      <c r="AL102" t="n">
        <v>5</v>
      </c>
      <c r="AM102" t="n">
        <v>3</v>
      </c>
      <c r="AN102" t="n">
        <v>4</v>
      </c>
      <c r="AO102" t="n">
        <v>3</v>
      </c>
      <c r="AP102" t="n">
        <v>2</v>
      </c>
      <c r="AQ102" t="n">
        <v>3</v>
      </c>
      <c r="AR102" t="n">
        <v>4</v>
      </c>
      <c r="AT102" t="n">
        <v>3</v>
      </c>
      <c r="AU102" t="n">
        <v>3</v>
      </c>
      <c r="AV102" t="n">
        <v>2</v>
      </c>
      <c r="AW102" t="n">
        <v>4</v>
      </c>
      <c r="AX102" t="n">
        <v>4</v>
      </c>
      <c r="AY102" t="n">
        <v>3</v>
      </c>
      <c r="AZ102" t="n">
        <v>4</v>
      </c>
      <c r="BA102" t="n">
        <v>5</v>
      </c>
      <c r="BB102" t="n">
        <v>4</v>
      </c>
      <c r="BD102" t="n">
        <v>3</v>
      </c>
      <c r="BE102" t="n">
        <v>4</v>
      </c>
      <c r="BF102" t="n">
        <v>4</v>
      </c>
      <c r="BG102" t="n">
        <v>4</v>
      </c>
      <c r="BH102" t="n">
        <v>4</v>
      </c>
      <c r="BI102" t="n">
        <v>3</v>
      </c>
      <c r="BJ102" t="n">
        <v>4</v>
      </c>
      <c r="BK102" t="n">
        <v>3</v>
      </c>
      <c r="BL102" t="n">
        <v>1</v>
      </c>
      <c r="BM102" t="n">
        <v>3</v>
      </c>
      <c r="BN102" t="n">
        <v>4</v>
      </c>
      <c r="BO102" t="n">
        <v>3</v>
      </c>
      <c r="BP102" t="n">
        <v>3</v>
      </c>
      <c r="BQ102" t="n">
        <v>4</v>
      </c>
      <c r="BR102" t="n">
        <v>3</v>
      </c>
      <c r="BS102" s="56">
        <f>IF(COUNT(N102:W102)&gt;=8,AVERAGE(N102:W102),"")</f>
        <v/>
      </c>
      <c r="BT102" s="56">
        <f>IF(COUNT(X102:AE102)&gt;=7,AVERAGE(X102:AE102),"")</f>
        <v/>
      </c>
      <c r="BU102" s="56">
        <f>IF(COUNT(AF102:AM102)&gt;=7,AVERAGE(AF102:AM102),"")</f>
        <v/>
      </c>
      <c r="BV102" s="56">
        <f>IF(COUNT(AN102:AV102)&gt;=8,AVERAGE(AN102:AV102),"")</f>
        <v/>
      </c>
      <c r="BW102" s="56">
        <f>IF(COUNT(AW102:BD102)&gt;=7,AVERAGE(AW102:BD102),"")</f>
        <v/>
      </c>
      <c r="BX102" s="56">
        <f>IF(COUNT(BE102:BJ102)&gt;=5,AVERAGE(BE102:BJ102),"")</f>
        <v/>
      </c>
      <c r="BY102" s="56">
        <f>IF(COUNT(BK102:BR102)&gt;=7,AVERAGE(BK102:BR102),"")</f>
        <v/>
      </c>
    </row>
    <row r="103">
      <c r="A103" t="inlineStr">
        <is>
          <t>R072</t>
        </is>
      </c>
      <c r="B103" t="inlineStr">
        <is>
          <t>Yes</t>
        </is>
      </c>
      <c r="C103" t="inlineStr">
        <is>
          <t>Yes</t>
        </is>
      </c>
      <c r="D103" t="inlineStr">
        <is>
          <t>Female</t>
        </is>
      </c>
      <c r="E103" t="inlineStr">
        <is>
          <t>35-44</t>
        </is>
      </c>
      <c r="F103" t="inlineStr">
        <is>
          <t>Master's</t>
        </is>
      </c>
      <c r="G103" t="inlineStr">
        <is>
          <t>Insurance/investment/other licensed financial institution</t>
        </is>
      </c>
      <c r="H103" t="inlineStr">
        <is>
          <t>Data/Analytics/AI</t>
        </is>
      </c>
      <c r="I103" t="inlineStr">
        <is>
          <t>Less than 2</t>
        </is>
      </c>
      <c r="J103" t="inlineStr">
        <is>
          <t>Yes</t>
        </is>
      </c>
      <c r="K103" t="n">
        <v>0</v>
      </c>
      <c r="L103" t="inlineStr">
        <is>
          <t>No</t>
        </is>
      </c>
      <c r="M103" t="inlineStr">
        <is>
          <t>Yes</t>
        </is>
      </c>
      <c r="N103" t="n">
        <v>4</v>
      </c>
      <c r="P103" t="n">
        <v>5</v>
      </c>
      <c r="Q103" t="n">
        <v>3</v>
      </c>
      <c r="R103" t="n">
        <v>4</v>
      </c>
      <c r="S103" t="n">
        <v>4</v>
      </c>
      <c r="T103" t="n">
        <v>3</v>
      </c>
      <c r="U103" t="n">
        <v>3</v>
      </c>
      <c r="V103" t="n">
        <v>3</v>
      </c>
      <c r="W103" t="n">
        <v>4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F103" t="n">
        <v>2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4</v>
      </c>
      <c r="AP103" t="n">
        <v>4</v>
      </c>
      <c r="AQ103" t="n">
        <v>4</v>
      </c>
      <c r="AR103" t="n">
        <v>4</v>
      </c>
      <c r="AS103" t="n">
        <v>4</v>
      </c>
      <c r="AT103" t="n">
        <v>4</v>
      </c>
      <c r="AU103" t="n">
        <v>4</v>
      </c>
      <c r="AV103" t="n">
        <v>5</v>
      </c>
      <c r="AW103" t="n">
        <v>2</v>
      </c>
      <c r="AX103" t="n">
        <v>1</v>
      </c>
      <c r="AY103" t="n">
        <v>2</v>
      </c>
      <c r="AZ103" t="n">
        <v>1</v>
      </c>
      <c r="BA103" t="n">
        <v>2</v>
      </c>
      <c r="BB103" t="n">
        <v>3</v>
      </c>
      <c r="BC103" t="n">
        <v>2</v>
      </c>
      <c r="BD103" t="n">
        <v>2</v>
      </c>
      <c r="BE103" t="n">
        <v>2</v>
      </c>
      <c r="BG103" t="n">
        <v>2</v>
      </c>
      <c r="BH103" t="n">
        <v>4</v>
      </c>
      <c r="BI103" t="n">
        <v>2</v>
      </c>
      <c r="BJ103" t="n">
        <v>2</v>
      </c>
      <c r="BK103" t="n">
        <v>4</v>
      </c>
      <c r="BL103" t="n">
        <v>4</v>
      </c>
      <c r="BM103" t="n">
        <v>4</v>
      </c>
      <c r="BN103" t="n">
        <v>3</v>
      </c>
      <c r="BO103" t="n">
        <v>4</v>
      </c>
      <c r="BP103" t="n">
        <v>5</v>
      </c>
      <c r="BQ103" t="n">
        <v>4</v>
      </c>
      <c r="BR103" t="n">
        <v>3</v>
      </c>
      <c r="BS103" s="56">
        <f>IF(COUNT(N103:W103)&gt;=8,AVERAGE(N103:W103),"")</f>
        <v/>
      </c>
      <c r="BT103" s="56">
        <f>IF(COUNT(X103:AE103)&gt;=7,AVERAGE(X103:AE103),"")</f>
        <v/>
      </c>
      <c r="BU103" s="56">
        <f>IF(COUNT(AF103:AM103)&gt;=7,AVERAGE(AF103:AM103),"")</f>
        <v/>
      </c>
      <c r="BV103" s="56">
        <f>IF(COUNT(AN103:AV103)&gt;=8,AVERAGE(AN103:AV103),"")</f>
        <v/>
      </c>
      <c r="BW103" s="56">
        <f>IF(COUNT(AW103:BD103)&gt;=7,AVERAGE(AW103:BD103),"")</f>
        <v/>
      </c>
      <c r="BX103" s="56">
        <f>IF(COUNT(BE103:BJ103)&gt;=5,AVERAGE(BE103:BJ103),"")</f>
        <v/>
      </c>
      <c r="BY103" s="56">
        <f>IF(COUNT(BK103:BR103)&gt;=7,AVERAGE(BK103:BR103),"")</f>
        <v/>
      </c>
    </row>
    <row r="104">
      <c r="A104" t="inlineStr">
        <is>
          <t>R073</t>
        </is>
      </c>
      <c r="B104" t="inlineStr">
        <is>
          <t>Yes</t>
        </is>
      </c>
      <c r="C104" t="inlineStr">
        <is>
          <t>Yes</t>
        </is>
      </c>
      <c r="D104" t="inlineStr">
        <is>
          <t>Male</t>
        </is>
      </c>
      <c r="E104" t="inlineStr">
        <is>
          <t>35-44</t>
        </is>
      </c>
      <c r="F104" t="inlineStr">
        <is>
          <t>Bachelor/HND</t>
        </is>
      </c>
      <c r="G104" t="inlineStr">
        <is>
          <t>Commercial bank</t>
        </is>
      </c>
      <c r="H104" t="inlineStr">
        <is>
          <t>IT/Technology</t>
        </is>
      </c>
      <c r="I104" t="inlineStr">
        <is>
          <t>6-10</t>
        </is>
      </c>
      <c r="J104" t="inlineStr">
        <is>
          <t>Yes</t>
        </is>
      </c>
      <c r="K104" t="n">
        <v>2</v>
      </c>
      <c r="L104" t="inlineStr">
        <is>
          <t>Yes</t>
        </is>
      </c>
      <c r="M104" t="inlineStr">
        <is>
          <t>Yes</t>
        </is>
      </c>
      <c r="N104" t="n">
        <v>3</v>
      </c>
      <c r="O104" t="n">
        <v>3</v>
      </c>
      <c r="P104" t="n">
        <v>4</v>
      </c>
      <c r="Q104" t="n">
        <v>2</v>
      </c>
      <c r="R104" t="n">
        <v>3</v>
      </c>
      <c r="S104" t="n">
        <v>3</v>
      </c>
      <c r="T104" t="n">
        <v>3</v>
      </c>
      <c r="U104" t="n">
        <v>4</v>
      </c>
      <c r="V104" t="n">
        <v>3</v>
      </c>
      <c r="W104" t="n">
        <v>3</v>
      </c>
      <c r="X104" t="n">
        <v>1</v>
      </c>
      <c r="Y104" t="n">
        <v>2</v>
      </c>
      <c r="AA104" t="n">
        <v>1</v>
      </c>
      <c r="AB104" t="n">
        <v>1</v>
      </c>
      <c r="AD104" t="n">
        <v>1</v>
      </c>
      <c r="AE104" t="n">
        <v>2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1</v>
      </c>
      <c r="AN104" t="n">
        <v>2</v>
      </c>
      <c r="AO104" t="n">
        <v>1</v>
      </c>
      <c r="AP104" t="n">
        <v>2</v>
      </c>
      <c r="AQ104" t="n">
        <v>1</v>
      </c>
      <c r="AR104" t="n">
        <v>3</v>
      </c>
      <c r="AS104" t="n">
        <v>2</v>
      </c>
      <c r="AT104" t="n">
        <v>2</v>
      </c>
      <c r="AU104" t="n">
        <v>1</v>
      </c>
      <c r="AV104" t="n">
        <v>1</v>
      </c>
      <c r="AW104" t="n">
        <v>2</v>
      </c>
      <c r="AX104" t="n">
        <v>1</v>
      </c>
      <c r="AY104" t="n">
        <v>2</v>
      </c>
      <c r="AZ104" t="n">
        <v>2</v>
      </c>
      <c r="BA104" t="n">
        <v>2</v>
      </c>
      <c r="BB104" t="n">
        <v>1</v>
      </c>
      <c r="BC104" t="n">
        <v>2</v>
      </c>
      <c r="BD104" t="n">
        <v>3</v>
      </c>
      <c r="BE104" t="n">
        <v>2</v>
      </c>
      <c r="BF104" t="n">
        <v>3</v>
      </c>
      <c r="BG104" t="n">
        <v>2</v>
      </c>
      <c r="BH104" t="n">
        <v>3</v>
      </c>
      <c r="BI104" t="n">
        <v>2</v>
      </c>
      <c r="BJ104" t="n">
        <v>3</v>
      </c>
      <c r="BK104" t="n">
        <v>3</v>
      </c>
      <c r="BL104" t="n">
        <v>3</v>
      </c>
      <c r="BM104" t="n">
        <v>4</v>
      </c>
      <c r="BN104" t="n">
        <v>3</v>
      </c>
      <c r="BO104" t="n">
        <v>3</v>
      </c>
      <c r="BP104" t="n">
        <v>2</v>
      </c>
      <c r="BQ104" t="n">
        <v>3</v>
      </c>
      <c r="BR104" t="n">
        <v>2</v>
      </c>
      <c r="BS104" s="56">
        <f>IF(COUNT(N104:W104)&gt;=8,AVERAGE(N104:W104),"")</f>
        <v/>
      </c>
      <c r="BT104" s="56">
        <f>IF(COUNT(X104:AE104)&gt;=7,AVERAGE(X104:AE104),"")</f>
        <v/>
      </c>
      <c r="BU104" s="56">
        <f>IF(COUNT(AF104:AM104)&gt;=7,AVERAGE(AF104:AM104),"")</f>
        <v/>
      </c>
      <c r="BV104" s="56">
        <f>IF(COUNT(AN104:AV104)&gt;=8,AVERAGE(AN104:AV104),"")</f>
        <v/>
      </c>
      <c r="BW104" s="56">
        <f>IF(COUNT(AW104:BD104)&gt;=7,AVERAGE(AW104:BD104),"")</f>
        <v/>
      </c>
      <c r="BX104" s="56">
        <f>IF(COUNT(BE104:BJ104)&gt;=5,AVERAGE(BE104:BJ104),"")</f>
        <v/>
      </c>
      <c r="BY104" s="56">
        <f>IF(COUNT(BK104:BR104)&gt;=7,AVERAGE(BK104:BR104),"")</f>
        <v/>
      </c>
    </row>
    <row r="105">
      <c r="A105" t="inlineStr">
        <is>
          <t>R074</t>
        </is>
      </c>
      <c r="B105" t="inlineStr">
        <is>
          <t>Yes</t>
        </is>
      </c>
      <c r="C105" t="inlineStr">
        <is>
          <t>Yes</t>
        </is>
      </c>
      <c r="D105" t="inlineStr">
        <is>
          <t>Female</t>
        </is>
      </c>
      <c r="E105" t="inlineStr">
        <is>
          <t>35-44</t>
        </is>
      </c>
      <c r="F105" t="inlineStr">
        <is>
          <t>Doctorate</t>
        </is>
      </c>
      <c r="G105" t="inlineStr">
        <is>
          <t>Fintech/payment provider</t>
        </is>
      </c>
      <c r="H105" t="inlineStr">
        <is>
          <t>Digital Banking/Product</t>
        </is>
      </c>
      <c r="I105" t="inlineStr">
        <is>
          <t>6-10</t>
        </is>
      </c>
      <c r="J105" t="inlineStr">
        <is>
          <t>Yes</t>
        </is>
      </c>
      <c r="K105" t="n">
        <v>1</v>
      </c>
      <c r="L105" t="inlineStr">
        <is>
          <t>No</t>
        </is>
      </c>
      <c r="M105" t="inlineStr">
        <is>
          <t>Yes</t>
        </is>
      </c>
      <c r="N105" t="n">
        <v>2</v>
      </c>
      <c r="O105" t="n">
        <v>4</v>
      </c>
      <c r="Q105" t="n">
        <v>3</v>
      </c>
      <c r="R105" t="n">
        <v>2</v>
      </c>
      <c r="S105" t="n">
        <v>4</v>
      </c>
      <c r="T105" t="n">
        <v>2</v>
      </c>
      <c r="U105" t="n">
        <v>3</v>
      </c>
      <c r="V105" t="n">
        <v>4</v>
      </c>
      <c r="W105" t="n">
        <v>2</v>
      </c>
      <c r="X105" t="n">
        <v>3</v>
      </c>
      <c r="Y105" t="n">
        <v>3</v>
      </c>
      <c r="Z105" t="n">
        <v>4</v>
      </c>
      <c r="AA105" t="n">
        <v>2</v>
      </c>
      <c r="AB105" t="n">
        <v>2</v>
      </c>
      <c r="AC105" t="n">
        <v>2</v>
      </c>
      <c r="AD105" t="n">
        <v>4</v>
      </c>
      <c r="AE105" t="n">
        <v>1</v>
      </c>
      <c r="AF105" t="n">
        <v>2</v>
      </c>
      <c r="AG105" t="n">
        <v>2</v>
      </c>
      <c r="AH105" t="n">
        <v>2</v>
      </c>
      <c r="AI105" t="n">
        <v>3</v>
      </c>
      <c r="AJ105" t="n">
        <v>2</v>
      </c>
      <c r="AL105" t="n">
        <v>4</v>
      </c>
      <c r="AM105" t="n">
        <v>1</v>
      </c>
      <c r="AN105" t="n">
        <v>3</v>
      </c>
      <c r="AO105" t="n">
        <v>2</v>
      </c>
      <c r="AP105" t="n">
        <v>2</v>
      </c>
      <c r="AQ105" t="n">
        <v>2</v>
      </c>
      <c r="AR105" t="n">
        <v>3</v>
      </c>
      <c r="AS105" t="n">
        <v>3</v>
      </c>
      <c r="AT105" t="n">
        <v>2</v>
      </c>
      <c r="AU105" t="n">
        <v>3</v>
      </c>
      <c r="AV105" t="n">
        <v>3</v>
      </c>
      <c r="AW105" t="n">
        <v>2</v>
      </c>
      <c r="AX105" t="n">
        <v>3</v>
      </c>
      <c r="AY105" t="n">
        <v>1</v>
      </c>
      <c r="AZ105" t="n">
        <v>2</v>
      </c>
      <c r="BA105" t="n">
        <v>3</v>
      </c>
      <c r="BB105" t="n">
        <v>1</v>
      </c>
      <c r="BC105" t="n">
        <v>1</v>
      </c>
      <c r="BD105" t="n">
        <v>2</v>
      </c>
      <c r="BE105" t="n">
        <v>4</v>
      </c>
      <c r="BF105" t="n">
        <v>4</v>
      </c>
      <c r="BG105" t="n">
        <v>2</v>
      </c>
      <c r="BH105" t="n">
        <v>3</v>
      </c>
      <c r="BI105" t="n">
        <v>3</v>
      </c>
      <c r="BJ105" t="n">
        <v>3</v>
      </c>
      <c r="BK105" t="n">
        <v>2</v>
      </c>
      <c r="BL105" t="n">
        <v>2</v>
      </c>
      <c r="BM105" t="n">
        <v>3</v>
      </c>
      <c r="BN105" t="n">
        <v>2</v>
      </c>
      <c r="BO105" t="n">
        <v>2</v>
      </c>
      <c r="BP105" t="n">
        <v>3</v>
      </c>
      <c r="BQ105" t="n">
        <v>4</v>
      </c>
      <c r="BR105" t="n">
        <v>2</v>
      </c>
      <c r="BS105" s="56">
        <f>IF(COUNT(N105:W105)&gt;=8,AVERAGE(N105:W105),"")</f>
        <v/>
      </c>
      <c r="BT105" s="56">
        <f>IF(COUNT(X105:AE105)&gt;=7,AVERAGE(X105:AE105),"")</f>
        <v/>
      </c>
      <c r="BU105" s="56">
        <f>IF(COUNT(AF105:AM105)&gt;=7,AVERAGE(AF105:AM105),"")</f>
        <v/>
      </c>
      <c r="BV105" s="56">
        <f>IF(COUNT(AN105:AV105)&gt;=8,AVERAGE(AN105:AV105),"")</f>
        <v/>
      </c>
      <c r="BW105" s="56">
        <f>IF(COUNT(AW105:BD105)&gt;=7,AVERAGE(AW105:BD105),"")</f>
        <v/>
      </c>
      <c r="BX105" s="56">
        <f>IF(COUNT(BE105:BJ105)&gt;=5,AVERAGE(BE105:BJ105),"")</f>
        <v/>
      </c>
      <c r="BY105" s="56">
        <f>IF(COUNT(BK105:BR105)&gt;=7,AVERAGE(BK105:BR105),"")</f>
        <v/>
      </c>
    </row>
    <row r="106">
      <c r="A106" t="inlineStr">
        <is>
          <t>R075</t>
        </is>
      </c>
      <c r="B106" t="inlineStr">
        <is>
          <t>Yes</t>
        </is>
      </c>
      <c r="C106" t="inlineStr">
        <is>
          <t>Yes</t>
        </is>
      </c>
      <c r="D106" t="inlineStr">
        <is>
          <t>Male</t>
        </is>
      </c>
      <c r="E106" t="inlineStr">
        <is>
          <t>25-34</t>
        </is>
      </c>
      <c r="F106" t="inlineStr">
        <is>
          <t>Master's</t>
        </is>
      </c>
      <c r="G106" t="inlineStr">
        <is>
          <t>Fintech/payment provider</t>
        </is>
      </c>
      <c r="H106" t="inlineStr">
        <is>
          <t>Other</t>
        </is>
      </c>
      <c r="I106" t="inlineStr">
        <is>
          <t>2-5</t>
        </is>
      </c>
      <c r="J106" t="inlineStr">
        <is>
          <t>Yes</t>
        </is>
      </c>
      <c r="K106" t="n">
        <v>2</v>
      </c>
      <c r="L106" t="inlineStr">
        <is>
          <t>Yes</t>
        </is>
      </c>
      <c r="M106" t="inlineStr">
        <is>
          <t>Yes</t>
        </is>
      </c>
      <c r="N106" t="n">
        <v>4</v>
      </c>
      <c r="O106" t="n">
        <v>3</v>
      </c>
      <c r="P106" t="n">
        <v>4</v>
      </c>
      <c r="Q106" t="n">
        <v>4</v>
      </c>
      <c r="R106" t="n">
        <v>3</v>
      </c>
      <c r="S106" t="n">
        <v>3</v>
      </c>
      <c r="T106" t="n">
        <v>3</v>
      </c>
      <c r="U106" t="n">
        <v>2</v>
      </c>
      <c r="V106" t="n">
        <v>3</v>
      </c>
      <c r="W106" t="n">
        <v>3</v>
      </c>
      <c r="X106" t="n">
        <v>4</v>
      </c>
      <c r="Y106" t="n">
        <v>3</v>
      </c>
      <c r="Z106" t="n">
        <v>2</v>
      </c>
      <c r="AA106" t="n">
        <v>2</v>
      </c>
      <c r="AB106" t="n">
        <v>2</v>
      </c>
      <c r="AC106" t="n">
        <v>4</v>
      </c>
      <c r="AD106" t="n">
        <v>4</v>
      </c>
      <c r="AE106" t="n">
        <v>2</v>
      </c>
      <c r="AF106" t="n">
        <v>2</v>
      </c>
      <c r="AG106" t="n">
        <v>3</v>
      </c>
      <c r="AH106" t="n">
        <v>4</v>
      </c>
      <c r="AI106" t="n">
        <v>4</v>
      </c>
      <c r="AJ106" t="n">
        <v>5</v>
      </c>
      <c r="AK106" t="n">
        <v>4</v>
      </c>
      <c r="AL106" t="n">
        <v>3</v>
      </c>
      <c r="AM106" t="n">
        <v>4</v>
      </c>
      <c r="AN106" t="n">
        <v>3</v>
      </c>
      <c r="AO106" t="n">
        <v>3</v>
      </c>
      <c r="AP106" t="n">
        <v>4</v>
      </c>
      <c r="AQ106" t="n">
        <v>2</v>
      </c>
      <c r="AR106" t="n">
        <v>5</v>
      </c>
      <c r="AS106" t="n">
        <v>3</v>
      </c>
      <c r="AT106" t="n">
        <v>3</v>
      </c>
      <c r="AU106" t="n">
        <v>4</v>
      </c>
      <c r="AV106" t="n">
        <v>3</v>
      </c>
      <c r="AW106" t="n">
        <v>3</v>
      </c>
      <c r="AX106" t="n">
        <v>3</v>
      </c>
      <c r="AY106" t="n">
        <v>3</v>
      </c>
      <c r="AZ106" t="n">
        <v>2</v>
      </c>
      <c r="BA106" t="n">
        <v>3</v>
      </c>
      <c r="BB106" t="n">
        <v>3</v>
      </c>
      <c r="BC106" t="n">
        <v>3</v>
      </c>
      <c r="BD106" t="n">
        <v>3</v>
      </c>
      <c r="BE106" t="n">
        <v>3</v>
      </c>
      <c r="BF106" t="n">
        <v>1</v>
      </c>
      <c r="BG106" t="n">
        <v>2</v>
      </c>
      <c r="BH106" t="n">
        <v>3</v>
      </c>
      <c r="BI106" t="n">
        <v>2</v>
      </c>
      <c r="BJ106" t="n">
        <v>1</v>
      </c>
      <c r="BK106" t="n">
        <v>3</v>
      </c>
      <c r="BL106" t="n">
        <v>2</v>
      </c>
      <c r="BM106" t="n">
        <v>4</v>
      </c>
      <c r="BN106" t="n">
        <v>2</v>
      </c>
      <c r="BO106" t="n">
        <v>3</v>
      </c>
      <c r="BP106" t="n">
        <v>3</v>
      </c>
      <c r="BQ106" t="n">
        <v>4</v>
      </c>
      <c r="BR106" t="n">
        <v>3</v>
      </c>
      <c r="BS106" s="56">
        <f>IF(COUNT(N106:W106)&gt;=8,AVERAGE(N106:W106),"")</f>
        <v/>
      </c>
      <c r="BT106" s="56">
        <f>IF(COUNT(X106:AE106)&gt;=7,AVERAGE(X106:AE106),"")</f>
        <v/>
      </c>
      <c r="BU106" s="56">
        <f>IF(COUNT(AF106:AM106)&gt;=7,AVERAGE(AF106:AM106),"")</f>
        <v/>
      </c>
      <c r="BV106" s="56">
        <f>IF(COUNT(AN106:AV106)&gt;=8,AVERAGE(AN106:AV106),"")</f>
        <v/>
      </c>
      <c r="BW106" s="56">
        <f>IF(COUNT(AW106:BD106)&gt;=7,AVERAGE(AW106:BD106),"")</f>
        <v/>
      </c>
      <c r="BX106" s="56">
        <f>IF(COUNT(BE106:BJ106)&gt;=5,AVERAGE(BE106:BJ106),"")</f>
        <v/>
      </c>
      <c r="BY106" s="56">
        <f>IF(COUNT(BK106:BR106)&gt;=7,AVERAGE(BK106:BR106),"")</f>
        <v/>
      </c>
    </row>
    <row r="107">
      <c r="A107" t="inlineStr">
        <is>
          <t>R076</t>
        </is>
      </c>
      <c r="B107" t="inlineStr">
        <is>
          <t>Yes</t>
        </is>
      </c>
      <c r="C107" t="inlineStr">
        <is>
          <t>Yes</t>
        </is>
      </c>
      <c r="D107" t="inlineStr">
        <is>
          <t>Female</t>
        </is>
      </c>
      <c r="E107" t="inlineStr">
        <is>
          <t>55 or above</t>
        </is>
      </c>
      <c r="F107" t="inlineStr">
        <is>
          <t>Master's</t>
        </is>
      </c>
      <c r="G107" t="inlineStr">
        <is>
          <t>Insurance/investment/other licensed financial institution</t>
        </is>
      </c>
      <c r="H107" t="inlineStr">
        <is>
          <t>Digital Banking/Product</t>
        </is>
      </c>
      <c r="I107" t="inlineStr">
        <is>
          <t>2-5</t>
        </is>
      </c>
      <c r="J107" t="inlineStr">
        <is>
          <t>Yes</t>
        </is>
      </c>
      <c r="K107" t="n">
        <v>4</v>
      </c>
      <c r="L107" t="inlineStr">
        <is>
          <t>No</t>
        </is>
      </c>
      <c r="M107" t="inlineStr">
        <is>
          <t>Yes</t>
        </is>
      </c>
      <c r="N107" t="n">
        <v>4</v>
      </c>
      <c r="O107" t="n">
        <v>3</v>
      </c>
      <c r="P107" t="n">
        <v>4</v>
      </c>
      <c r="Q107" t="n">
        <v>3</v>
      </c>
      <c r="R107" t="n">
        <v>3</v>
      </c>
      <c r="S107" t="n">
        <v>4</v>
      </c>
      <c r="T107" t="n">
        <v>3</v>
      </c>
      <c r="U107" t="n">
        <v>4</v>
      </c>
      <c r="V107" t="n">
        <v>5</v>
      </c>
      <c r="W107" t="n">
        <v>3</v>
      </c>
      <c r="X107" t="n">
        <v>4</v>
      </c>
      <c r="Y107" t="n">
        <v>5</v>
      </c>
      <c r="Z107" t="n">
        <v>5</v>
      </c>
      <c r="AA107" t="n">
        <v>4</v>
      </c>
      <c r="AB107" t="n">
        <v>5</v>
      </c>
      <c r="AC107" t="n">
        <v>5</v>
      </c>
      <c r="AD107" t="n">
        <v>5</v>
      </c>
      <c r="AE107" t="n">
        <v>4</v>
      </c>
      <c r="AF107" t="n">
        <v>5</v>
      </c>
      <c r="AG107" t="n">
        <v>3</v>
      </c>
      <c r="AH107" t="n">
        <v>4</v>
      </c>
      <c r="AI107" t="n">
        <v>4</v>
      </c>
      <c r="AJ107" t="n">
        <v>4</v>
      </c>
      <c r="AK107" t="n">
        <v>5</v>
      </c>
      <c r="AL107" t="n">
        <v>3</v>
      </c>
      <c r="AM107" t="n">
        <v>3</v>
      </c>
      <c r="AN107" t="n">
        <v>5</v>
      </c>
      <c r="AO107" t="n">
        <v>5</v>
      </c>
      <c r="AP107" t="n">
        <v>5</v>
      </c>
      <c r="AQ107" t="n">
        <v>4</v>
      </c>
      <c r="AR107" t="n">
        <v>5</v>
      </c>
      <c r="AS107" t="n">
        <v>5</v>
      </c>
      <c r="AT107" t="n">
        <v>5</v>
      </c>
      <c r="AU107" t="n">
        <v>5</v>
      </c>
      <c r="AV107" t="n">
        <v>4</v>
      </c>
      <c r="AW107" t="n">
        <v>4</v>
      </c>
      <c r="AX107" t="n">
        <v>4</v>
      </c>
      <c r="AY107" t="n">
        <v>5</v>
      </c>
      <c r="AZ107" t="n">
        <v>4</v>
      </c>
      <c r="BA107" t="n">
        <v>4</v>
      </c>
      <c r="BB107" t="n">
        <v>5</v>
      </c>
      <c r="BC107" t="n">
        <v>5</v>
      </c>
      <c r="BD107" t="n">
        <v>5</v>
      </c>
      <c r="BE107" t="n">
        <v>4</v>
      </c>
      <c r="BF107" t="n">
        <v>5</v>
      </c>
      <c r="BG107" t="n">
        <v>3</v>
      </c>
      <c r="BH107" t="n">
        <v>5</v>
      </c>
      <c r="BI107" t="n">
        <v>5</v>
      </c>
      <c r="BJ107" t="n">
        <v>4</v>
      </c>
      <c r="BK107" t="n">
        <v>2</v>
      </c>
      <c r="BL107" t="n">
        <v>1</v>
      </c>
      <c r="BM107" t="n">
        <v>3</v>
      </c>
      <c r="BN107" t="n">
        <v>1</v>
      </c>
      <c r="BO107" t="n">
        <v>3</v>
      </c>
      <c r="BP107" t="n">
        <v>2</v>
      </c>
      <c r="BQ107" t="n">
        <v>3</v>
      </c>
      <c r="BR107" t="n">
        <v>2</v>
      </c>
      <c r="BS107" s="56">
        <f>IF(COUNT(N107:W107)&gt;=8,AVERAGE(N107:W107),"")</f>
        <v/>
      </c>
      <c r="BT107" s="56">
        <f>IF(COUNT(X107:AE107)&gt;=7,AVERAGE(X107:AE107),"")</f>
        <v/>
      </c>
      <c r="BU107" s="56">
        <f>IF(COUNT(AF107:AM107)&gt;=7,AVERAGE(AF107:AM107),"")</f>
        <v/>
      </c>
      <c r="BV107" s="56">
        <f>IF(COUNT(AN107:AV107)&gt;=8,AVERAGE(AN107:AV107),"")</f>
        <v/>
      </c>
      <c r="BW107" s="56">
        <f>IF(COUNT(AW107:BD107)&gt;=7,AVERAGE(AW107:BD107),"")</f>
        <v/>
      </c>
      <c r="BX107" s="56">
        <f>IF(COUNT(BE107:BJ107)&gt;=5,AVERAGE(BE107:BJ107),"")</f>
        <v/>
      </c>
      <c r="BY107" s="56">
        <f>IF(COUNT(BK107:BR107)&gt;=7,AVERAGE(BK107:BR107),"")</f>
        <v/>
      </c>
    </row>
    <row r="108">
      <c r="A108" t="inlineStr">
        <is>
          <t>R077</t>
        </is>
      </c>
      <c r="B108" t="inlineStr">
        <is>
          <t>Yes</t>
        </is>
      </c>
      <c r="C108" t="inlineStr">
        <is>
          <t>Yes</t>
        </is>
      </c>
      <c r="D108" t="inlineStr">
        <is>
          <t>Male</t>
        </is>
      </c>
      <c r="E108" t="inlineStr">
        <is>
          <t>25-34</t>
        </is>
      </c>
      <c r="F108" t="inlineStr">
        <is>
          <t>Diploma/OND/NCE</t>
        </is>
      </c>
      <c r="G108" t="inlineStr">
        <is>
          <t>Commercial bank</t>
        </is>
      </c>
      <c r="H108" t="inlineStr">
        <is>
          <t>Digital Banking/Product</t>
        </is>
      </c>
      <c r="I108" t="inlineStr">
        <is>
          <t>6-10</t>
        </is>
      </c>
      <c r="J108" t="inlineStr">
        <is>
          <t>Yes</t>
        </is>
      </c>
      <c r="K108" t="n">
        <v>1</v>
      </c>
      <c r="L108" t="inlineStr">
        <is>
          <t>No</t>
        </is>
      </c>
      <c r="M108" t="inlineStr">
        <is>
          <t>Yes</t>
        </is>
      </c>
      <c r="N108" t="n">
        <v>3</v>
      </c>
      <c r="O108" t="n">
        <v>3</v>
      </c>
      <c r="P108" t="n">
        <v>3</v>
      </c>
      <c r="Q108" t="n">
        <v>2</v>
      </c>
      <c r="S108" t="n">
        <v>3</v>
      </c>
      <c r="T108" t="n">
        <v>2</v>
      </c>
      <c r="U108" t="n">
        <v>3</v>
      </c>
      <c r="V108" t="n">
        <v>2</v>
      </c>
      <c r="W108" t="n">
        <v>2</v>
      </c>
      <c r="X108" t="n">
        <v>2</v>
      </c>
      <c r="Y108" t="n">
        <v>3</v>
      </c>
      <c r="Z108" t="n">
        <v>3</v>
      </c>
      <c r="AA108" t="n">
        <v>1</v>
      </c>
      <c r="AB108" t="n">
        <v>2</v>
      </c>
      <c r="AC108" t="n">
        <v>2</v>
      </c>
      <c r="AD108" t="n">
        <v>3</v>
      </c>
      <c r="AE108" t="n">
        <v>2</v>
      </c>
      <c r="AF108" t="n">
        <v>2</v>
      </c>
      <c r="AG108" t="n">
        <v>5</v>
      </c>
      <c r="AH108" t="n">
        <v>2</v>
      </c>
      <c r="AI108" t="n">
        <v>3</v>
      </c>
      <c r="AJ108" t="n">
        <v>3</v>
      </c>
      <c r="AK108" t="n">
        <v>3</v>
      </c>
      <c r="AL108" t="n">
        <v>3</v>
      </c>
      <c r="AN108" t="n">
        <v>3</v>
      </c>
      <c r="AO108" t="n">
        <v>4</v>
      </c>
      <c r="AP108" t="n">
        <v>3</v>
      </c>
      <c r="AQ108" t="n">
        <v>3</v>
      </c>
      <c r="AR108" t="n">
        <v>4</v>
      </c>
      <c r="AS108" t="n">
        <v>3</v>
      </c>
      <c r="AT108" t="n">
        <v>3</v>
      </c>
      <c r="AU108" t="n">
        <v>3</v>
      </c>
      <c r="AV108" t="n">
        <v>3</v>
      </c>
      <c r="AW108" t="n">
        <v>3</v>
      </c>
      <c r="AX108" t="n">
        <v>2</v>
      </c>
      <c r="AY108" t="n">
        <v>1</v>
      </c>
      <c r="AZ108" t="n">
        <v>2</v>
      </c>
      <c r="BA108" t="n">
        <v>3</v>
      </c>
      <c r="BB108" t="n">
        <v>2</v>
      </c>
      <c r="BC108" t="n">
        <v>2</v>
      </c>
      <c r="BD108" t="n">
        <v>2</v>
      </c>
      <c r="BE108" t="n">
        <v>3</v>
      </c>
      <c r="BF108" t="n">
        <v>4</v>
      </c>
      <c r="BG108" t="n">
        <v>2</v>
      </c>
      <c r="BH108" t="n">
        <v>4</v>
      </c>
      <c r="BI108" t="n">
        <v>3</v>
      </c>
      <c r="BJ108" t="n">
        <v>3</v>
      </c>
      <c r="BK108" t="n">
        <v>3</v>
      </c>
      <c r="BL108" t="n">
        <v>2</v>
      </c>
      <c r="BM108" t="n">
        <v>4</v>
      </c>
      <c r="BN108" t="n">
        <v>4</v>
      </c>
      <c r="BO108" t="n">
        <v>3</v>
      </c>
      <c r="BP108" t="n">
        <v>4</v>
      </c>
      <c r="BQ108" t="n">
        <v>4</v>
      </c>
      <c r="BR108" t="n">
        <v>2</v>
      </c>
      <c r="BS108" s="56">
        <f>IF(COUNT(N108:W108)&gt;=8,AVERAGE(N108:W108),"")</f>
        <v/>
      </c>
      <c r="BT108" s="56">
        <f>IF(COUNT(X108:AE108)&gt;=7,AVERAGE(X108:AE108),"")</f>
        <v/>
      </c>
      <c r="BU108" s="56">
        <f>IF(COUNT(AF108:AM108)&gt;=7,AVERAGE(AF108:AM108),"")</f>
        <v/>
      </c>
      <c r="BV108" s="56">
        <f>IF(COUNT(AN108:AV108)&gt;=8,AVERAGE(AN108:AV108),"")</f>
        <v/>
      </c>
      <c r="BW108" s="56">
        <f>IF(COUNT(AW108:BD108)&gt;=7,AVERAGE(AW108:BD108),"")</f>
        <v/>
      </c>
      <c r="BX108" s="56">
        <f>IF(COUNT(BE108:BJ108)&gt;=5,AVERAGE(BE108:BJ108),"")</f>
        <v/>
      </c>
      <c r="BY108" s="56">
        <f>IF(COUNT(BK108:BR108)&gt;=7,AVERAGE(BK108:BR108),"")</f>
        <v/>
      </c>
    </row>
    <row r="109">
      <c r="A109" t="inlineStr">
        <is>
          <t>R078</t>
        </is>
      </c>
      <c r="B109" t="inlineStr">
        <is>
          <t>Yes</t>
        </is>
      </c>
      <c r="C109" t="inlineStr">
        <is>
          <t>Yes</t>
        </is>
      </c>
      <c r="D109" t="inlineStr">
        <is>
          <t>Male</t>
        </is>
      </c>
      <c r="E109" t="inlineStr">
        <is>
          <t>35-44</t>
        </is>
      </c>
      <c r="F109" t="inlineStr">
        <is>
          <t>Bachelor/HND</t>
        </is>
      </c>
      <c r="G109" t="inlineStr">
        <is>
          <t>Commercial bank</t>
        </is>
      </c>
      <c r="H109" t="inlineStr">
        <is>
          <t>Customer Experience/Service</t>
        </is>
      </c>
      <c r="I109" t="inlineStr">
        <is>
          <t>16 or more</t>
        </is>
      </c>
      <c r="J109" t="inlineStr">
        <is>
          <t>Yes</t>
        </is>
      </c>
      <c r="K109" t="n">
        <v>3</v>
      </c>
      <c r="L109" t="inlineStr">
        <is>
          <t>Yes</t>
        </is>
      </c>
      <c r="M109" t="inlineStr">
        <is>
          <t>Yes</t>
        </is>
      </c>
      <c r="N109" t="n">
        <v>3</v>
      </c>
      <c r="O109" t="n">
        <v>2</v>
      </c>
      <c r="P109" t="n">
        <v>3</v>
      </c>
      <c r="Q109" t="n">
        <v>3</v>
      </c>
      <c r="R109" t="n">
        <v>4</v>
      </c>
      <c r="S109" t="n">
        <v>2</v>
      </c>
      <c r="T109" t="n">
        <v>2</v>
      </c>
      <c r="U109" t="n">
        <v>4</v>
      </c>
      <c r="V109" t="n">
        <v>3</v>
      </c>
      <c r="W109" t="n">
        <v>3</v>
      </c>
      <c r="X109" t="n">
        <v>4</v>
      </c>
      <c r="Y109" t="n">
        <v>2</v>
      </c>
      <c r="Z109" t="n">
        <v>4</v>
      </c>
      <c r="AA109" t="n">
        <v>3</v>
      </c>
      <c r="AB109" t="n">
        <v>3</v>
      </c>
      <c r="AC109" t="n">
        <v>4</v>
      </c>
      <c r="AD109" t="n">
        <v>3</v>
      </c>
      <c r="AE109" t="n">
        <v>4</v>
      </c>
      <c r="AF109" t="n">
        <v>2</v>
      </c>
      <c r="AG109" t="n">
        <v>4</v>
      </c>
      <c r="AH109" t="n">
        <v>2</v>
      </c>
      <c r="AI109" t="n">
        <v>4</v>
      </c>
      <c r="AJ109" t="n">
        <v>3</v>
      </c>
      <c r="AK109" t="n">
        <v>3</v>
      </c>
      <c r="AL109" t="n">
        <v>4</v>
      </c>
      <c r="AM109" t="n">
        <v>3</v>
      </c>
      <c r="AN109" t="n">
        <v>4</v>
      </c>
      <c r="AO109" t="n">
        <v>4</v>
      </c>
      <c r="AP109" t="n">
        <v>5</v>
      </c>
      <c r="AQ109" t="n">
        <v>4</v>
      </c>
      <c r="AR109" t="n">
        <v>5</v>
      </c>
      <c r="AS109" t="n">
        <v>2</v>
      </c>
      <c r="AT109" t="n">
        <v>4</v>
      </c>
      <c r="AU109" t="n">
        <v>4</v>
      </c>
      <c r="AV109" t="n">
        <v>4</v>
      </c>
      <c r="AW109" t="n">
        <v>4</v>
      </c>
      <c r="AX109" t="n">
        <v>2</v>
      </c>
      <c r="AY109" t="n">
        <v>4</v>
      </c>
      <c r="AZ109" t="n">
        <v>2</v>
      </c>
      <c r="BA109" t="n">
        <v>3</v>
      </c>
      <c r="BB109" t="n">
        <v>3</v>
      </c>
      <c r="BC109" t="n">
        <v>2</v>
      </c>
      <c r="BD109" t="n">
        <v>2</v>
      </c>
      <c r="BE109" t="n">
        <v>4</v>
      </c>
      <c r="BF109" t="n">
        <v>4</v>
      </c>
      <c r="BG109" t="n">
        <v>3</v>
      </c>
      <c r="BH109" t="n">
        <v>3</v>
      </c>
      <c r="BI109" t="n">
        <v>3</v>
      </c>
      <c r="BJ109" t="n">
        <v>5</v>
      </c>
      <c r="BK109" t="n">
        <v>3</v>
      </c>
      <c r="BL109" t="n">
        <v>4</v>
      </c>
      <c r="BM109" t="n">
        <v>4</v>
      </c>
      <c r="BN109" t="n">
        <v>4</v>
      </c>
      <c r="BO109" t="n">
        <v>3</v>
      </c>
      <c r="BP109" t="n">
        <v>4</v>
      </c>
      <c r="BQ109" t="n">
        <v>3</v>
      </c>
      <c r="BR109" t="n">
        <v>5</v>
      </c>
      <c r="BS109" s="56">
        <f>IF(COUNT(N109:W109)&gt;=8,AVERAGE(N109:W109),"")</f>
        <v/>
      </c>
      <c r="BT109" s="56">
        <f>IF(COUNT(X109:AE109)&gt;=7,AVERAGE(X109:AE109),"")</f>
        <v/>
      </c>
      <c r="BU109" s="56">
        <f>IF(COUNT(AF109:AM109)&gt;=7,AVERAGE(AF109:AM109),"")</f>
        <v/>
      </c>
      <c r="BV109" s="56">
        <f>IF(COUNT(AN109:AV109)&gt;=8,AVERAGE(AN109:AV109),"")</f>
        <v/>
      </c>
      <c r="BW109" s="56">
        <f>IF(COUNT(AW109:BD109)&gt;=7,AVERAGE(AW109:BD109),"")</f>
        <v/>
      </c>
      <c r="BX109" s="56">
        <f>IF(COUNT(BE109:BJ109)&gt;=5,AVERAGE(BE109:BJ109),"")</f>
        <v/>
      </c>
      <c r="BY109" s="56">
        <f>IF(COUNT(BK109:BR109)&gt;=7,AVERAGE(BK109:BR109),"")</f>
        <v/>
      </c>
    </row>
    <row r="110">
      <c r="A110" t="inlineStr">
        <is>
          <t>R079</t>
        </is>
      </c>
      <c r="B110" t="inlineStr">
        <is>
          <t>Yes</t>
        </is>
      </c>
      <c r="C110" t="inlineStr">
        <is>
          <t>Yes</t>
        </is>
      </c>
      <c r="D110" t="inlineStr">
        <is>
          <t>Male</t>
        </is>
      </c>
      <c r="E110" t="inlineStr">
        <is>
          <t>25-34</t>
        </is>
      </c>
      <c r="F110" t="inlineStr">
        <is>
          <t>Postgraduate Diploma</t>
        </is>
      </c>
      <c r="G110" t="inlineStr">
        <is>
          <t>Insurance/investment/other licensed financial institution</t>
        </is>
      </c>
      <c r="H110" t="inlineStr">
        <is>
          <t>Digital Banking/Product</t>
        </is>
      </c>
      <c r="I110" t="inlineStr">
        <is>
          <t>Less than 2</t>
        </is>
      </c>
      <c r="J110" t="inlineStr">
        <is>
          <t>Yes</t>
        </is>
      </c>
      <c r="K110" t="n">
        <v>3</v>
      </c>
      <c r="L110" t="inlineStr">
        <is>
          <t>No</t>
        </is>
      </c>
      <c r="M110" t="inlineStr">
        <is>
          <t>Yes</t>
        </is>
      </c>
      <c r="N110" t="n">
        <v>3</v>
      </c>
      <c r="O110" t="n">
        <v>3</v>
      </c>
      <c r="P110" t="n">
        <v>4</v>
      </c>
      <c r="Q110" t="n">
        <v>2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5</v>
      </c>
      <c r="Y110" t="n">
        <v>3</v>
      </c>
      <c r="Z110" t="n">
        <v>4</v>
      </c>
      <c r="AA110" t="n">
        <v>4</v>
      </c>
      <c r="AB110" t="n">
        <v>3</v>
      </c>
      <c r="AC110" t="n">
        <v>4</v>
      </c>
      <c r="AD110" t="n">
        <v>4</v>
      </c>
      <c r="AE110" t="n">
        <v>3</v>
      </c>
      <c r="AF110" t="n">
        <v>3</v>
      </c>
      <c r="AG110" t="n">
        <v>4</v>
      </c>
      <c r="AH110" t="n">
        <v>3</v>
      </c>
      <c r="AI110" t="n">
        <v>5</v>
      </c>
      <c r="AJ110" t="n">
        <v>4</v>
      </c>
      <c r="AK110" t="n">
        <v>3</v>
      </c>
      <c r="AL110" t="n">
        <v>4</v>
      </c>
      <c r="AM110" t="n">
        <v>3</v>
      </c>
      <c r="AN110" t="n">
        <v>3</v>
      </c>
      <c r="AO110" t="n">
        <v>1</v>
      </c>
      <c r="AP110" t="n">
        <v>2</v>
      </c>
      <c r="AQ110" t="n">
        <v>2</v>
      </c>
      <c r="AR110" t="n">
        <v>2</v>
      </c>
      <c r="AS110" t="n">
        <v>3</v>
      </c>
      <c r="AT110" t="n">
        <v>3</v>
      </c>
      <c r="AU110" t="n">
        <v>3</v>
      </c>
      <c r="AV110" t="n">
        <v>2</v>
      </c>
      <c r="AW110" t="n">
        <v>3</v>
      </c>
      <c r="AX110" t="n">
        <v>3</v>
      </c>
      <c r="AY110" t="n">
        <v>3</v>
      </c>
      <c r="AZ110" t="n">
        <v>3</v>
      </c>
      <c r="BA110" t="n">
        <v>3</v>
      </c>
      <c r="BB110" t="n">
        <v>3</v>
      </c>
      <c r="BC110" t="n">
        <v>3</v>
      </c>
      <c r="BD110" t="n">
        <v>1</v>
      </c>
      <c r="BE110" t="n">
        <v>3</v>
      </c>
      <c r="BF110" t="n">
        <v>4</v>
      </c>
      <c r="BG110" t="n">
        <v>3</v>
      </c>
      <c r="BH110" t="n">
        <v>4</v>
      </c>
      <c r="BI110" t="n">
        <v>3</v>
      </c>
      <c r="BJ110" t="n">
        <v>3</v>
      </c>
      <c r="BK110" t="n">
        <v>3</v>
      </c>
      <c r="BL110" t="n">
        <v>3</v>
      </c>
      <c r="BM110" t="n">
        <v>4</v>
      </c>
      <c r="BN110" t="n">
        <v>3</v>
      </c>
      <c r="BO110" t="n">
        <v>2</v>
      </c>
      <c r="BP110" t="n">
        <v>4</v>
      </c>
      <c r="BQ110" t="n">
        <v>4</v>
      </c>
      <c r="BR110" t="n">
        <v>4</v>
      </c>
      <c r="BS110" s="56">
        <f>IF(COUNT(N110:W110)&gt;=8,AVERAGE(N110:W110),"")</f>
        <v/>
      </c>
      <c r="BT110" s="56">
        <f>IF(COUNT(X110:AE110)&gt;=7,AVERAGE(X110:AE110),"")</f>
        <v/>
      </c>
      <c r="BU110" s="56">
        <f>IF(COUNT(AF110:AM110)&gt;=7,AVERAGE(AF110:AM110),"")</f>
        <v/>
      </c>
      <c r="BV110" s="56">
        <f>IF(COUNT(AN110:AV110)&gt;=8,AVERAGE(AN110:AV110),"")</f>
        <v/>
      </c>
      <c r="BW110" s="56">
        <f>IF(COUNT(AW110:BD110)&gt;=7,AVERAGE(AW110:BD110),"")</f>
        <v/>
      </c>
      <c r="BX110" s="56">
        <f>IF(COUNT(BE110:BJ110)&gt;=5,AVERAGE(BE110:BJ110),"")</f>
        <v/>
      </c>
      <c r="BY110" s="56">
        <f>IF(COUNT(BK110:BR110)&gt;=7,AVERAGE(BK110:BR110),"")</f>
        <v/>
      </c>
    </row>
    <row r="111">
      <c r="A111" t="inlineStr">
        <is>
          <t>R080</t>
        </is>
      </c>
      <c r="B111" t="inlineStr">
        <is>
          <t>Yes</t>
        </is>
      </c>
      <c r="C111" t="inlineStr">
        <is>
          <t>Yes</t>
        </is>
      </c>
      <c r="D111" t="inlineStr">
        <is>
          <t>Male</t>
        </is>
      </c>
      <c r="E111" t="inlineStr">
        <is>
          <t>45-54</t>
        </is>
      </c>
      <c r="F111" t="inlineStr">
        <is>
          <t>Master's</t>
        </is>
      </c>
      <c r="G111" t="inlineStr">
        <is>
          <t>Microfinance bank</t>
        </is>
      </c>
      <c r="H111" t="inlineStr">
        <is>
          <t>IT/Technology</t>
        </is>
      </c>
      <c r="I111" t="inlineStr">
        <is>
          <t>2-5</t>
        </is>
      </c>
      <c r="J111" t="inlineStr">
        <is>
          <t>Yes</t>
        </is>
      </c>
      <c r="K111" t="n">
        <v>4</v>
      </c>
      <c r="L111" t="inlineStr">
        <is>
          <t>No</t>
        </is>
      </c>
      <c r="M111" t="inlineStr">
        <is>
          <t>Yes</t>
        </is>
      </c>
      <c r="N111" t="n">
        <v>3</v>
      </c>
      <c r="O111" t="n">
        <v>3</v>
      </c>
      <c r="P111" t="n">
        <v>4</v>
      </c>
      <c r="Q111" t="n">
        <v>3</v>
      </c>
      <c r="R111" t="n">
        <v>4</v>
      </c>
      <c r="S111" t="n">
        <v>4</v>
      </c>
      <c r="T111" t="n">
        <v>4</v>
      </c>
      <c r="U111" t="n">
        <v>3</v>
      </c>
      <c r="V111" t="n">
        <v>4</v>
      </c>
      <c r="W111" t="n">
        <v>2</v>
      </c>
      <c r="X111" t="n">
        <v>4</v>
      </c>
      <c r="Y111" t="n">
        <v>4</v>
      </c>
      <c r="Z111" t="n">
        <v>5</v>
      </c>
      <c r="AA111" t="n">
        <v>3</v>
      </c>
      <c r="AB111" t="n">
        <v>5</v>
      </c>
      <c r="AC111" t="n">
        <v>4</v>
      </c>
      <c r="AD111" t="n">
        <v>5</v>
      </c>
      <c r="AE111" t="n">
        <v>4</v>
      </c>
      <c r="AF111" t="n">
        <v>4</v>
      </c>
      <c r="AG111" t="n">
        <v>4</v>
      </c>
      <c r="AH111" t="n">
        <v>4</v>
      </c>
      <c r="AI111" t="n">
        <v>5</v>
      </c>
      <c r="AJ111" t="n">
        <v>5</v>
      </c>
      <c r="AK111" t="n">
        <v>5</v>
      </c>
      <c r="AL111" t="n">
        <v>5</v>
      </c>
      <c r="AM111" t="n">
        <v>4</v>
      </c>
      <c r="AN111" t="n">
        <v>4</v>
      </c>
      <c r="AO111" t="n">
        <v>3</v>
      </c>
      <c r="AP111" t="n">
        <v>4</v>
      </c>
      <c r="AQ111" t="n">
        <v>3</v>
      </c>
      <c r="AR111" t="n">
        <v>5</v>
      </c>
      <c r="AS111" t="n">
        <v>4</v>
      </c>
      <c r="AT111" t="n">
        <v>3</v>
      </c>
      <c r="AU111" t="n">
        <v>3</v>
      </c>
      <c r="AV111" t="n">
        <v>5</v>
      </c>
      <c r="AW111" t="n">
        <v>4</v>
      </c>
      <c r="AX111" t="n">
        <v>4</v>
      </c>
      <c r="AY111" t="n">
        <v>4</v>
      </c>
      <c r="BA111" t="n">
        <v>3</v>
      </c>
      <c r="BB111" t="n">
        <v>4</v>
      </c>
      <c r="BC111" t="n">
        <v>4</v>
      </c>
      <c r="BD111" t="n">
        <v>3</v>
      </c>
      <c r="BE111" t="n">
        <v>4</v>
      </c>
      <c r="BF111" t="n">
        <v>4</v>
      </c>
      <c r="BG111" t="n">
        <v>3</v>
      </c>
      <c r="BH111" t="n">
        <v>4</v>
      </c>
      <c r="BI111" t="n">
        <v>4</v>
      </c>
      <c r="BJ111" t="n">
        <v>4</v>
      </c>
      <c r="BL111" t="n">
        <v>2</v>
      </c>
      <c r="BM111" t="n">
        <v>3</v>
      </c>
      <c r="BN111" t="n">
        <v>3</v>
      </c>
      <c r="BO111" t="n">
        <v>4</v>
      </c>
      <c r="BP111" t="n">
        <v>3</v>
      </c>
      <c r="BQ111" t="n">
        <v>3</v>
      </c>
      <c r="BR111" t="n">
        <v>3</v>
      </c>
      <c r="BS111" s="56">
        <f>IF(COUNT(N111:W111)&gt;=8,AVERAGE(N111:W111),"")</f>
        <v/>
      </c>
      <c r="BT111" s="56">
        <f>IF(COUNT(X111:AE111)&gt;=7,AVERAGE(X111:AE111),"")</f>
        <v/>
      </c>
      <c r="BU111" s="56">
        <f>IF(COUNT(AF111:AM111)&gt;=7,AVERAGE(AF111:AM111),"")</f>
        <v/>
      </c>
      <c r="BV111" s="56">
        <f>IF(COUNT(AN111:AV111)&gt;=8,AVERAGE(AN111:AV111),"")</f>
        <v/>
      </c>
      <c r="BW111" s="56">
        <f>IF(COUNT(AW111:BD111)&gt;=7,AVERAGE(AW111:BD111),"")</f>
        <v/>
      </c>
      <c r="BX111" s="56">
        <f>IF(COUNT(BE111:BJ111)&gt;=5,AVERAGE(BE111:BJ111),"")</f>
        <v/>
      </c>
      <c r="BY111" s="56">
        <f>IF(COUNT(BK111:BR111)&gt;=7,AVERAGE(BK111:BR111),"")</f>
        <v/>
      </c>
    </row>
    <row r="112">
      <c r="A112" t="inlineStr">
        <is>
          <t>R081</t>
        </is>
      </c>
      <c r="B112" t="inlineStr">
        <is>
          <t>Yes</t>
        </is>
      </c>
      <c r="C112" t="inlineStr">
        <is>
          <t>Yes</t>
        </is>
      </c>
      <c r="D112" t="inlineStr">
        <is>
          <t>Female</t>
        </is>
      </c>
      <c r="E112" t="inlineStr">
        <is>
          <t>25-34</t>
        </is>
      </c>
      <c r="F112" t="inlineStr">
        <is>
          <t>Bachelor/HND</t>
        </is>
      </c>
      <c r="G112" t="inlineStr">
        <is>
          <t>Fintech/payment provider</t>
        </is>
      </c>
      <c r="H112" t="inlineStr">
        <is>
          <t>IT/Technology</t>
        </is>
      </c>
      <c r="I112" t="inlineStr">
        <is>
          <t>16 or more</t>
        </is>
      </c>
      <c r="J112" t="inlineStr">
        <is>
          <t>Yes</t>
        </is>
      </c>
      <c r="K112" t="n">
        <v>3</v>
      </c>
      <c r="L112" t="inlineStr">
        <is>
          <t>No</t>
        </is>
      </c>
      <c r="M112" t="inlineStr">
        <is>
          <t>Yes</t>
        </is>
      </c>
      <c r="N112" t="n">
        <v>4</v>
      </c>
      <c r="O112" t="n">
        <v>2</v>
      </c>
      <c r="P112" t="n">
        <v>5</v>
      </c>
      <c r="Q112" t="n">
        <v>2</v>
      </c>
      <c r="R112" t="n">
        <v>4</v>
      </c>
      <c r="S112" t="n">
        <v>3</v>
      </c>
      <c r="T112" t="n">
        <v>3</v>
      </c>
      <c r="U112" t="n">
        <v>4</v>
      </c>
      <c r="V112" t="n">
        <v>4</v>
      </c>
      <c r="W112" t="n">
        <v>3</v>
      </c>
      <c r="X112" t="n">
        <v>4</v>
      </c>
      <c r="Y112" t="n">
        <v>3</v>
      </c>
      <c r="Z112" t="n">
        <v>4</v>
      </c>
      <c r="AA112" t="n">
        <v>2</v>
      </c>
      <c r="AB112" t="n">
        <v>3</v>
      </c>
      <c r="AC112" t="n">
        <v>4</v>
      </c>
      <c r="AD112" t="n">
        <v>3</v>
      </c>
      <c r="AE112" t="n">
        <v>3</v>
      </c>
      <c r="AF112" t="n">
        <v>4</v>
      </c>
      <c r="AG112" t="n">
        <v>3</v>
      </c>
      <c r="AH112" t="n">
        <v>3</v>
      </c>
      <c r="AI112" t="n">
        <v>3</v>
      </c>
      <c r="AJ112" t="n">
        <v>3</v>
      </c>
      <c r="AK112" t="n">
        <v>4</v>
      </c>
      <c r="AL112" t="n">
        <v>2</v>
      </c>
      <c r="AM112" t="n">
        <v>3</v>
      </c>
      <c r="AN112" t="n">
        <v>4</v>
      </c>
      <c r="AO112" t="n">
        <v>5</v>
      </c>
      <c r="AP112" t="n">
        <v>5</v>
      </c>
      <c r="AQ112" t="n">
        <v>4</v>
      </c>
      <c r="AR112" t="n">
        <v>4</v>
      </c>
      <c r="AS112" t="n">
        <v>5</v>
      </c>
      <c r="AT112" t="n">
        <v>4</v>
      </c>
      <c r="AU112" t="n">
        <v>4</v>
      </c>
      <c r="AV112" t="n">
        <v>5</v>
      </c>
      <c r="AW112" t="n">
        <v>3</v>
      </c>
      <c r="AX112" t="n">
        <v>3</v>
      </c>
      <c r="AY112" t="n">
        <v>3</v>
      </c>
      <c r="AZ112" t="n">
        <v>3</v>
      </c>
      <c r="BA112" t="n">
        <v>3</v>
      </c>
      <c r="BC112" t="n">
        <v>4</v>
      </c>
      <c r="BD112" t="n">
        <v>3</v>
      </c>
      <c r="BE112" t="n">
        <v>2</v>
      </c>
      <c r="BF112" t="n">
        <v>3</v>
      </c>
      <c r="BG112" t="n">
        <v>3</v>
      </c>
      <c r="BH112" t="n">
        <v>4</v>
      </c>
      <c r="BI112" t="n">
        <v>3</v>
      </c>
      <c r="BJ112" t="n">
        <v>2</v>
      </c>
      <c r="BK112" t="n">
        <v>3</v>
      </c>
      <c r="BL112" t="n">
        <v>3</v>
      </c>
      <c r="BM112" t="n">
        <v>4</v>
      </c>
      <c r="BN112" t="n">
        <v>3</v>
      </c>
      <c r="BO112" t="n">
        <v>3</v>
      </c>
      <c r="BQ112" t="n">
        <v>3</v>
      </c>
      <c r="BR112" t="n">
        <v>4</v>
      </c>
      <c r="BS112" s="56">
        <f>IF(COUNT(N112:W112)&gt;=8,AVERAGE(N112:W112),"")</f>
        <v/>
      </c>
      <c r="BT112" s="56">
        <f>IF(COUNT(X112:AE112)&gt;=7,AVERAGE(X112:AE112),"")</f>
        <v/>
      </c>
      <c r="BU112" s="56">
        <f>IF(COUNT(AF112:AM112)&gt;=7,AVERAGE(AF112:AM112),"")</f>
        <v/>
      </c>
      <c r="BV112" s="56">
        <f>IF(COUNT(AN112:AV112)&gt;=8,AVERAGE(AN112:AV112),"")</f>
        <v/>
      </c>
      <c r="BW112" s="56">
        <f>IF(COUNT(AW112:BD112)&gt;=7,AVERAGE(AW112:BD112),"")</f>
        <v/>
      </c>
      <c r="BX112" s="56">
        <f>IF(COUNT(BE112:BJ112)&gt;=5,AVERAGE(BE112:BJ112),"")</f>
        <v/>
      </c>
      <c r="BY112" s="56">
        <f>IF(COUNT(BK112:BR112)&gt;=7,AVERAGE(BK112:BR112),"")</f>
        <v/>
      </c>
    </row>
    <row r="113">
      <c r="A113" t="inlineStr">
        <is>
          <t>R082</t>
        </is>
      </c>
      <c r="B113" t="inlineStr">
        <is>
          <t>Yes</t>
        </is>
      </c>
      <c r="C113" t="inlineStr">
        <is>
          <t>Yes</t>
        </is>
      </c>
      <c r="D113" t="inlineStr">
        <is>
          <t>Female</t>
        </is>
      </c>
      <c r="E113" t="inlineStr">
        <is>
          <t>18-24</t>
        </is>
      </c>
      <c r="F113" t="inlineStr">
        <is>
          <t>Master's</t>
        </is>
      </c>
      <c r="G113" t="inlineStr">
        <is>
          <t>Commercial bank</t>
        </is>
      </c>
      <c r="H113" t="inlineStr">
        <is>
          <t>Customer Experience/Service</t>
        </is>
      </c>
      <c r="I113" t="inlineStr">
        <is>
          <t>6-10</t>
        </is>
      </c>
      <c r="J113" t="inlineStr">
        <is>
          <t>Yes</t>
        </is>
      </c>
      <c r="K113" t="n">
        <v>2</v>
      </c>
      <c r="L113" t="inlineStr">
        <is>
          <t>Yes</t>
        </is>
      </c>
      <c r="M113" t="inlineStr">
        <is>
          <t>Yes</t>
        </is>
      </c>
      <c r="N113" t="n">
        <v>3</v>
      </c>
      <c r="O113" t="n">
        <v>3</v>
      </c>
      <c r="P113" t="n">
        <v>4</v>
      </c>
      <c r="Q113" t="n">
        <v>2</v>
      </c>
      <c r="R113" t="n">
        <v>4</v>
      </c>
      <c r="S113" t="n">
        <v>3</v>
      </c>
      <c r="T113" t="n">
        <v>3</v>
      </c>
      <c r="U113" t="n">
        <v>3</v>
      </c>
      <c r="V113" t="n">
        <v>4</v>
      </c>
      <c r="W113" t="n">
        <v>2</v>
      </c>
      <c r="X113" t="n">
        <v>4</v>
      </c>
      <c r="Y113" t="n">
        <v>4</v>
      </c>
      <c r="Z113" t="n">
        <v>5</v>
      </c>
      <c r="AA113" t="n">
        <v>3</v>
      </c>
      <c r="AB113" t="n">
        <v>4</v>
      </c>
      <c r="AC113" t="n">
        <v>4</v>
      </c>
      <c r="AD113" t="n">
        <v>4</v>
      </c>
      <c r="AE113" t="n">
        <v>5</v>
      </c>
      <c r="AG113" t="n">
        <v>4</v>
      </c>
      <c r="AH113" t="n">
        <v>3</v>
      </c>
      <c r="AI113" t="n">
        <v>4</v>
      </c>
      <c r="AJ113" t="n">
        <v>3</v>
      </c>
      <c r="AK113" t="n">
        <v>4</v>
      </c>
      <c r="AL113" t="n">
        <v>3</v>
      </c>
      <c r="AM113" t="n">
        <v>3</v>
      </c>
      <c r="AN113" t="n">
        <v>4</v>
      </c>
      <c r="AO113" t="n">
        <v>3</v>
      </c>
      <c r="AQ113" t="n">
        <v>3</v>
      </c>
      <c r="AR113" t="n">
        <v>4</v>
      </c>
      <c r="AS113" t="n">
        <v>4</v>
      </c>
      <c r="AT113" t="n">
        <v>4</v>
      </c>
      <c r="AU113" t="n">
        <v>4</v>
      </c>
      <c r="AV113" t="n">
        <v>3</v>
      </c>
      <c r="AW113" t="n">
        <v>3</v>
      </c>
      <c r="AX113" t="n">
        <v>4</v>
      </c>
      <c r="AZ113" t="n">
        <v>2</v>
      </c>
      <c r="BA113" t="n">
        <v>4</v>
      </c>
      <c r="BB113" t="n">
        <v>2</v>
      </c>
      <c r="BC113" t="n">
        <v>4</v>
      </c>
      <c r="BD113" t="n">
        <v>3</v>
      </c>
      <c r="BE113" t="n">
        <v>3</v>
      </c>
      <c r="BF113" t="n">
        <v>3</v>
      </c>
      <c r="BG113" t="n">
        <v>2</v>
      </c>
      <c r="BH113" t="n">
        <v>2</v>
      </c>
      <c r="BI113" t="n">
        <v>3</v>
      </c>
      <c r="BJ113" t="n">
        <v>3</v>
      </c>
      <c r="BK113" t="n">
        <v>3</v>
      </c>
      <c r="BL113" t="n">
        <v>1</v>
      </c>
      <c r="BM113" t="n">
        <v>3</v>
      </c>
      <c r="BN113" t="n">
        <v>3</v>
      </c>
      <c r="BO113" t="n">
        <v>2</v>
      </c>
      <c r="BP113" t="n">
        <v>2</v>
      </c>
      <c r="BQ113" t="n">
        <v>2</v>
      </c>
      <c r="BR113" t="n">
        <v>3</v>
      </c>
      <c r="BS113" s="56">
        <f>IF(COUNT(N113:W113)&gt;=8,AVERAGE(N113:W113),"")</f>
        <v/>
      </c>
      <c r="BT113" s="56">
        <f>IF(COUNT(X113:AE113)&gt;=7,AVERAGE(X113:AE113),"")</f>
        <v/>
      </c>
      <c r="BU113" s="56">
        <f>IF(COUNT(AF113:AM113)&gt;=7,AVERAGE(AF113:AM113),"")</f>
        <v/>
      </c>
      <c r="BV113" s="56">
        <f>IF(COUNT(AN113:AV113)&gt;=8,AVERAGE(AN113:AV113),"")</f>
        <v/>
      </c>
      <c r="BW113" s="56">
        <f>IF(COUNT(AW113:BD113)&gt;=7,AVERAGE(AW113:BD113),"")</f>
        <v/>
      </c>
      <c r="BX113" s="56">
        <f>IF(COUNT(BE113:BJ113)&gt;=5,AVERAGE(BE113:BJ113),"")</f>
        <v/>
      </c>
      <c r="BY113" s="56">
        <f>IF(COUNT(BK113:BR113)&gt;=7,AVERAGE(BK113:BR113),"")</f>
        <v/>
      </c>
    </row>
    <row r="114">
      <c r="A114" t="inlineStr">
        <is>
          <t>R083</t>
        </is>
      </c>
      <c r="B114" t="inlineStr">
        <is>
          <t>Yes</t>
        </is>
      </c>
      <c r="C114" t="inlineStr">
        <is>
          <t>Yes</t>
        </is>
      </c>
      <c r="D114" t="inlineStr">
        <is>
          <t>Male</t>
        </is>
      </c>
      <c r="E114" t="inlineStr">
        <is>
          <t>35-44</t>
        </is>
      </c>
      <c r="F114" t="inlineStr">
        <is>
          <t>Doctorate</t>
        </is>
      </c>
      <c r="G114" t="inlineStr">
        <is>
          <t>Commercial bank</t>
        </is>
      </c>
      <c r="H114" t="inlineStr">
        <is>
          <t>Risk/Compliance</t>
        </is>
      </c>
      <c r="I114" t="inlineStr">
        <is>
          <t>11-15</t>
        </is>
      </c>
      <c r="J114" t="inlineStr">
        <is>
          <t>Yes</t>
        </is>
      </c>
      <c r="K114" t="n">
        <v>2</v>
      </c>
      <c r="L114" t="inlineStr">
        <is>
          <t>Do not know</t>
        </is>
      </c>
      <c r="M114" t="inlineStr">
        <is>
          <t>Yes</t>
        </is>
      </c>
      <c r="N114" t="n">
        <v>1</v>
      </c>
      <c r="O114" t="n">
        <v>2</v>
      </c>
      <c r="P114" t="n">
        <v>1</v>
      </c>
      <c r="Q114" t="n">
        <v>1</v>
      </c>
      <c r="R114" t="n">
        <v>3</v>
      </c>
      <c r="S114" t="n">
        <v>2</v>
      </c>
      <c r="T114" t="n">
        <v>2</v>
      </c>
      <c r="U114" t="n">
        <v>2</v>
      </c>
      <c r="V114" t="n">
        <v>2</v>
      </c>
      <c r="W114" t="n">
        <v>1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4</v>
      </c>
      <c r="AE114" t="n">
        <v>2</v>
      </c>
      <c r="AF114" t="n">
        <v>4</v>
      </c>
      <c r="AG114" t="n">
        <v>5</v>
      </c>
      <c r="AH114" t="n">
        <v>4</v>
      </c>
      <c r="AI114" t="n">
        <v>5</v>
      </c>
      <c r="AJ114" t="n">
        <v>5</v>
      </c>
      <c r="AK114" t="n">
        <v>4</v>
      </c>
      <c r="AL114" t="n">
        <v>5</v>
      </c>
      <c r="AM114" t="n">
        <v>3</v>
      </c>
      <c r="AN114" t="n">
        <v>3</v>
      </c>
      <c r="AO114" t="n">
        <v>3</v>
      </c>
      <c r="AP114" t="n">
        <v>3</v>
      </c>
      <c r="AQ114" t="n">
        <v>2</v>
      </c>
      <c r="AR114" t="n">
        <v>3</v>
      </c>
      <c r="AS114" t="n">
        <v>3</v>
      </c>
      <c r="AU114" t="n">
        <v>2</v>
      </c>
      <c r="AV114" t="n">
        <v>3</v>
      </c>
      <c r="AW114" t="n">
        <v>4</v>
      </c>
      <c r="AX114" t="n">
        <v>4</v>
      </c>
      <c r="AY114" t="n">
        <v>4</v>
      </c>
      <c r="AZ114" t="n">
        <v>3</v>
      </c>
      <c r="BA114" t="n">
        <v>4</v>
      </c>
      <c r="BB114" t="n">
        <v>4</v>
      </c>
      <c r="BC114" t="n">
        <v>3</v>
      </c>
      <c r="BD114" t="n">
        <v>4</v>
      </c>
      <c r="BE114" t="n">
        <v>4</v>
      </c>
      <c r="BF114" t="n">
        <v>3</v>
      </c>
      <c r="BG114" t="n">
        <v>3</v>
      </c>
      <c r="BH114" t="n">
        <v>3</v>
      </c>
      <c r="BI114" t="n">
        <v>2</v>
      </c>
      <c r="BJ114" t="n">
        <v>3</v>
      </c>
      <c r="BK114" t="n">
        <v>3</v>
      </c>
      <c r="BL114" t="n">
        <v>2</v>
      </c>
      <c r="BM114" t="n">
        <v>3</v>
      </c>
      <c r="BN114" t="n">
        <v>3</v>
      </c>
      <c r="BO114" t="n">
        <v>3</v>
      </c>
      <c r="BP114" t="n">
        <v>3</v>
      </c>
      <c r="BQ114" t="n">
        <v>3</v>
      </c>
      <c r="BR114" t="n">
        <v>2</v>
      </c>
      <c r="BS114" s="56">
        <f>IF(COUNT(N114:W114)&gt;=8,AVERAGE(N114:W114),"")</f>
        <v/>
      </c>
      <c r="BT114" s="56">
        <f>IF(COUNT(X114:AE114)&gt;=7,AVERAGE(X114:AE114),"")</f>
        <v/>
      </c>
      <c r="BU114" s="56">
        <f>IF(COUNT(AF114:AM114)&gt;=7,AVERAGE(AF114:AM114),"")</f>
        <v/>
      </c>
      <c r="BV114" s="56">
        <f>IF(COUNT(AN114:AV114)&gt;=8,AVERAGE(AN114:AV114),"")</f>
        <v/>
      </c>
      <c r="BW114" s="56">
        <f>IF(COUNT(AW114:BD114)&gt;=7,AVERAGE(AW114:BD114),"")</f>
        <v/>
      </c>
      <c r="BX114" s="56">
        <f>IF(COUNT(BE114:BJ114)&gt;=5,AVERAGE(BE114:BJ114),"")</f>
        <v/>
      </c>
      <c r="BY114" s="56">
        <f>IF(COUNT(BK114:BR114)&gt;=7,AVERAGE(BK114:BR114),"")</f>
        <v/>
      </c>
    </row>
    <row r="115">
      <c r="A115" t="inlineStr">
        <is>
          <t>R084</t>
        </is>
      </c>
      <c r="B115" t="inlineStr">
        <is>
          <t>Yes</t>
        </is>
      </c>
      <c r="C115" t="inlineStr">
        <is>
          <t>Yes</t>
        </is>
      </c>
      <c r="D115" t="inlineStr">
        <is>
          <t>Male</t>
        </is>
      </c>
      <c r="E115" t="inlineStr">
        <is>
          <t>25-34</t>
        </is>
      </c>
      <c r="F115" t="inlineStr">
        <is>
          <t>Bachelor/HND</t>
        </is>
      </c>
      <c r="G115" t="inlineStr">
        <is>
          <t>Commercial bank</t>
        </is>
      </c>
      <c r="H115" t="inlineStr">
        <is>
          <t>Digital Banking/Product</t>
        </is>
      </c>
      <c r="I115" t="inlineStr">
        <is>
          <t>Less than 2</t>
        </is>
      </c>
      <c r="J115" t="inlineStr">
        <is>
          <t>Yes</t>
        </is>
      </c>
      <c r="K115" t="n">
        <v>3</v>
      </c>
      <c r="L115" t="inlineStr">
        <is>
          <t>Yes</t>
        </is>
      </c>
      <c r="M115" t="inlineStr">
        <is>
          <t>Yes</t>
        </is>
      </c>
      <c r="N115" t="n">
        <v>3</v>
      </c>
      <c r="O115" t="n">
        <v>2</v>
      </c>
      <c r="P115" t="n">
        <v>3</v>
      </c>
      <c r="Q115" t="n">
        <v>2</v>
      </c>
      <c r="R115" t="n">
        <v>2</v>
      </c>
      <c r="S115" t="n">
        <v>3</v>
      </c>
      <c r="T115" t="n">
        <v>2</v>
      </c>
      <c r="U115" t="n">
        <v>4</v>
      </c>
      <c r="V115" t="n">
        <v>3</v>
      </c>
      <c r="W115" t="n">
        <v>3</v>
      </c>
      <c r="X115" t="n">
        <v>2</v>
      </c>
      <c r="Y115" t="n">
        <v>1</v>
      </c>
      <c r="Z115" t="n">
        <v>3</v>
      </c>
      <c r="AA115" t="n">
        <v>2</v>
      </c>
      <c r="AB115" t="n">
        <v>3</v>
      </c>
      <c r="AC115" t="n">
        <v>4</v>
      </c>
      <c r="AD115" t="n">
        <v>3</v>
      </c>
      <c r="AE115" t="n">
        <v>3</v>
      </c>
      <c r="AF115" t="n">
        <v>4</v>
      </c>
      <c r="AG115" t="n">
        <v>5</v>
      </c>
      <c r="AH115" t="n">
        <v>3</v>
      </c>
      <c r="AI115" t="n">
        <v>3</v>
      </c>
      <c r="AJ115" t="n">
        <v>3</v>
      </c>
      <c r="AK115" t="n">
        <v>4</v>
      </c>
      <c r="AL115" t="n">
        <v>3</v>
      </c>
      <c r="AM115" t="n">
        <v>3</v>
      </c>
      <c r="AN115" t="n">
        <v>2</v>
      </c>
      <c r="AO115" t="n">
        <v>2</v>
      </c>
      <c r="AP115" t="n">
        <v>3</v>
      </c>
      <c r="AQ115" t="n">
        <v>3</v>
      </c>
      <c r="AR115" t="n">
        <v>2</v>
      </c>
      <c r="AS115" t="n">
        <v>1</v>
      </c>
      <c r="AT115" t="n">
        <v>2</v>
      </c>
      <c r="AU115" t="n">
        <v>1</v>
      </c>
      <c r="AV115" t="n">
        <v>2</v>
      </c>
      <c r="AW115" t="n">
        <v>4</v>
      </c>
      <c r="AX115" t="n">
        <v>3</v>
      </c>
      <c r="AY115" t="n">
        <v>3</v>
      </c>
      <c r="AZ115" t="n">
        <v>2</v>
      </c>
      <c r="BA115" t="n">
        <v>4</v>
      </c>
      <c r="BB115" t="n">
        <v>3</v>
      </c>
      <c r="BC115" t="n">
        <v>2</v>
      </c>
      <c r="BD115" t="n">
        <v>3</v>
      </c>
      <c r="BE115" t="n">
        <v>4</v>
      </c>
      <c r="BF115" t="n">
        <v>2</v>
      </c>
      <c r="BG115" t="n">
        <v>3</v>
      </c>
      <c r="BH115" t="n">
        <v>3</v>
      </c>
      <c r="BI115" t="n">
        <v>4</v>
      </c>
      <c r="BJ115" t="n">
        <v>4</v>
      </c>
      <c r="BK115" t="n">
        <v>3</v>
      </c>
      <c r="BL115" t="n">
        <v>1</v>
      </c>
      <c r="BM115" t="n">
        <v>3</v>
      </c>
      <c r="BN115" t="n">
        <v>3</v>
      </c>
      <c r="BO115" t="n">
        <v>3</v>
      </c>
      <c r="BP115" t="n">
        <v>3</v>
      </c>
      <c r="BQ115" t="n">
        <v>3</v>
      </c>
      <c r="BR115" t="n">
        <v>2</v>
      </c>
      <c r="BS115" s="56">
        <f>IF(COUNT(N115:W115)&gt;=8,AVERAGE(N115:W115),"")</f>
        <v/>
      </c>
      <c r="BT115" s="56">
        <f>IF(COUNT(X115:AE115)&gt;=7,AVERAGE(X115:AE115),"")</f>
        <v/>
      </c>
      <c r="BU115" s="56">
        <f>IF(COUNT(AF115:AM115)&gt;=7,AVERAGE(AF115:AM115),"")</f>
        <v/>
      </c>
      <c r="BV115" s="56">
        <f>IF(COUNT(AN115:AV115)&gt;=8,AVERAGE(AN115:AV115),"")</f>
        <v/>
      </c>
      <c r="BW115" s="56">
        <f>IF(COUNT(AW115:BD115)&gt;=7,AVERAGE(AW115:BD115),"")</f>
        <v/>
      </c>
      <c r="BX115" s="56">
        <f>IF(COUNT(BE115:BJ115)&gt;=5,AVERAGE(BE115:BJ115),"")</f>
        <v/>
      </c>
      <c r="BY115" s="56">
        <f>IF(COUNT(BK115:BR115)&gt;=7,AVERAGE(BK115:BR115),"")</f>
        <v/>
      </c>
    </row>
    <row r="116">
      <c r="A116" t="inlineStr">
        <is>
          <t>R085</t>
        </is>
      </c>
      <c r="B116" t="inlineStr">
        <is>
          <t>Yes</t>
        </is>
      </c>
      <c r="C116" t="inlineStr">
        <is>
          <t>Yes</t>
        </is>
      </c>
      <c r="D116" t="inlineStr">
        <is>
          <t>Male</t>
        </is>
      </c>
      <c r="E116" t="inlineStr">
        <is>
          <t>35-44</t>
        </is>
      </c>
      <c r="F116" t="inlineStr">
        <is>
          <t>Bachelor/HND</t>
        </is>
      </c>
      <c r="G116" t="inlineStr">
        <is>
          <t>Fintech/payment provider</t>
        </is>
      </c>
      <c r="H116" t="inlineStr">
        <is>
          <t>IT/Technology</t>
        </is>
      </c>
      <c r="I116" t="inlineStr">
        <is>
          <t>6-10</t>
        </is>
      </c>
      <c r="J116" t="inlineStr">
        <is>
          <t>Yes</t>
        </is>
      </c>
      <c r="K116" t="n">
        <v>4</v>
      </c>
      <c r="L116" t="inlineStr">
        <is>
          <t>Yes</t>
        </is>
      </c>
      <c r="M116" t="inlineStr">
        <is>
          <t>Yes</t>
        </is>
      </c>
      <c r="N116" t="n">
        <v>2</v>
      </c>
      <c r="O116" t="n">
        <v>3</v>
      </c>
      <c r="Q116" t="n">
        <v>2</v>
      </c>
      <c r="R116" t="n">
        <v>2</v>
      </c>
      <c r="S116" t="n">
        <v>3</v>
      </c>
      <c r="T116" t="n">
        <v>2</v>
      </c>
      <c r="U116" t="n">
        <v>3</v>
      </c>
      <c r="V116" t="n">
        <v>3</v>
      </c>
      <c r="W116" t="n">
        <v>2</v>
      </c>
      <c r="X116" t="n">
        <v>4</v>
      </c>
      <c r="Y116" t="n">
        <v>2</v>
      </c>
      <c r="Z116" t="n">
        <v>3</v>
      </c>
      <c r="AA116" t="n">
        <v>3</v>
      </c>
      <c r="AB116" t="n">
        <v>2</v>
      </c>
      <c r="AC116" t="n">
        <v>2</v>
      </c>
      <c r="AE116" t="n">
        <v>3</v>
      </c>
      <c r="AF116" t="n">
        <v>2</v>
      </c>
      <c r="AG116" t="n">
        <v>3</v>
      </c>
      <c r="AH116" t="n">
        <v>3</v>
      </c>
      <c r="AI116" t="n">
        <v>3</v>
      </c>
      <c r="AJ116" t="n">
        <v>3</v>
      </c>
      <c r="AK116" t="n">
        <v>3</v>
      </c>
      <c r="AL116" t="n">
        <v>2</v>
      </c>
      <c r="AM116" t="n">
        <v>3</v>
      </c>
      <c r="AN116" t="n">
        <v>3</v>
      </c>
      <c r="AO116" t="n">
        <v>2</v>
      </c>
      <c r="AP116" t="n">
        <v>3</v>
      </c>
      <c r="AQ116" t="n">
        <v>2</v>
      </c>
      <c r="AR116" t="n">
        <v>3</v>
      </c>
      <c r="AS116" t="n">
        <v>3</v>
      </c>
      <c r="AT116" t="n">
        <v>3</v>
      </c>
      <c r="AU116" t="n">
        <v>1</v>
      </c>
      <c r="AV116" t="n">
        <v>3</v>
      </c>
      <c r="AW116" t="n">
        <v>2</v>
      </c>
      <c r="AX116" t="n">
        <v>3</v>
      </c>
      <c r="AY116" t="n">
        <v>1</v>
      </c>
      <c r="AZ116" t="n">
        <v>1</v>
      </c>
      <c r="BA116" t="n">
        <v>2</v>
      </c>
      <c r="BB116" t="n">
        <v>2</v>
      </c>
      <c r="BC116" t="n">
        <v>2</v>
      </c>
      <c r="BD116" t="n">
        <v>2</v>
      </c>
      <c r="BE116" t="n">
        <v>3</v>
      </c>
      <c r="BF116" t="n">
        <v>2</v>
      </c>
      <c r="BG116" t="n">
        <v>3</v>
      </c>
      <c r="BH116" t="n">
        <v>2</v>
      </c>
      <c r="BI116" t="n">
        <v>2</v>
      </c>
      <c r="BJ116" t="n">
        <v>3</v>
      </c>
      <c r="BK116" t="n">
        <v>4</v>
      </c>
      <c r="BL116" t="n">
        <v>4</v>
      </c>
      <c r="BM116" t="n">
        <v>4</v>
      </c>
      <c r="BN116" t="n">
        <v>4</v>
      </c>
      <c r="BO116" t="n">
        <v>3</v>
      </c>
      <c r="BP116" t="n">
        <v>3</v>
      </c>
      <c r="BQ116" t="n">
        <v>4</v>
      </c>
      <c r="BR116" t="n">
        <v>3</v>
      </c>
      <c r="BS116" s="56">
        <f>IF(COUNT(N116:W116)&gt;=8,AVERAGE(N116:W116),"")</f>
        <v/>
      </c>
      <c r="BT116" s="56">
        <f>IF(COUNT(X116:AE116)&gt;=7,AVERAGE(X116:AE116),"")</f>
        <v/>
      </c>
      <c r="BU116" s="56">
        <f>IF(COUNT(AF116:AM116)&gt;=7,AVERAGE(AF116:AM116),"")</f>
        <v/>
      </c>
      <c r="BV116" s="56">
        <f>IF(COUNT(AN116:AV116)&gt;=8,AVERAGE(AN116:AV116),"")</f>
        <v/>
      </c>
      <c r="BW116" s="56">
        <f>IF(COUNT(AW116:BD116)&gt;=7,AVERAGE(AW116:BD116),"")</f>
        <v/>
      </c>
      <c r="BX116" s="56">
        <f>IF(COUNT(BE116:BJ116)&gt;=5,AVERAGE(BE116:BJ116),"")</f>
        <v/>
      </c>
      <c r="BY116" s="56">
        <f>IF(COUNT(BK116:BR116)&gt;=7,AVERAGE(BK116:BR116),"")</f>
        <v/>
      </c>
    </row>
    <row r="117">
      <c r="A117" t="inlineStr">
        <is>
          <t>R086</t>
        </is>
      </c>
      <c r="B117" t="inlineStr">
        <is>
          <t>Yes</t>
        </is>
      </c>
      <c r="C117" t="inlineStr">
        <is>
          <t>Yes</t>
        </is>
      </c>
      <c r="D117" t="inlineStr">
        <is>
          <t>Female</t>
        </is>
      </c>
      <c r="E117" t="inlineStr">
        <is>
          <t>45-54</t>
        </is>
      </c>
      <c r="F117" t="inlineStr">
        <is>
          <t>Bachelor/HND</t>
        </is>
      </c>
      <c r="G117" t="inlineStr">
        <is>
          <t>Commercial bank</t>
        </is>
      </c>
      <c r="H117" t="inlineStr">
        <is>
          <t>Risk/Compliance</t>
        </is>
      </c>
      <c r="I117" t="inlineStr">
        <is>
          <t>2-5</t>
        </is>
      </c>
      <c r="J117" t="inlineStr">
        <is>
          <t>Yes</t>
        </is>
      </c>
      <c r="K117" t="n">
        <v>1</v>
      </c>
      <c r="L117" t="inlineStr">
        <is>
          <t>No</t>
        </is>
      </c>
      <c r="M117" t="inlineStr">
        <is>
          <t>Yes</t>
        </is>
      </c>
      <c r="N117" t="n">
        <v>3</v>
      </c>
      <c r="O117" t="n">
        <v>4</v>
      </c>
      <c r="P117" t="n">
        <v>4</v>
      </c>
      <c r="Q117" t="n">
        <v>4</v>
      </c>
      <c r="R117" t="n">
        <v>4</v>
      </c>
      <c r="S117" t="n">
        <v>4</v>
      </c>
      <c r="T117" t="n">
        <v>3</v>
      </c>
      <c r="U117" t="n">
        <v>4</v>
      </c>
      <c r="V117" t="n">
        <v>4</v>
      </c>
      <c r="W117" t="n">
        <v>4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2</v>
      </c>
      <c r="AD117" t="n">
        <v>2</v>
      </c>
      <c r="AE117" t="n">
        <v>2</v>
      </c>
      <c r="AF117" t="n">
        <v>2</v>
      </c>
      <c r="AG117" t="n">
        <v>2</v>
      </c>
      <c r="AH117" t="n">
        <v>1</v>
      </c>
      <c r="AJ117" t="n">
        <v>2</v>
      </c>
      <c r="AK117" t="n">
        <v>1</v>
      </c>
      <c r="AL117" t="n">
        <v>2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3</v>
      </c>
      <c r="AV117" t="n">
        <v>2</v>
      </c>
      <c r="AW117" t="n">
        <v>2</v>
      </c>
      <c r="AX117" t="n">
        <v>1</v>
      </c>
      <c r="AY117" t="n">
        <v>1</v>
      </c>
      <c r="AZ117" t="n">
        <v>1</v>
      </c>
      <c r="BA117" t="n">
        <v>1</v>
      </c>
      <c r="BB117" t="n">
        <v>2</v>
      </c>
      <c r="BC117" t="n">
        <v>3</v>
      </c>
      <c r="BD117" t="n">
        <v>1</v>
      </c>
      <c r="BE117" t="n">
        <v>2</v>
      </c>
      <c r="BF117" t="n">
        <v>3</v>
      </c>
      <c r="BG117" t="n">
        <v>3</v>
      </c>
      <c r="BH117" t="n">
        <v>3</v>
      </c>
      <c r="BI117" t="n">
        <v>3</v>
      </c>
      <c r="BK117" t="n">
        <v>3</v>
      </c>
      <c r="BL117" t="n">
        <v>3</v>
      </c>
      <c r="BM117" t="n">
        <v>4</v>
      </c>
      <c r="BN117" t="n">
        <v>3</v>
      </c>
      <c r="BP117" t="n">
        <v>3</v>
      </c>
      <c r="BQ117" t="n">
        <v>3</v>
      </c>
      <c r="BR117" t="n">
        <v>3</v>
      </c>
      <c r="BS117" s="56">
        <f>IF(COUNT(N117:W117)&gt;=8,AVERAGE(N117:W117),"")</f>
        <v/>
      </c>
      <c r="BT117" s="56">
        <f>IF(COUNT(X117:AE117)&gt;=7,AVERAGE(X117:AE117),"")</f>
        <v/>
      </c>
      <c r="BU117" s="56">
        <f>IF(COUNT(AF117:AM117)&gt;=7,AVERAGE(AF117:AM117),"")</f>
        <v/>
      </c>
      <c r="BV117" s="56">
        <f>IF(COUNT(AN117:AV117)&gt;=8,AVERAGE(AN117:AV117),"")</f>
        <v/>
      </c>
      <c r="BW117" s="56">
        <f>IF(COUNT(AW117:BD117)&gt;=7,AVERAGE(AW117:BD117),"")</f>
        <v/>
      </c>
      <c r="BX117" s="56">
        <f>IF(COUNT(BE117:BJ117)&gt;=5,AVERAGE(BE117:BJ117),"")</f>
        <v/>
      </c>
      <c r="BY117" s="56">
        <f>IF(COUNT(BK117:BR117)&gt;=7,AVERAGE(BK117:BR117),"")</f>
        <v/>
      </c>
    </row>
    <row r="118">
      <c r="A118" t="inlineStr">
        <is>
          <t>R087</t>
        </is>
      </c>
      <c r="B118" t="inlineStr">
        <is>
          <t>Yes</t>
        </is>
      </c>
      <c r="C118" t="inlineStr">
        <is>
          <t>Yes</t>
        </is>
      </c>
      <c r="D118" t="inlineStr">
        <is>
          <t>Male</t>
        </is>
      </c>
      <c r="E118" t="inlineStr">
        <is>
          <t>35-44</t>
        </is>
      </c>
      <c r="F118" t="inlineStr">
        <is>
          <t>Diploma/OND/NCE</t>
        </is>
      </c>
      <c r="G118" t="inlineStr">
        <is>
          <t>Digital bank/neobank</t>
        </is>
      </c>
      <c r="H118" t="inlineStr">
        <is>
          <t>Risk/Compliance</t>
        </is>
      </c>
      <c r="I118" t="inlineStr">
        <is>
          <t>2-5</t>
        </is>
      </c>
      <c r="J118" t="inlineStr">
        <is>
          <t>Yes</t>
        </is>
      </c>
      <c r="K118" t="n">
        <v>1</v>
      </c>
      <c r="L118" t="inlineStr">
        <is>
          <t>Do not know</t>
        </is>
      </c>
      <c r="M118" t="inlineStr">
        <is>
          <t>Yes</t>
        </is>
      </c>
      <c r="N118" t="n">
        <v>4</v>
      </c>
      <c r="O118" t="n">
        <v>3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2</v>
      </c>
      <c r="Y118" t="n">
        <v>3</v>
      </c>
      <c r="Z118" t="n">
        <v>3</v>
      </c>
      <c r="AA118" t="n">
        <v>2</v>
      </c>
      <c r="AB118" t="n">
        <v>3</v>
      </c>
      <c r="AC118" t="n">
        <v>3</v>
      </c>
      <c r="AD118" t="n">
        <v>3</v>
      </c>
      <c r="AE118" t="n">
        <v>3</v>
      </c>
      <c r="AF118" t="n">
        <v>3</v>
      </c>
      <c r="AG118" t="n">
        <v>4</v>
      </c>
      <c r="AH118" t="n">
        <v>3</v>
      </c>
      <c r="AI118" t="n">
        <v>4</v>
      </c>
      <c r="AJ118" t="n">
        <v>4</v>
      </c>
      <c r="AK118" t="n">
        <v>5</v>
      </c>
      <c r="AL118" t="n">
        <v>3</v>
      </c>
      <c r="AM118" t="n">
        <v>3</v>
      </c>
      <c r="AN118" t="n">
        <v>3</v>
      </c>
      <c r="AO118" t="n">
        <v>2</v>
      </c>
      <c r="AP118" t="n">
        <v>3</v>
      </c>
      <c r="AQ118" t="n">
        <v>2</v>
      </c>
      <c r="AR118" t="n">
        <v>2</v>
      </c>
      <c r="AS118" t="n">
        <v>3</v>
      </c>
      <c r="AT118" t="n">
        <v>2</v>
      </c>
      <c r="AU118" t="n">
        <v>2</v>
      </c>
      <c r="AV118" t="n">
        <v>2</v>
      </c>
      <c r="AW118" t="n">
        <v>4</v>
      </c>
      <c r="AX118" t="n">
        <v>2</v>
      </c>
      <c r="AY118" t="n">
        <v>4</v>
      </c>
      <c r="AZ118" t="n">
        <v>3</v>
      </c>
      <c r="BA118" t="n">
        <v>4</v>
      </c>
      <c r="BB118" t="n">
        <v>2</v>
      </c>
      <c r="BC118" t="n">
        <v>3</v>
      </c>
      <c r="BD118" t="n">
        <v>4</v>
      </c>
      <c r="BE118" t="n">
        <v>1</v>
      </c>
      <c r="BG118" t="n">
        <v>3</v>
      </c>
      <c r="BH118" t="n">
        <v>4</v>
      </c>
      <c r="BI118" t="n">
        <v>2</v>
      </c>
      <c r="BK118" t="n">
        <v>2</v>
      </c>
      <c r="BL118" t="n">
        <v>2</v>
      </c>
      <c r="BM118" t="n">
        <v>2</v>
      </c>
      <c r="BN118" t="n">
        <v>2</v>
      </c>
      <c r="BO118" t="n">
        <v>3</v>
      </c>
      <c r="BP118" t="n">
        <v>2</v>
      </c>
      <c r="BQ118" t="n">
        <v>3</v>
      </c>
      <c r="BR118" t="n">
        <v>2</v>
      </c>
      <c r="BS118" s="56">
        <f>IF(COUNT(N118:W118)&gt;=8,AVERAGE(N118:W118),"")</f>
        <v/>
      </c>
      <c r="BT118" s="56">
        <f>IF(COUNT(X118:AE118)&gt;=7,AVERAGE(X118:AE118),"")</f>
        <v/>
      </c>
      <c r="BU118" s="56">
        <f>IF(COUNT(AF118:AM118)&gt;=7,AVERAGE(AF118:AM118),"")</f>
        <v/>
      </c>
      <c r="BV118" s="56">
        <f>IF(COUNT(AN118:AV118)&gt;=8,AVERAGE(AN118:AV118),"")</f>
        <v/>
      </c>
      <c r="BW118" s="56">
        <f>IF(COUNT(AW118:BD118)&gt;=7,AVERAGE(AW118:BD118),"")</f>
        <v/>
      </c>
      <c r="BX118" s="56">
        <f>IF(COUNT(BE118:BJ118)&gt;=5,AVERAGE(BE118:BJ118),"")</f>
        <v/>
      </c>
      <c r="BY118" s="56">
        <f>IF(COUNT(BK118:BR118)&gt;=7,AVERAGE(BK118:BR118),"")</f>
        <v/>
      </c>
    </row>
    <row r="119">
      <c r="A119" t="inlineStr">
        <is>
          <t>R088</t>
        </is>
      </c>
      <c r="B119" t="inlineStr">
        <is>
          <t>Yes</t>
        </is>
      </c>
      <c r="C119" t="inlineStr">
        <is>
          <t>Yes</t>
        </is>
      </c>
      <c r="D119" t="inlineStr">
        <is>
          <t>Male</t>
        </is>
      </c>
      <c r="E119" t="inlineStr">
        <is>
          <t>25-34</t>
        </is>
      </c>
      <c r="F119" t="inlineStr">
        <is>
          <t>Master's</t>
        </is>
      </c>
      <c r="G119" t="inlineStr">
        <is>
          <t>Digital bank/neobank</t>
        </is>
      </c>
      <c r="H119" t="inlineStr">
        <is>
          <t>Risk/Compliance</t>
        </is>
      </c>
      <c r="I119" t="inlineStr">
        <is>
          <t>6-10</t>
        </is>
      </c>
      <c r="J119" t="inlineStr">
        <is>
          <t>Yes</t>
        </is>
      </c>
      <c r="K119" t="n">
        <v>1</v>
      </c>
      <c r="L119" t="inlineStr">
        <is>
          <t>Yes</t>
        </is>
      </c>
      <c r="M119" t="inlineStr">
        <is>
          <t>Yes</t>
        </is>
      </c>
      <c r="N119" t="n">
        <v>3</v>
      </c>
      <c r="O119" t="n">
        <v>3</v>
      </c>
      <c r="P119" t="n">
        <v>3</v>
      </c>
      <c r="Q119" t="n">
        <v>1</v>
      </c>
      <c r="R119" t="n">
        <v>2</v>
      </c>
      <c r="S119" t="n">
        <v>3</v>
      </c>
      <c r="T119" t="n">
        <v>2</v>
      </c>
      <c r="U119" t="n">
        <v>1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  <c r="AB119" t="n">
        <v>3</v>
      </c>
      <c r="AC119" t="n">
        <v>3</v>
      </c>
      <c r="AD119" t="n">
        <v>3</v>
      </c>
      <c r="AE119" t="n">
        <v>3</v>
      </c>
      <c r="AF119" t="n">
        <v>2</v>
      </c>
      <c r="AG119" t="n">
        <v>4</v>
      </c>
      <c r="AH119" t="n">
        <v>2</v>
      </c>
      <c r="AI119" t="n">
        <v>4</v>
      </c>
      <c r="AJ119" t="n">
        <v>3</v>
      </c>
      <c r="AK119" t="n">
        <v>3</v>
      </c>
      <c r="AL119" t="n">
        <v>2</v>
      </c>
      <c r="AM119" t="n">
        <v>3</v>
      </c>
      <c r="AN119" t="n">
        <v>3</v>
      </c>
      <c r="AO119" t="n">
        <v>2</v>
      </c>
      <c r="AP119" t="n">
        <v>4</v>
      </c>
      <c r="AQ119" t="n">
        <v>4</v>
      </c>
      <c r="AR119" t="n">
        <v>3</v>
      </c>
      <c r="AS119" t="n">
        <v>2</v>
      </c>
      <c r="AT119" t="n">
        <v>3</v>
      </c>
      <c r="AU119" t="n">
        <v>2</v>
      </c>
      <c r="AV119" t="n">
        <v>3</v>
      </c>
      <c r="AW119" t="n">
        <v>4</v>
      </c>
      <c r="AX119" t="n">
        <v>3</v>
      </c>
      <c r="AY119" t="n">
        <v>3</v>
      </c>
      <c r="AZ119" t="n">
        <v>2</v>
      </c>
      <c r="BA119" t="n">
        <v>4</v>
      </c>
      <c r="BB119" t="n">
        <v>4</v>
      </c>
      <c r="BC119" t="n">
        <v>3</v>
      </c>
      <c r="BD119" t="n">
        <v>3</v>
      </c>
      <c r="BE119" t="n">
        <v>3</v>
      </c>
      <c r="BF119" t="n">
        <v>3</v>
      </c>
      <c r="BG119" t="n">
        <v>2</v>
      </c>
      <c r="BH119" t="n">
        <v>3</v>
      </c>
      <c r="BI119" t="n">
        <v>3</v>
      </c>
      <c r="BJ119" t="n">
        <v>2</v>
      </c>
      <c r="BK119" t="n">
        <v>4</v>
      </c>
      <c r="BM119" t="n">
        <v>4</v>
      </c>
      <c r="BN119" t="n">
        <v>3</v>
      </c>
      <c r="BO119" t="n">
        <v>3</v>
      </c>
      <c r="BP119" t="n">
        <v>5</v>
      </c>
      <c r="BQ119" t="n">
        <v>4</v>
      </c>
      <c r="BR119" t="n">
        <v>3</v>
      </c>
      <c r="BS119" s="56">
        <f>IF(COUNT(N119:W119)&gt;=8,AVERAGE(N119:W119),"")</f>
        <v/>
      </c>
      <c r="BT119" s="56">
        <f>IF(COUNT(X119:AE119)&gt;=7,AVERAGE(X119:AE119),"")</f>
        <v/>
      </c>
      <c r="BU119" s="56">
        <f>IF(COUNT(AF119:AM119)&gt;=7,AVERAGE(AF119:AM119),"")</f>
        <v/>
      </c>
      <c r="BV119" s="56">
        <f>IF(COUNT(AN119:AV119)&gt;=8,AVERAGE(AN119:AV119),"")</f>
        <v/>
      </c>
      <c r="BW119" s="56">
        <f>IF(COUNT(AW119:BD119)&gt;=7,AVERAGE(AW119:BD119),"")</f>
        <v/>
      </c>
      <c r="BX119" s="56">
        <f>IF(COUNT(BE119:BJ119)&gt;=5,AVERAGE(BE119:BJ119),"")</f>
        <v/>
      </c>
      <c r="BY119" s="56">
        <f>IF(COUNT(BK119:BR119)&gt;=7,AVERAGE(BK119:BR119),"")</f>
        <v/>
      </c>
    </row>
    <row r="120">
      <c r="A120" t="inlineStr">
        <is>
          <t>R089</t>
        </is>
      </c>
      <c r="B120" t="inlineStr">
        <is>
          <t>Yes</t>
        </is>
      </c>
      <c r="C120" t="inlineStr">
        <is>
          <t>Yes</t>
        </is>
      </c>
      <c r="D120" t="inlineStr">
        <is>
          <t>Female</t>
        </is>
      </c>
      <c r="E120" t="inlineStr">
        <is>
          <t>18-24</t>
        </is>
      </c>
      <c r="F120" t="inlineStr">
        <is>
          <t>Bachelor/HND</t>
        </is>
      </c>
      <c r="G120" t="inlineStr">
        <is>
          <t>Merchant bank</t>
        </is>
      </c>
      <c r="H120" t="inlineStr">
        <is>
          <t>Other</t>
        </is>
      </c>
      <c r="I120" t="inlineStr">
        <is>
          <t>2-5</t>
        </is>
      </c>
      <c r="J120" t="inlineStr">
        <is>
          <t>Yes</t>
        </is>
      </c>
      <c r="K120" t="n">
        <v>3</v>
      </c>
      <c r="L120" t="inlineStr">
        <is>
          <t>Yes</t>
        </is>
      </c>
      <c r="M120" t="inlineStr">
        <is>
          <t>Yes</t>
        </is>
      </c>
      <c r="N120" t="n">
        <v>4</v>
      </c>
      <c r="O120" t="n">
        <v>4</v>
      </c>
      <c r="P120" t="n">
        <v>4</v>
      </c>
      <c r="Q120" t="n">
        <v>3</v>
      </c>
      <c r="R120" t="n">
        <v>3</v>
      </c>
      <c r="S120" t="n">
        <v>4</v>
      </c>
      <c r="T120" t="n">
        <v>2</v>
      </c>
      <c r="U120" t="n">
        <v>3</v>
      </c>
      <c r="V120" t="n">
        <v>4</v>
      </c>
      <c r="W120" t="n">
        <v>3</v>
      </c>
      <c r="X120" t="n">
        <v>4</v>
      </c>
      <c r="Y120" t="n">
        <v>4</v>
      </c>
      <c r="Z120" t="n">
        <v>3</v>
      </c>
      <c r="AA120" t="n">
        <v>3</v>
      </c>
      <c r="AB120" t="n">
        <v>3</v>
      </c>
      <c r="AC120" t="n">
        <v>4</v>
      </c>
      <c r="AD120" t="n">
        <v>4</v>
      </c>
      <c r="AE120" t="n">
        <v>3</v>
      </c>
      <c r="AF120" t="n">
        <v>2</v>
      </c>
      <c r="AG120" t="n">
        <v>3</v>
      </c>
      <c r="AH120" t="n">
        <v>3</v>
      </c>
      <c r="AI120" t="n">
        <v>4</v>
      </c>
      <c r="AJ120" t="n">
        <v>2</v>
      </c>
      <c r="AK120" t="n">
        <v>4</v>
      </c>
      <c r="AL120" t="n">
        <v>3</v>
      </c>
      <c r="AM120" t="n">
        <v>3</v>
      </c>
      <c r="AN120" t="n">
        <v>3</v>
      </c>
      <c r="AO120" t="n">
        <v>2</v>
      </c>
      <c r="AP120" t="n">
        <v>3</v>
      </c>
      <c r="AQ120" t="n">
        <v>1</v>
      </c>
      <c r="AR120" t="n">
        <v>3</v>
      </c>
      <c r="AS120" t="n">
        <v>2</v>
      </c>
      <c r="AT120" t="n">
        <v>2</v>
      </c>
      <c r="AU120" t="n">
        <v>2</v>
      </c>
      <c r="AV120" t="n">
        <v>3</v>
      </c>
      <c r="AW120" t="n">
        <v>2</v>
      </c>
      <c r="AX120" t="n">
        <v>4</v>
      </c>
      <c r="AY120" t="n">
        <v>2</v>
      </c>
      <c r="AZ120" t="n">
        <v>3</v>
      </c>
      <c r="BA120" t="n">
        <v>2</v>
      </c>
      <c r="BB120" t="n">
        <v>3</v>
      </c>
      <c r="BC120" t="n">
        <v>3</v>
      </c>
      <c r="BD120" t="n">
        <v>4</v>
      </c>
      <c r="BE120" t="n">
        <v>2</v>
      </c>
      <c r="BF120" t="n">
        <v>2</v>
      </c>
      <c r="BG120" t="n">
        <v>2</v>
      </c>
      <c r="BH120" t="n">
        <v>4</v>
      </c>
      <c r="BI120" t="n">
        <v>2</v>
      </c>
      <c r="BJ120" t="n">
        <v>3</v>
      </c>
      <c r="BK120" t="n">
        <v>1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4</v>
      </c>
      <c r="BR120" t="n">
        <v>2</v>
      </c>
      <c r="BS120" s="56">
        <f>IF(COUNT(N120:W120)&gt;=8,AVERAGE(N120:W120),"")</f>
        <v/>
      </c>
      <c r="BT120" s="56">
        <f>IF(COUNT(X120:AE120)&gt;=7,AVERAGE(X120:AE120),"")</f>
        <v/>
      </c>
      <c r="BU120" s="56">
        <f>IF(COUNT(AF120:AM120)&gt;=7,AVERAGE(AF120:AM120),"")</f>
        <v/>
      </c>
      <c r="BV120" s="56">
        <f>IF(COUNT(AN120:AV120)&gt;=8,AVERAGE(AN120:AV120),"")</f>
        <v/>
      </c>
      <c r="BW120" s="56">
        <f>IF(COUNT(AW120:BD120)&gt;=7,AVERAGE(AW120:BD120),"")</f>
        <v/>
      </c>
      <c r="BX120" s="56">
        <f>IF(COUNT(BE120:BJ120)&gt;=5,AVERAGE(BE120:BJ120),"")</f>
        <v/>
      </c>
      <c r="BY120" s="56">
        <f>IF(COUNT(BK120:BR120)&gt;=7,AVERAGE(BK120:BR120),"")</f>
        <v/>
      </c>
    </row>
    <row r="121">
      <c r="A121" t="inlineStr">
        <is>
          <t>R090</t>
        </is>
      </c>
      <c r="B121" t="inlineStr">
        <is>
          <t>Yes</t>
        </is>
      </c>
      <c r="C121" t="inlineStr">
        <is>
          <t>Yes</t>
        </is>
      </c>
      <c r="D121" t="inlineStr">
        <is>
          <t>Male</t>
        </is>
      </c>
      <c r="E121" t="inlineStr">
        <is>
          <t>25-34</t>
        </is>
      </c>
      <c r="F121" t="inlineStr">
        <is>
          <t>Diploma/OND/NCE</t>
        </is>
      </c>
      <c r="G121" t="inlineStr">
        <is>
          <t>Merchant bank</t>
        </is>
      </c>
      <c r="H121" t="inlineStr">
        <is>
          <t>Digital Banking/Product</t>
        </is>
      </c>
      <c r="I121" t="inlineStr">
        <is>
          <t>6-10</t>
        </is>
      </c>
      <c r="J121" t="inlineStr">
        <is>
          <t>Yes</t>
        </is>
      </c>
      <c r="K121" t="n">
        <v>3</v>
      </c>
      <c r="L121" t="inlineStr">
        <is>
          <t>Yes</t>
        </is>
      </c>
      <c r="M121" t="inlineStr">
        <is>
          <t>Yes</t>
        </is>
      </c>
      <c r="N121" t="n">
        <v>4</v>
      </c>
      <c r="O121" t="n">
        <v>4</v>
      </c>
      <c r="P121" t="n">
        <v>5</v>
      </c>
      <c r="Q121" t="n">
        <v>3</v>
      </c>
      <c r="R121" t="n">
        <v>5</v>
      </c>
      <c r="S121" t="n">
        <v>5</v>
      </c>
      <c r="T121" t="n">
        <v>3</v>
      </c>
      <c r="U121" t="n">
        <v>3</v>
      </c>
      <c r="V121" t="n">
        <v>4</v>
      </c>
      <c r="W121" t="n">
        <v>4</v>
      </c>
      <c r="X121" t="n">
        <v>3</v>
      </c>
      <c r="Y121" t="n">
        <v>2</v>
      </c>
      <c r="Z121" t="n">
        <v>4</v>
      </c>
      <c r="AA121" t="n">
        <v>3</v>
      </c>
      <c r="AB121" t="n">
        <v>4</v>
      </c>
      <c r="AC121" t="n">
        <v>4</v>
      </c>
      <c r="AD121" t="n">
        <v>3</v>
      </c>
      <c r="AE121" t="n">
        <v>2</v>
      </c>
      <c r="AF121" t="n">
        <v>4</v>
      </c>
      <c r="AG121" t="n">
        <v>5</v>
      </c>
      <c r="AH121" t="n">
        <v>3</v>
      </c>
      <c r="AI121" t="n">
        <v>3</v>
      </c>
      <c r="AJ121" t="n">
        <v>2</v>
      </c>
      <c r="AK121" t="n">
        <v>3</v>
      </c>
      <c r="AL121" t="n">
        <v>3</v>
      </c>
      <c r="AM121" t="n">
        <v>3</v>
      </c>
      <c r="AN121" t="n">
        <v>3</v>
      </c>
      <c r="AO121" t="n">
        <v>2</v>
      </c>
      <c r="AP121" t="n">
        <v>1</v>
      </c>
      <c r="AQ121" t="n">
        <v>2</v>
      </c>
      <c r="AR121" t="n">
        <v>3</v>
      </c>
      <c r="AS121" t="n">
        <v>2</v>
      </c>
      <c r="AT121" t="n">
        <v>3</v>
      </c>
      <c r="AU121" t="n">
        <v>2</v>
      </c>
      <c r="AV121" t="n">
        <v>2</v>
      </c>
      <c r="AW121" t="n">
        <v>2</v>
      </c>
      <c r="AX121" t="n">
        <v>1</v>
      </c>
      <c r="AY121" t="n">
        <v>2</v>
      </c>
      <c r="AZ121" t="n">
        <v>2</v>
      </c>
      <c r="BA121" t="n">
        <v>2</v>
      </c>
      <c r="BB121" t="n">
        <v>1</v>
      </c>
      <c r="BC121" t="n">
        <v>3</v>
      </c>
      <c r="BD121" t="n">
        <v>2</v>
      </c>
      <c r="BE121" t="n">
        <v>4</v>
      </c>
      <c r="BF121" t="n">
        <v>4</v>
      </c>
      <c r="BG121" t="n">
        <v>3</v>
      </c>
      <c r="BH121" t="n">
        <v>5</v>
      </c>
      <c r="BI121" t="n">
        <v>3</v>
      </c>
      <c r="BJ121" t="n">
        <v>4</v>
      </c>
      <c r="BK121" t="n">
        <v>2</v>
      </c>
      <c r="BL121" t="n">
        <v>2</v>
      </c>
      <c r="BN121" t="n">
        <v>4</v>
      </c>
      <c r="BO121" t="n">
        <v>2</v>
      </c>
      <c r="BP121" t="n">
        <v>2</v>
      </c>
      <c r="BQ121" t="n">
        <v>2</v>
      </c>
      <c r="BR121" t="n">
        <v>2</v>
      </c>
      <c r="BS121" s="56">
        <f>IF(COUNT(N121:W121)&gt;=8,AVERAGE(N121:W121),"")</f>
        <v/>
      </c>
      <c r="BT121" s="56">
        <f>IF(COUNT(X121:AE121)&gt;=7,AVERAGE(X121:AE121),"")</f>
        <v/>
      </c>
      <c r="BU121" s="56">
        <f>IF(COUNT(AF121:AM121)&gt;=7,AVERAGE(AF121:AM121),"")</f>
        <v/>
      </c>
      <c r="BV121" s="56">
        <f>IF(COUNT(AN121:AV121)&gt;=8,AVERAGE(AN121:AV121),"")</f>
        <v/>
      </c>
      <c r="BW121" s="56">
        <f>IF(COUNT(AW121:BD121)&gt;=7,AVERAGE(AW121:BD121),"")</f>
        <v/>
      </c>
      <c r="BX121" s="56">
        <f>IF(COUNT(BE121:BJ121)&gt;=5,AVERAGE(BE121:BJ121),"")</f>
        <v/>
      </c>
      <c r="BY121" s="56">
        <f>IF(COUNT(BK121:BR121)&gt;=7,AVERAGE(BK121:BR121),"")</f>
        <v/>
      </c>
    </row>
    <row r="122">
      <c r="A122" t="inlineStr">
        <is>
          <t>R091</t>
        </is>
      </c>
      <c r="B122" t="inlineStr">
        <is>
          <t>Yes</t>
        </is>
      </c>
      <c r="C122" t="inlineStr">
        <is>
          <t>Yes</t>
        </is>
      </c>
      <c r="D122" t="inlineStr">
        <is>
          <t>Male</t>
        </is>
      </c>
      <c r="E122" t="inlineStr">
        <is>
          <t>45-54</t>
        </is>
      </c>
      <c r="F122" t="inlineStr">
        <is>
          <t>Bachelor/HND</t>
        </is>
      </c>
      <c r="G122" t="inlineStr">
        <is>
          <t>Merchant bank</t>
        </is>
      </c>
      <c r="H122" t="inlineStr">
        <is>
          <t>Digital Banking/Product</t>
        </is>
      </c>
      <c r="I122" t="inlineStr">
        <is>
          <t>2-5</t>
        </is>
      </c>
      <c r="J122" t="inlineStr">
        <is>
          <t>Yes</t>
        </is>
      </c>
      <c r="K122" t="n">
        <v>4</v>
      </c>
      <c r="L122" t="inlineStr">
        <is>
          <t>Yes</t>
        </is>
      </c>
      <c r="M122" t="inlineStr">
        <is>
          <t>Yes</t>
        </is>
      </c>
      <c r="N122" t="n">
        <v>4</v>
      </c>
      <c r="O122" t="n">
        <v>4</v>
      </c>
      <c r="P122" t="n">
        <v>3</v>
      </c>
      <c r="Q122" t="n">
        <v>4</v>
      </c>
      <c r="R122" t="n">
        <v>2</v>
      </c>
      <c r="S122" t="n">
        <v>3</v>
      </c>
      <c r="T122" t="n">
        <v>3</v>
      </c>
      <c r="U122" t="n">
        <v>3</v>
      </c>
      <c r="V122" t="n">
        <v>3</v>
      </c>
      <c r="W122" t="n">
        <v>1</v>
      </c>
      <c r="X122" t="n">
        <v>3</v>
      </c>
      <c r="Y122" t="n">
        <v>3</v>
      </c>
      <c r="Z122" t="n">
        <v>2</v>
      </c>
      <c r="AA122" t="n">
        <v>3</v>
      </c>
      <c r="AB122" t="n">
        <v>3</v>
      </c>
      <c r="AC122" t="n">
        <v>2</v>
      </c>
      <c r="AD122" t="n">
        <v>2</v>
      </c>
      <c r="AF122" t="n">
        <v>3</v>
      </c>
      <c r="AG122" t="n">
        <v>3</v>
      </c>
      <c r="AH122" t="n">
        <v>1</v>
      </c>
      <c r="AI122" t="n">
        <v>3</v>
      </c>
      <c r="AJ122" t="n">
        <v>3</v>
      </c>
      <c r="AK122" t="n">
        <v>2</v>
      </c>
      <c r="AL122" t="n">
        <v>3</v>
      </c>
      <c r="AM122" t="n">
        <v>2</v>
      </c>
      <c r="AN122" t="n">
        <v>2</v>
      </c>
      <c r="AO122" t="n">
        <v>3</v>
      </c>
      <c r="AP122" t="n">
        <v>4</v>
      </c>
      <c r="AQ122" t="n">
        <v>4</v>
      </c>
      <c r="AR122" t="n">
        <v>2</v>
      </c>
      <c r="AS122" t="n">
        <v>3</v>
      </c>
      <c r="AT122" t="n">
        <v>2</v>
      </c>
      <c r="AU122" t="n">
        <v>3</v>
      </c>
      <c r="AV122" t="n">
        <v>3</v>
      </c>
      <c r="AW122" t="n">
        <v>3</v>
      </c>
      <c r="AX122" t="n">
        <v>3</v>
      </c>
      <c r="AY122" t="n">
        <v>3</v>
      </c>
      <c r="AZ122" t="n">
        <v>2</v>
      </c>
      <c r="BA122" t="n">
        <v>4</v>
      </c>
      <c r="BB122" t="n">
        <v>3</v>
      </c>
      <c r="BC122" t="n">
        <v>4</v>
      </c>
      <c r="BD122" t="n">
        <v>3</v>
      </c>
      <c r="BE122" t="n">
        <v>3</v>
      </c>
      <c r="BF122" t="n">
        <v>2</v>
      </c>
      <c r="BG122" t="n">
        <v>2</v>
      </c>
      <c r="BH122" t="n">
        <v>3</v>
      </c>
      <c r="BI122" t="n">
        <v>3</v>
      </c>
      <c r="BJ122" t="n">
        <v>4</v>
      </c>
      <c r="BK122" t="n">
        <v>4</v>
      </c>
      <c r="BL122" t="n">
        <v>4</v>
      </c>
      <c r="BM122" t="n">
        <v>5</v>
      </c>
      <c r="BN122" t="n">
        <v>5</v>
      </c>
      <c r="BO122" t="n">
        <v>5</v>
      </c>
      <c r="BP122" t="n">
        <v>5</v>
      </c>
      <c r="BQ122" t="n">
        <v>4</v>
      </c>
      <c r="BR122" t="n">
        <v>4</v>
      </c>
      <c r="BS122" s="56">
        <f>IF(COUNT(N122:W122)&gt;=8,AVERAGE(N122:W122),"")</f>
        <v/>
      </c>
      <c r="BT122" s="56">
        <f>IF(COUNT(X122:AE122)&gt;=7,AVERAGE(X122:AE122),"")</f>
        <v/>
      </c>
      <c r="BU122" s="56">
        <f>IF(COUNT(AF122:AM122)&gt;=7,AVERAGE(AF122:AM122),"")</f>
        <v/>
      </c>
      <c r="BV122" s="56">
        <f>IF(COUNT(AN122:AV122)&gt;=8,AVERAGE(AN122:AV122),"")</f>
        <v/>
      </c>
      <c r="BW122" s="56">
        <f>IF(COUNT(AW122:BD122)&gt;=7,AVERAGE(AW122:BD122),"")</f>
        <v/>
      </c>
      <c r="BX122" s="56">
        <f>IF(COUNT(BE122:BJ122)&gt;=5,AVERAGE(BE122:BJ122),"")</f>
        <v/>
      </c>
      <c r="BY122" s="56">
        <f>IF(COUNT(BK122:BR122)&gt;=7,AVERAGE(BK122:BR122),"")</f>
        <v/>
      </c>
    </row>
    <row r="123">
      <c r="A123" t="inlineStr">
        <is>
          <t>R092</t>
        </is>
      </c>
      <c r="B123" t="inlineStr">
        <is>
          <t>Yes</t>
        </is>
      </c>
      <c r="C123" t="inlineStr">
        <is>
          <t>Yes</t>
        </is>
      </c>
      <c r="D123" t="inlineStr">
        <is>
          <t>Female</t>
        </is>
      </c>
      <c r="E123" t="inlineStr">
        <is>
          <t>25-34</t>
        </is>
      </c>
      <c r="F123" t="inlineStr">
        <is>
          <t>Bachelor/HND</t>
        </is>
      </c>
      <c r="G123" t="inlineStr">
        <is>
          <t>Commercial bank</t>
        </is>
      </c>
      <c r="H123" t="inlineStr">
        <is>
          <t>IT/Technology</t>
        </is>
      </c>
      <c r="I123" t="inlineStr">
        <is>
          <t>11-15</t>
        </is>
      </c>
      <c r="J123" t="inlineStr">
        <is>
          <t>Yes</t>
        </is>
      </c>
      <c r="K123" t="n">
        <v>3</v>
      </c>
      <c r="L123" t="inlineStr">
        <is>
          <t>No</t>
        </is>
      </c>
      <c r="M123" t="inlineStr">
        <is>
          <t>Yes</t>
        </is>
      </c>
      <c r="N123" t="n">
        <v>2</v>
      </c>
      <c r="O123" t="n">
        <v>3</v>
      </c>
      <c r="P123" t="n">
        <v>4</v>
      </c>
      <c r="Q123" t="n">
        <v>2</v>
      </c>
      <c r="R123" t="n">
        <v>3</v>
      </c>
      <c r="S123" t="n">
        <v>3</v>
      </c>
      <c r="U123" t="n">
        <v>2</v>
      </c>
      <c r="V123" t="n">
        <v>4</v>
      </c>
      <c r="W123" t="n">
        <v>2</v>
      </c>
      <c r="X123" t="n">
        <v>2</v>
      </c>
      <c r="Y123" t="n">
        <v>2</v>
      </c>
      <c r="Z123" t="n">
        <v>2</v>
      </c>
      <c r="AA123" t="n">
        <v>1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3</v>
      </c>
      <c r="AH123" t="n">
        <v>2</v>
      </c>
      <c r="AI123" t="n">
        <v>3</v>
      </c>
      <c r="AJ123" t="n">
        <v>1</v>
      </c>
      <c r="AK123" t="n">
        <v>2</v>
      </c>
      <c r="AL123" t="n">
        <v>3</v>
      </c>
      <c r="AM123" t="n">
        <v>2</v>
      </c>
      <c r="AN123" t="n">
        <v>2</v>
      </c>
      <c r="AO123" t="n">
        <v>3</v>
      </c>
      <c r="AP123" t="n">
        <v>4</v>
      </c>
      <c r="AQ123" t="n">
        <v>1</v>
      </c>
      <c r="AR123" t="n">
        <v>3</v>
      </c>
      <c r="AS123" t="n">
        <v>2</v>
      </c>
      <c r="AT123" t="n">
        <v>2</v>
      </c>
      <c r="AU123" t="n">
        <v>2</v>
      </c>
      <c r="AV123" t="n">
        <v>2</v>
      </c>
      <c r="AW123" t="n">
        <v>3</v>
      </c>
      <c r="AX123" t="n">
        <v>3</v>
      </c>
      <c r="AY123" t="n">
        <v>3</v>
      </c>
      <c r="AZ123" t="n">
        <v>2</v>
      </c>
      <c r="BA123" t="n">
        <v>4</v>
      </c>
      <c r="BB123" t="n">
        <v>2</v>
      </c>
      <c r="BC123" t="n">
        <v>3</v>
      </c>
      <c r="BE123" t="n">
        <v>3</v>
      </c>
      <c r="BF123" t="n">
        <v>3</v>
      </c>
      <c r="BG123" t="n">
        <v>2</v>
      </c>
      <c r="BH123" t="n">
        <v>3</v>
      </c>
      <c r="BI123" t="n">
        <v>3</v>
      </c>
      <c r="BJ123" t="n">
        <v>3</v>
      </c>
      <c r="BK123" t="n">
        <v>3</v>
      </c>
      <c r="BL123" t="n">
        <v>1</v>
      </c>
      <c r="BM123" t="n">
        <v>3</v>
      </c>
      <c r="BN123" t="n">
        <v>2</v>
      </c>
      <c r="BO123" t="n">
        <v>3</v>
      </c>
      <c r="BP123" t="n">
        <v>3</v>
      </c>
      <c r="BQ123" t="n">
        <v>3</v>
      </c>
      <c r="BR123" t="n">
        <v>1</v>
      </c>
      <c r="BS123" s="56">
        <f>IF(COUNT(N123:W123)&gt;=8,AVERAGE(N123:W123),"")</f>
        <v/>
      </c>
      <c r="BT123" s="56">
        <f>IF(COUNT(X123:AE123)&gt;=7,AVERAGE(X123:AE123),"")</f>
        <v/>
      </c>
      <c r="BU123" s="56">
        <f>IF(COUNT(AF123:AM123)&gt;=7,AVERAGE(AF123:AM123),"")</f>
        <v/>
      </c>
      <c r="BV123" s="56">
        <f>IF(COUNT(AN123:AV123)&gt;=8,AVERAGE(AN123:AV123),"")</f>
        <v/>
      </c>
      <c r="BW123" s="56">
        <f>IF(COUNT(AW123:BD123)&gt;=7,AVERAGE(AW123:BD123),"")</f>
        <v/>
      </c>
      <c r="BX123" s="56">
        <f>IF(COUNT(BE123:BJ123)&gt;=5,AVERAGE(BE123:BJ123),"")</f>
        <v/>
      </c>
      <c r="BY123" s="56">
        <f>IF(COUNT(BK123:BR123)&gt;=7,AVERAGE(BK123:BR123),"")</f>
        <v/>
      </c>
    </row>
    <row r="124">
      <c r="A124" t="inlineStr">
        <is>
          <t>R093</t>
        </is>
      </c>
      <c r="B124" t="inlineStr">
        <is>
          <t>Yes</t>
        </is>
      </c>
      <c r="C124" t="inlineStr">
        <is>
          <t>Yes</t>
        </is>
      </c>
      <c r="D124" t="inlineStr">
        <is>
          <t>Male</t>
        </is>
      </c>
      <c r="E124" t="inlineStr">
        <is>
          <t>25-34</t>
        </is>
      </c>
      <c r="F124" t="inlineStr">
        <is>
          <t>Bachelor/HND</t>
        </is>
      </c>
      <c r="G124" t="inlineStr">
        <is>
          <t>Insurance/investment/other licensed financial institution</t>
        </is>
      </c>
      <c r="H124" t="inlineStr">
        <is>
          <t>IT/Technology</t>
        </is>
      </c>
      <c r="I124" t="inlineStr">
        <is>
          <t>2-5</t>
        </is>
      </c>
      <c r="J124" t="inlineStr">
        <is>
          <t>Yes</t>
        </is>
      </c>
      <c r="K124" t="n">
        <v>3</v>
      </c>
      <c r="L124" t="inlineStr">
        <is>
          <t>Yes</t>
        </is>
      </c>
      <c r="M124" t="inlineStr">
        <is>
          <t>Yes</t>
        </is>
      </c>
      <c r="N124" t="n">
        <v>3</v>
      </c>
      <c r="O124" t="n">
        <v>4</v>
      </c>
      <c r="P124" t="n">
        <v>3</v>
      </c>
      <c r="Q124" t="n">
        <v>3</v>
      </c>
      <c r="R124" t="n">
        <v>3</v>
      </c>
      <c r="S124" t="n">
        <v>4</v>
      </c>
      <c r="T124" t="n">
        <v>3</v>
      </c>
      <c r="U124" t="n">
        <v>4</v>
      </c>
      <c r="V124" t="n">
        <v>3</v>
      </c>
      <c r="W124" t="n">
        <v>4</v>
      </c>
      <c r="X124" t="n">
        <v>3</v>
      </c>
      <c r="Y124" t="n">
        <v>3</v>
      </c>
      <c r="Z124" t="n">
        <v>5</v>
      </c>
      <c r="AA124" t="n">
        <v>4</v>
      </c>
      <c r="AB124" t="n">
        <v>5</v>
      </c>
      <c r="AC124" t="n">
        <v>5</v>
      </c>
      <c r="AD124" t="n">
        <v>4</v>
      </c>
      <c r="AE124" t="n">
        <v>4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  <c r="AK124" t="n">
        <v>3</v>
      </c>
      <c r="AL124" t="n">
        <v>5</v>
      </c>
      <c r="AM124" t="n">
        <v>3</v>
      </c>
      <c r="AN124" t="n">
        <v>3</v>
      </c>
      <c r="AO124" t="n">
        <v>3</v>
      </c>
      <c r="AP124" t="n">
        <v>2</v>
      </c>
      <c r="AQ124" t="n">
        <v>3</v>
      </c>
      <c r="AR124" t="n">
        <v>3</v>
      </c>
      <c r="AS124" t="n">
        <v>3</v>
      </c>
      <c r="AT124" t="n">
        <v>2</v>
      </c>
      <c r="AU124" t="n">
        <v>3</v>
      </c>
      <c r="AV124" t="n">
        <v>5</v>
      </c>
      <c r="AW124" t="n">
        <v>5</v>
      </c>
      <c r="AX124" t="n">
        <v>5</v>
      </c>
      <c r="AY124" t="n">
        <v>3</v>
      </c>
      <c r="AZ124" t="n">
        <v>3</v>
      </c>
      <c r="BA124" t="n">
        <v>4</v>
      </c>
      <c r="BB124" t="n">
        <v>3</v>
      </c>
      <c r="BC124" t="n">
        <v>5</v>
      </c>
      <c r="BD124" t="n">
        <v>4</v>
      </c>
      <c r="BE124" t="n">
        <v>4</v>
      </c>
      <c r="BF124" t="n">
        <v>4</v>
      </c>
      <c r="BG124" t="n">
        <v>3</v>
      </c>
      <c r="BH124" t="n">
        <v>4</v>
      </c>
      <c r="BI124" t="n">
        <v>4</v>
      </c>
      <c r="BJ124" t="n">
        <v>3</v>
      </c>
      <c r="BK124" t="n">
        <v>3</v>
      </c>
      <c r="BL124" t="n">
        <v>2</v>
      </c>
      <c r="BM124" t="n">
        <v>4</v>
      </c>
      <c r="BN124" t="n">
        <v>3</v>
      </c>
      <c r="BO124" t="n">
        <v>4</v>
      </c>
      <c r="BP124" t="n">
        <v>4</v>
      </c>
      <c r="BQ124" t="n">
        <v>3</v>
      </c>
      <c r="BR124" t="n">
        <v>4</v>
      </c>
      <c r="BS124" s="56">
        <f>IF(COUNT(N124:W124)&gt;=8,AVERAGE(N124:W124),"")</f>
        <v/>
      </c>
      <c r="BT124" s="56">
        <f>IF(COUNT(X124:AE124)&gt;=7,AVERAGE(X124:AE124),"")</f>
        <v/>
      </c>
      <c r="BU124" s="56">
        <f>IF(COUNT(AF124:AM124)&gt;=7,AVERAGE(AF124:AM124),"")</f>
        <v/>
      </c>
      <c r="BV124" s="56">
        <f>IF(COUNT(AN124:AV124)&gt;=8,AVERAGE(AN124:AV124),"")</f>
        <v/>
      </c>
      <c r="BW124" s="56">
        <f>IF(COUNT(AW124:BD124)&gt;=7,AVERAGE(AW124:BD124),"")</f>
        <v/>
      </c>
      <c r="BX124" s="56">
        <f>IF(COUNT(BE124:BJ124)&gt;=5,AVERAGE(BE124:BJ124),"")</f>
        <v/>
      </c>
      <c r="BY124" s="56">
        <f>IF(COUNT(BK124:BR124)&gt;=7,AVERAGE(BK124:BR124),"")</f>
        <v/>
      </c>
    </row>
    <row r="125">
      <c r="A125" t="inlineStr">
        <is>
          <t>R094</t>
        </is>
      </c>
      <c r="B125" t="inlineStr">
        <is>
          <t>Yes</t>
        </is>
      </c>
      <c r="C125" t="inlineStr">
        <is>
          <t>Yes</t>
        </is>
      </c>
      <c r="D125" t="inlineStr">
        <is>
          <t>Female</t>
        </is>
      </c>
      <c r="E125" t="inlineStr">
        <is>
          <t>45-54</t>
        </is>
      </c>
      <c r="F125" t="inlineStr">
        <is>
          <t>Diploma/OND/NCE</t>
        </is>
      </c>
      <c r="G125" t="inlineStr">
        <is>
          <t>Fintech/payment provider</t>
        </is>
      </c>
      <c r="H125" t="inlineStr">
        <is>
          <t>Data/Analytics/AI</t>
        </is>
      </c>
      <c r="I125" t="inlineStr">
        <is>
          <t>Less than 2</t>
        </is>
      </c>
      <c r="J125" t="inlineStr">
        <is>
          <t>Yes</t>
        </is>
      </c>
      <c r="K125" t="n">
        <v>1</v>
      </c>
      <c r="L125" t="inlineStr">
        <is>
          <t>No</t>
        </is>
      </c>
      <c r="M125" t="inlineStr">
        <is>
          <t>Yes</t>
        </is>
      </c>
      <c r="N125" t="n">
        <v>3</v>
      </c>
      <c r="O125" t="n">
        <v>4</v>
      </c>
      <c r="P125" t="n">
        <v>4</v>
      </c>
      <c r="Q125" t="n">
        <v>4</v>
      </c>
      <c r="R125" t="n">
        <v>5</v>
      </c>
      <c r="S125" t="n">
        <v>5</v>
      </c>
      <c r="T125" t="n">
        <v>3</v>
      </c>
      <c r="U125" t="n">
        <v>4</v>
      </c>
      <c r="V125" t="n">
        <v>5</v>
      </c>
      <c r="W125" t="n">
        <v>3</v>
      </c>
      <c r="X125" t="n">
        <v>2</v>
      </c>
      <c r="Y125" t="n">
        <v>2</v>
      </c>
      <c r="Z125" t="n">
        <v>3</v>
      </c>
      <c r="AA125" t="n">
        <v>2</v>
      </c>
      <c r="AB125" t="n">
        <v>3</v>
      </c>
      <c r="AC125" t="n">
        <v>3</v>
      </c>
      <c r="AD125" t="n">
        <v>3</v>
      </c>
      <c r="AE125" t="n">
        <v>1</v>
      </c>
      <c r="AF125" t="n">
        <v>3</v>
      </c>
      <c r="AG125" t="n">
        <v>2</v>
      </c>
      <c r="AH125" t="n">
        <v>2</v>
      </c>
      <c r="AI125" t="n">
        <v>3</v>
      </c>
      <c r="AJ125" t="n">
        <v>2</v>
      </c>
      <c r="AK125" t="n">
        <v>3</v>
      </c>
      <c r="AL125" t="n">
        <v>2</v>
      </c>
      <c r="AM125" t="n">
        <v>2</v>
      </c>
      <c r="AO125" t="n">
        <v>3</v>
      </c>
      <c r="AP125" t="n">
        <v>3</v>
      </c>
      <c r="AQ125" t="n">
        <v>1</v>
      </c>
      <c r="AR125" t="n">
        <v>4</v>
      </c>
      <c r="AS125" t="n">
        <v>2</v>
      </c>
      <c r="AT125" t="n">
        <v>3</v>
      </c>
      <c r="AU125" t="n">
        <v>2</v>
      </c>
      <c r="AV125" t="n">
        <v>3</v>
      </c>
      <c r="AW125" t="n">
        <v>3</v>
      </c>
      <c r="AX125" t="n">
        <v>2</v>
      </c>
      <c r="AY125" t="n">
        <v>2</v>
      </c>
      <c r="AZ125" t="n">
        <v>3</v>
      </c>
      <c r="BA125" t="n">
        <v>4</v>
      </c>
      <c r="BB125" t="n">
        <v>1</v>
      </c>
      <c r="BC125" t="n">
        <v>3</v>
      </c>
      <c r="BD125" t="n">
        <v>3</v>
      </c>
      <c r="BE125" t="n">
        <v>3</v>
      </c>
      <c r="BF125" t="n">
        <v>3</v>
      </c>
      <c r="BG125" t="n">
        <v>2</v>
      </c>
      <c r="BH125" t="n">
        <v>4</v>
      </c>
      <c r="BI125" t="n">
        <v>3</v>
      </c>
      <c r="BJ125" t="n">
        <v>3</v>
      </c>
      <c r="BK125" t="n">
        <v>2</v>
      </c>
      <c r="BL125" t="n">
        <v>3</v>
      </c>
      <c r="BM125" t="n">
        <v>3</v>
      </c>
      <c r="BN125" t="n">
        <v>2</v>
      </c>
      <c r="BO125" t="n">
        <v>3</v>
      </c>
      <c r="BP125" t="n">
        <v>3</v>
      </c>
      <c r="BQ125" t="n">
        <v>4</v>
      </c>
      <c r="BR125" t="n">
        <v>3</v>
      </c>
      <c r="BS125" s="56">
        <f>IF(COUNT(N125:W125)&gt;=8,AVERAGE(N125:W125),"")</f>
        <v/>
      </c>
      <c r="BT125" s="56">
        <f>IF(COUNT(X125:AE125)&gt;=7,AVERAGE(X125:AE125),"")</f>
        <v/>
      </c>
      <c r="BU125" s="56">
        <f>IF(COUNT(AF125:AM125)&gt;=7,AVERAGE(AF125:AM125),"")</f>
        <v/>
      </c>
      <c r="BV125" s="56">
        <f>IF(COUNT(AN125:AV125)&gt;=8,AVERAGE(AN125:AV125),"")</f>
        <v/>
      </c>
      <c r="BW125" s="56">
        <f>IF(COUNT(AW125:BD125)&gt;=7,AVERAGE(AW125:BD125),"")</f>
        <v/>
      </c>
      <c r="BX125" s="56">
        <f>IF(COUNT(BE125:BJ125)&gt;=5,AVERAGE(BE125:BJ125),"")</f>
        <v/>
      </c>
      <c r="BY125" s="56">
        <f>IF(COUNT(BK125:BR125)&gt;=7,AVERAGE(BK125:BR125),"")</f>
        <v/>
      </c>
    </row>
    <row r="126">
      <c r="A126" t="inlineStr">
        <is>
          <t>R095</t>
        </is>
      </c>
      <c r="B126" t="inlineStr">
        <is>
          <t>Yes</t>
        </is>
      </c>
      <c r="C126" t="inlineStr">
        <is>
          <t>Yes</t>
        </is>
      </c>
      <c r="D126" t="inlineStr">
        <is>
          <t>Male</t>
        </is>
      </c>
      <c r="E126" t="inlineStr">
        <is>
          <t>25-34</t>
        </is>
      </c>
      <c r="F126" t="inlineStr">
        <is>
          <t>Master's</t>
        </is>
      </c>
      <c r="G126" t="inlineStr">
        <is>
          <t>Commercial bank</t>
        </is>
      </c>
      <c r="H126" t="inlineStr">
        <is>
          <t>IT/Technology</t>
        </is>
      </c>
      <c r="I126" t="inlineStr">
        <is>
          <t>6-10</t>
        </is>
      </c>
      <c r="J126" t="inlineStr">
        <is>
          <t>Yes</t>
        </is>
      </c>
      <c r="K126" t="n">
        <v>2</v>
      </c>
      <c r="L126" t="inlineStr">
        <is>
          <t>Yes</t>
        </is>
      </c>
      <c r="M126" t="inlineStr">
        <is>
          <t>Yes</t>
        </is>
      </c>
      <c r="N126" t="n">
        <v>3</v>
      </c>
      <c r="O126" t="n">
        <v>1</v>
      </c>
      <c r="P126" t="n">
        <v>3</v>
      </c>
      <c r="Q126" t="n">
        <v>2</v>
      </c>
      <c r="R126" t="n">
        <v>2</v>
      </c>
      <c r="S126" t="n">
        <v>3</v>
      </c>
      <c r="T126" t="n">
        <v>2</v>
      </c>
      <c r="U126" t="n">
        <v>2</v>
      </c>
      <c r="V126" t="n">
        <v>2</v>
      </c>
      <c r="W126" t="n">
        <v>2</v>
      </c>
      <c r="X126" t="n">
        <v>3</v>
      </c>
      <c r="Y126" t="n">
        <v>2</v>
      </c>
      <c r="Z126" t="n">
        <v>3</v>
      </c>
      <c r="AA126" t="n">
        <v>3</v>
      </c>
      <c r="AB126" t="n">
        <v>2</v>
      </c>
      <c r="AC126" t="n">
        <v>3</v>
      </c>
      <c r="AD126" t="n">
        <v>3</v>
      </c>
      <c r="AE126" t="n">
        <v>3</v>
      </c>
      <c r="AF126" t="n">
        <v>2</v>
      </c>
      <c r="AG126" t="n">
        <v>3</v>
      </c>
      <c r="AH126" t="n">
        <v>3</v>
      </c>
      <c r="AI126" t="n">
        <v>4</v>
      </c>
      <c r="AJ126" t="n">
        <v>2</v>
      </c>
      <c r="AK126" t="n">
        <v>4</v>
      </c>
      <c r="AL126" t="n">
        <v>3</v>
      </c>
      <c r="AM126" t="n">
        <v>4</v>
      </c>
      <c r="AN126" t="n">
        <v>3</v>
      </c>
      <c r="AO126" t="n">
        <v>2</v>
      </c>
      <c r="AP126" t="n">
        <v>2</v>
      </c>
      <c r="AQ126" t="n">
        <v>2</v>
      </c>
      <c r="AR126" t="n">
        <v>2</v>
      </c>
      <c r="AS126" t="n">
        <v>3</v>
      </c>
      <c r="AT126" t="n">
        <v>2</v>
      </c>
      <c r="AU126" t="n">
        <v>1</v>
      </c>
      <c r="AV126" t="n">
        <v>3</v>
      </c>
      <c r="AW126" t="n">
        <v>4</v>
      </c>
      <c r="AX126" t="n">
        <v>2</v>
      </c>
      <c r="AY126" t="n">
        <v>2</v>
      </c>
      <c r="AZ126" t="n">
        <v>3</v>
      </c>
      <c r="BA126" t="n">
        <v>2</v>
      </c>
      <c r="BB126" t="n">
        <v>3</v>
      </c>
      <c r="BC126" t="n">
        <v>4</v>
      </c>
      <c r="BD126" t="n">
        <v>2</v>
      </c>
      <c r="BE126" t="n">
        <v>3</v>
      </c>
      <c r="BF126" t="n">
        <v>4</v>
      </c>
      <c r="BG126" t="n">
        <v>3</v>
      </c>
      <c r="BH126" t="n">
        <v>3</v>
      </c>
      <c r="BI126" t="n">
        <v>3</v>
      </c>
      <c r="BJ126" t="n">
        <v>3</v>
      </c>
      <c r="BK126" t="n">
        <v>3</v>
      </c>
      <c r="BL126" t="n">
        <v>4</v>
      </c>
      <c r="BM126" t="n">
        <v>4</v>
      </c>
      <c r="BN126" t="n">
        <v>4</v>
      </c>
      <c r="BO126" t="n">
        <v>3</v>
      </c>
      <c r="BP126" t="n">
        <v>4</v>
      </c>
      <c r="BQ126" t="n">
        <v>5</v>
      </c>
      <c r="BR126" t="n">
        <v>4</v>
      </c>
      <c r="BS126" s="56">
        <f>IF(COUNT(N126:W126)&gt;=8,AVERAGE(N126:W126),"")</f>
        <v/>
      </c>
      <c r="BT126" s="56">
        <f>IF(COUNT(X126:AE126)&gt;=7,AVERAGE(X126:AE126),"")</f>
        <v/>
      </c>
      <c r="BU126" s="56">
        <f>IF(COUNT(AF126:AM126)&gt;=7,AVERAGE(AF126:AM126),"")</f>
        <v/>
      </c>
      <c r="BV126" s="56">
        <f>IF(COUNT(AN126:AV126)&gt;=8,AVERAGE(AN126:AV126),"")</f>
        <v/>
      </c>
      <c r="BW126" s="56">
        <f>IF(COUNT(AW126:BD126)&gt;=7,AVERAGE(AW126:BD126),"")</f>
        <v/>
      </c>
      <c r="BX126" s="56">
        <f>IF(COUNT(BE126:BJ126)&gt;=5,AVERAGE(BE126:BJ126),"")</f>
        <v/>
      </c>
      <c r="BY126" s="56">
        <f>IF(COUNT(BK126:BR126)&gt;=7,AVERAGE(BK126:BR126),"")</f>
        <v/>
      </c>
    </row>
    <row r="127">
      <c r="A127" t="inlineStr">
        <is>
          <t>R096</t>
        </is>
      </c>
      <c r="B127" t="inlineStr">
        <is>
          <t>Yes</t>
        </is>
      </c>
      <c r="C127" t="inlineStr">
        <is>
          <t>Yes</t>
        </is>
      </c>
      <c r="D127" t="inlineStr">
        <is>
          <t>Female</t>
        </is>
      </c>
      <c r="E127" t="inlineStr">
        <is>
          <t>25-34</t>
        </is>
      </c>
      <c r="F127" t="inlineStr">
        <is>
          <t>Master's</t>
        </is>
      </c>
      <c r="G127" t="inlineStr">
        <is>
          <t>Commercial bank</t>
        </is>
      </c>
      <c r="H127" t="inlineStr">
        <is>
          <t>IT/Technology</t>
        </is>
      </c>
      <c r="I127" t="inlineStr">
        <is>
          <t>2-5</t>
        </is>
      </c>
      <c r="J127" t="inlineStr">
        <is>
          <t>Yes</t>
        </is>
      </c>
      <c r="K127" t="n">
        <v>0</v>
      </c>
      <c r="L127" t="inlineStr">
        <is>
          <t>Yes</t>
        </is>
      </c>
      <c r="M127" t="inlineStr">
        <is>
          <t>Yes</t>
        </is>
      </c>
      <c r="N127" t="n">
        <v>4</v>
      </c>
      <c r="O127" t="n">
        <v>4</v>
      </c>
      <c r="P127" t="n">
        <v>5</v>
      </c>
      <c r="Q127" t="n">
        <v>4</v>
      </c>
      <c r="R127" t="n">
        <v>3</v>
      </c>
      <c r="S127" t="n">
        <v>3</v>
      </c>
      <c r="T127" t="n">
        <v>3</v>
      </c>
      <c r="U127" t="n">
        <v>5</v>
      </c>
      <c r="V127" t="n">
        <v>4</v>
      </c>
      <c r="W127" t="n">
        <v>4</v>
      </c>
      <c r="X127" t="n">
        <v>2</v>
      </c>
      <c r="Y127" t="n">
        <v>2</v>
      </c>
      <c r="Z127" t="n">
        <v>3</v>
      </c>
      <c r="AA127" t="n">
        <v>3</v>
      </c>
      <c r="AC127" t="n">
        <v>2</v>
      </c>
      <c r="AD127" t="n">
        <v>4</v>
      </c>
      <c r="AE127" t="n">
        <v>3</v>
      </c>
      <c r="AF127" t="n">
        <v>3</v>
      </c>
      <c r="AG127" t="n">
        <v>4</v>
      </c>
      <c r="AI127" t="n">
        <v>3</v>
      </c>
      <c r="AJ127" t="n">
        <v>2</v>
      </c>
      <c r="AK127" t="n">
        <v>3</v>
      </c>
      <c r="AM127" t="n">
        <v>2</v>
      </c>
      <c r="AN127" t="n">
        <v>3</v>
      </c>
      <c r="AO127" t="n">
        <v>2</v>
      </c>
      <c r="AP127" t="n">
        <v>1</v>
      </c>
      <c r="AQ127" t="n">
        <v>2</v>
      </c>
      <c r="AR127" t="n">
        <v>3</v>
      </c>
      <c r="AS127" t="n">
        <v>3</v>
      </c>
      <c r="AT127" t="n">
        <v>3</v>
      </c>
      <c r="AU127" t="n">
        <v>2</v>
      </c>
      <c r="AV127" t="n">
        <v>2</v>
      </c>
      <c r="AW127" t="n">
        <v>4</v>
      </c>
      <c r="AX127" t="n">
        <v>3</v>
      </c>
      <c r="AY127" t="n">
        <v>3</v>
      </c>
      <c r="AZ127" t="n">
        <v>3</v>
      </c>
      <c r="BA127" t="n">
        <v>4</v>
      </c>
      <c r="BB127" t="n">
        <v>5</v>
      </c>
      <c r="BE127" t="n">
        <v>2</v>
      </c>
      <c r="BF127" t="n">
        <v>3</v>
      </c>
      <c r="BG127" t="n">
        <v>2</v>
      </c>
      <c r="BH127" t="n">
        <v>4</v>
      </c>
      <c r="BI127" t="n">
        <v>2</v>
      </c>
      <c r="BJ127" t="n">
        <v>2</v>
      </c>
      <c r="BK127" t="n">
        <v>3</v>
      </c>
      <c r="BL127" t="n">
        <v>3</v>
      </c>
      <c r="BM127" t="n">
        <v>4</v>
      </c>
      <c r="BN127" t="n">
        <v>3</v>
      </c>
      <c r="BO127" t="n">
        <v>3</v>
      </c>
      <c r="BP127" t="n">
        <v>4</v>
      </c>
      <c r="BQ127" t="n">
        <v>4</v>
      </c>
      <c r="BR127" t="n">
        <v>3</v>
      </c>
      <c r="BS127" s="56">
        <f>IF(COUNT(N127:W127)&gt;=8,AVERAGE(N127:W127),"")</f>
        <v/>
      </c>
      <c r="BT127" s="56">
        <f>IF(COUNT(X127:AE127)&gt;=7,AVERAGE(X127:AE127),"")</f>
        <v/>
      </c>
      <c r="BU127" s="56">
        <f>IF(COUNT(AF127:AM127)&gt;=7,AVERAGE(AF127:AM127),"")</f>
        <v/>
      </c>
      <c r="BV127" s="56">
        <f>IF(COUNT(AN127:AV127)&gt;=8,AVERAGE(AN127:AV127),"")</f>
        <v/>
      </c>
      <c r="BW127" s="56">
        <f>IF(COUNT(AW127:BD127)&gt;=7,AVERAGE(AW127:BD127),"")</f>
        <v/>
      </c>
      <c r="BX127" s="56">
        <f>IF(COUNT(BE127:BJ127)&gt;=5,AVERAGE(BE127:BJ127),"")</f>
        <v/>
      </c>
      <c r="BY127" s="56">
        <f>IF(COUNT(BK127:BR127)&gt;=7,AVERAGE(BK127:BR127),"")</f>
        <v/>
      </c>
    </row>
    <row r="128">
      <c r="A128" t="inlineStr">
        <is>
          <t>R097</t>
        </is>
      </c>
      <c r="B128" t="inlineStr">
        <is>
          <t>Yes</t>
        </is>
      </c>
      <c r="C128" t="inlineStr">
        <is>
          <t>Yes</t>
        </is>
      </c>
      <c r="D128" t="inlineStr">
        <is>
          <t>Male</t>
        </is>
      </c>
      <c r="E128" t="inlineStr">
        <is>
          <t>18-24</t>
        </is>
      </c>
      <c r="F128" t="inlineStr">
        <is>
          <t>Bachelor/HND</t>
        </is>
      </c>
      <c r="G128" t="inlineStr">
        <is>
          <t>Commercial bank</t>
        </is>
      </c>
      <c r="H128" t="inlineStr">
        <is>
          <t>Customer Experience/Service</t>
        </is>
      </c>
      <c r="I128" t="inlineStr">
        <is>
          <t>2-5</t>
        </is>
      </c>
      <c r="J128" t="inlineStr">
        <is>
          <t>Yes</t>
        </is>
      </c>
      <c r="K128" t="n">
        <v>2</v>
      </c>
      <c r="L128" t="inlineStr">
        <is>
          <t>Yes</t>
        </is>
      </c>
      <c r="M128" t="inlineStr">
        <is>
          <t>Yes</t>
        </is>
      </c>
      <c r="N128" t="n">
        <v>3</v>
      </c>
      <c r="O128" t="n">
        <v>4</v>
      </c>
      <c r="P128" t="n">
        <v>4</v>
      </c>
      <c r="Q128" t="n">
        <v>2</v>
      </c>
      <c r="R128" t="n">
        <v>3</v>
      </c>
      <c r="S128" t="n">
        <v>3</v>
      </c>
      <c r="T128" t="n">
        <v>2</v>
      </c>
      <c r="U128" t="n">
        <v>3</v>
      </c>
      <c r="V128" t="n">
        <v>4</v>
      </c>
      <c r="W128" t="n">
        <v>2</v>
      </c>
      <c r="X128" t="n">
        <v>5</v>
      </c>
      <c r="Y128" t="n">
        <v>3</v>
      </c>
      <c r="Z128" t="n">
        <v>3</v>
      </c>
      <c r="AA128" t="n">
        <v>2</v>
      </c>
      <c r="AB128" t="n">
        <v>3</v>
      </c>
      <c r="AC128" t="n">
        <v>4</v>
      </c>
      <c r="AD128" t="n">
        <v>3</v>
      </c>
      <c r="AE128" t="n">
        <v>2</v>
      </c>
      <c r="AF128" t="n">
        <v>3</v>
      </c>
      <c r="AG128" t="n">
        <v>4</v>
      </c>
      <c r="AH128" t="n">
        <v>2</v>
      </c>
      <c r="AI128" t="n">
        <v>4</v>
      </c>
      <c r="AJ128" t="n">
        <v>3</v>
      </c>
      <c r="AK128" t="n">
        <v>3</v>
      </c>
      <c r="AL128" t="n">
        <v>3</v>
      </c>
      <c r="AM128" t="n">
        <v>3</v>
      </c>
      <c r="AN128" t="n">
        <v>3</v>
      </c>
      <c r="AO128" t="n">
        <v>3</v>
      </c>
      <c r="AP128" t="n">
        <v>4</v>
      </c>
      <c r="AQ128" t="n">
        <v>2</v>
      </c>
      <c r="AR128" t="n">
        <v>4</v>
      </c>
      <c r="AS128" t="n">
        <v>3</v>
      </c>
      <c r="AT128" t="n">
        <v>3</v>
      </c>
      <c r="AU128" t="n">
        <v>2</v>
      </c>
      <c r="AV128" t="n">
        <v>3</v>
      </c>
      <c r="AW128" t="n">
        <v>4</v>
      </c>
      <c r="AX128" t="n">
        <v>3</v>
      </c>
      <c r="AY128" t="n">
        <v>5</v>
      </c>
      <c r="AZ128" t="n">
        <v>3</v>
      </c>
      <c r="BA128" t="n">
        <v>5</v>
      </c>
      <c r="BB128" t="n">
        <v>5</v>
      </c>
      <c r="BC128" t="n">
        <v>4</v>
      </c>
      <c r="BD128" t="n">
        <v>4</v>
      </c>
      <c r="BE128" t="n">
        <v>4</v>
      </c>
      <c r="BF128" t="n">
        <v>4</v>
      </c>
      <c r="BG128" t="n">
        <v>3</v>
      </c>
      <c r="BH128" t="n">
        <v>4</v>
      </c>
      <c r="BI128" t="n">
        <v>3</v>
      </c>
      <c r="BJ128" t="n">
        <v>2</v>
      </c>
      <c r="BK128" t="n">
        <v>3</v>
      </c>
      <c r="BL128" t="n">
        <v>3</v>
      </c>
      <c r="BM128" t="n">
        <v>4</v>
      </c>
      <c r="BN128" t="n">
        <v>4</v>
      </c>
      <c r="BO128" t="n">
        <v>4</v>
      </c>
      <c r="BP128" t="n">
        <v>3</v>
      </c>
      <c r="BQ128" t="n">
        <v>3</v>
      </c>
      <c r="BR128" t="n">
        <v>3</v>
      </c>
      <c r="BS128" s="56">
        <f>IF(COUNT(N128:W128)&gt;=8,AVERAGE(N128:W128),"")</f>
        <v/>
      </c>
      <c r="BT128" s="56">
        <f>IF(COUNT(X128:AE128)&gt;=7,AVERAGE(X128:AE128),"")</f>
        <v/>
      </c>
      <c r="BU128" s="56">
        <f>IF(COUNT(AF128:AM128)&gt;=7,AVERAGE(AF128:AM128),"")</f>
        <v/>
      </c>
      <c r="BV128" s="56">
        <f>IF(COUNT(AN128:AV128)&gt;=8,AVERAGE(AN128:AV128),"")</f>
        <v/>
      </c>
      <c r="BW128" s="56">
        <f>IF(COUNT(AW128:BD128)&gt;=7,AVERAGE(AW128:BD128),"")</f>
        <v/>
      </c>
      <c r="BX128" s="56">
        <f>IF(COUNT(BE128:BJ128)&gt;=5,AVERAGE(BE128:BJ128),"")</f>
        <v/>
      </c>
      <c r="BY128" s="56">
        <f>IF(COUNT(BK128:BR128)&gt;=7,AVERAGE(BK128:BR128),"")</f>
        <v/>
      </c>
    </row>
    <row r="129">
      <c r="A129" t="inlineStr">
        <is>
          <t>R098</t>
        </is>
      </c>
      <c r="B129" t="inlineStr">
        <is>
          <t>Yes</t>
        </is>
      </c>
      <c r="C129" t="inlineStr">
        <is>
          <t>Yes</t>
        </is>
      </c>
      <c r="D129" t="inlineStr">
        <is>
          <t>Female</t>
        </is>
      </c>
      <c r="E129" t="inlineStr">
        <is>
          <t>45-54</t>
        </is>
      </c>
      <c r="F129" t="inlineStr">
        <is>
          <t>Diploma/OND/NCE</t>
        </is>
      </c>
      <c r="G129" t="inlineStr">
        <is>
          <t>Commercial bank</t>
        </is>
      </c>
      <c r="H129" t="inlineStr">
        <is>
          <t>IT/Technology</t>
        </is>
      </c>
      <c r="I129" t="inlineStr">
        <is>
          <t>16 or more</t>
        </is>
      </c>
      <c r="J129" t="inlineStr">
        <is>
          <t>Yes</t>
        </is>
      </c>
      <c r="K129" t="n">
        <v>1</v>
      </c>
      <c r="L129" t="inlineStr">
        <is>
          <t>No</t>
        </is>
      </c>
      <c r="M129" t="inlineStr">
        <is>
          <t>Yes</t>
        </is>
      </c>
      <c r="N129" t="n">
        <v>5</v>
      </c>
      <c r="O129" t="n">
        <v>4</v>
      </c>
      <c r="P129" t="n">
        <v>4</v>
      </c>
      <c r="Q129" t="n">
        <v>4</v>
      </c>
      <c r="R129" t="n">
        <v>5</v>
      </c>
      <c r="S129" t="n">
        <v>5</v>
      </c>
      <c r="T129" t="n">
        <v>5</v>
      </c>
      <c r="U129" t="n">
        <v>4</v>
      </c>
      <c r="V129" t="n">
        <v>5</v>
      </c>
      <c r="W129" t="n">
        <v>4</v>
      </c>
      <c r="X129" t="n">
        <v>3</v>
      </c>
      <c r="Y129" t="n">
        <v>2</v>
      </c>
      <c r="Z129" t="n">
        <v>5</v>
      </c>
      <c r="AA129" t="n">
        <v>3</v>
      </c>
      <c r="AB129" t="n">
        <v>3</v>
      </c>
      <c r="AC129" t="n">
        <v>2</v>
      </c>
      <c r="AD129" t="n">
        <v>3</v>
      </c>
      <c r="AE129" t="n">
        <v>3</v>
      </c>
      <c r="AF129" t="n">
        <v>3</v>
      </c>
      <c r="AG129" t="n">
        <v>4</v>
      </c>
      <c r="AH129" t="n">
        <v>4</v>
      </c>
      <c r="AI129" t="n">
        <v>4</v>
      </c>
      <c r="AJ129" t="n">
        <v>4</v>
      </c>
      <c r="AK129" t="n">
        <v>4</v>
      </c>
      <c r="AL129" t="n">
        <v>3</v>
      </c>
      <c r="AM129" t="n">
        <v>4</v>
      </c>
      <c r="AN129" t="n">
        <v>3</v>
      </c>
      <c r="AO129" t="n">
        <v>2</v>
      </c>
      <c r="AP129" t="n">
        <v>4</v>
      </c>
      <c r="AQ129" t="n">
        <v>2</v>
      </c>
      <c r="AR129" t="n">
        <v>2</v>
      </c>
      <c r="AS129" t="n">
        <v>2</v>
      </c>
      <c r="AT129" t="n">
        <v>3</v>
      </c>
      <c r="AU129" t="n">
        <v>2</v>
      </c>
      <c r="AV129" t="n">
        <v>2</v>
      </c>
      <c r="AW129" t="n">
        <v>4</v>
      </c>
      <c r="AX129" t="n">
        <v>4</v>
      </c>
      <c r="AY129" t="n">
        <v>2</v>
      </c>
      <c r="BA129" t="n">
        <v>4</v>
      </c>
      <c r="BB129" t="n">
        <v>3</v>
      </c>
      <c r="BC129" t="n">
        <v>4</v>
      </c>
      <c r="BD129" t="n">
        <v>3</v>
      </c>
      <c r="BE129" t="n">
        <v>3</v>
      </c>
      <c r="BF129" t="n">
        <v>4</v>
      </c>
      <c r="BG129" t="n">
        <v>3</v>
      </c>
      <c r="BH129" t="n">
        <v>4</v>
      </c>
      <c r="BI129" t="n">
        <v>3</v>
      </c>
      <c r="BJ129" t="n">
        <v>4</v>
      </c>
      <c r="BK129" t="n">
        <v>3</v>
      </c>
      <c r="BL129" t="n">
        <v>2</v>
      </c>
      <c r="BM129" t="n">
        <v>3</v>
      </c>
      <c r="BN129" t="n">
        <v>1</v>
      </c>
      <c r="BO129" t="n">
        <v>3</v>
      </c>
      <c r="BP129" t="n">
        <v>2</v>
      </c>
      <c r="BQ129" t="n">
        <v>1</v>
      </c>
      <c r="BR129" t="n">
        <v>2</v>
      </c>
      <c r="BS129" s="56">
        <f>IF(COUNT(N129:W129)&gt;=8,AVERAGE(N129:W129),"")</f>
        <v/>
      </c>
      <c r="BT129" s="56">
        <f>IF(COUNT(X129:AE129)&gt;=7,AVERAGE(X129:AE129),"")</f>
        <v/>
      </c>
      <c r="BU129" s="56">
        <f>IF(COUNT(AF129:AM129)&gt;=7,AVERAGE(AF129:AM129),"")</f>
        <v/>
      </c>
      <c r="BV129" s="56">
        <f>IF(COUNT(AN129:AV129)&gt;=8,AVERAGE(AN129:AV129),"")</f>
        <v/>
      </c>
      <c r="BW129" s="56">
        <f>IF(COUNT(AW129:BD129)&gt;=7,AVERAGE(AW129:BD129),"")</f>
        <v/>
      </c>
      <c r="BX129" s="56">
        <f>IF(COUNT(BE129:BJ129)&gt;=5,AVERAGE(BE129:BJ129),"")</f>
        <v/>
      </c>
      <c r="BY129" s="56">
        <f>IF(COUNT(BK129:BR129)&gt;=7,AVERAGE(BK129:BR129),"")</f>
        <v/>
      </c>
    </row>
    <row r="130">
      <c r="A130" t="inlineStr">
        <is>
          <t>R099</t>
        </is>
      </c>
      <c r="B130" t="inlineStr">
        <is>
          <t>Yes</t>
        </is>
      </c>
      <c r="C130" t="inlineStr">
        <is>
          <t>Yes</t>
        </is>
      </c>
      <c r="D130" t="inlineStr">
        <is>
          <t>Female</t>
        </is>
      </c>
      <c r="E130" t="inlineStr">
        <is>
          <t>25-34</t>
        </is>
      </c>
      <c r="F130" t="inlineStr">
        <is>
          <t>Postgraduate Diploma</t>
        </is>
      </c>
      <c r="G130" t="inlineStr">
        <is>
          <t>Commercial bank</t>
        </is>
      </c>
      <c r="H130" t="inlineStr">
        <is>
          <t>Management/Strategy</t>
        </is>
      </c>
      <c r="I130" t="inlineStr">
        <is>
          <t>11-15</t>
        </is>
      </c>
      <c r="J130" t="inlineStr">
        <is>
          <t>Yes</t>
        </is>
      </c>
      <c r="K130" t="n">
        <v>3</v>
      </c>
      <c r="L130" t="inlineStr">
        <is>
          <t>Yes</t>
        </is>
      </c>
      <c r="M130" t="inlineStr">
        <is>
          <t>Yes</t>
        </is>
      </c>
      <c r="N130" t="n">
        <v>4</v>
      </c>
      <c r="O130" t="n">
        <v>2</v>
      </c>
      <c r="P130" t="n">
        <v>3</v>
      </c>
      <c r="Q130" t="n">
        <v>1</v>
      </c>
      <c r="R130" t="n">
        <v>3</v>
      </c>
      <c r="S130" t="n">
        <v>3</v>
      </c>
      <c r="T130" t="n">
        <v>2</v>
      </c>
      <c r="U130" t="n">
        <v>3</v>
      </c>
      <c r="V130" t="n">
        <v>3</v>
      </c>
      <c r="W130" t="n">
        <v>2</v>
      </c>
      <c r="X130" t="n">
        <v>3</v>
      </c>
      <c r="Y130" t="n">
        <v>4</v>
      </c>
      <c r="Z130" t="n">
        <v>5</v>
      </c>
      <c r="AA130" t="n">
        <v>4</v>
      </c>
      <c r="AB130" t="n">
        <v>5</v>
      </c>
      <c r="AC130" t="n">
        <v>4</v>
      </c>
      <c r="AD130" t="n">
        <v>4</v>
      </c>
      <c r="AE130" t="n">
        <v>4</v>
      </c>
      <c r="AF130" t="n">
        <v>3</v>
      </c>
      <c r="AG130" t="n">
        <v>2</v>
      </c>
      <c r="AH130" t="n">
        <v>2</v>
      </c>
      <c r="AI130" t="n">
        <v>2</v>
      </c>
      <c r="AJ130" t="n">
        <v>3</v>
      </c>
      <c r="AK130" t="n">
        <v>2</v>
      </c>
      <c r="AL130" t="n">
        <v>2</v>
      </c>
      <c r="AM130" t="n">
        <v>2</v>
      </c>
      <c r="AN130" t="n">
        <v>3</v>
      </c>
      <c r="AO130" t="n">
        <v>5</v>
      </c>
      <c r="AP130" t="n">
        <v>3</v>
      </c>
      <c r="AQ130" t="n">
        <v>3</v>
      </c>
      <c r="AR130" t="n">
        <v>4</v>
      </c>
      <c r="AS130" t="n">
        <v>5</v>
      </c>
      <c r="AT130" t="n">
        <v>4</v>
      </c>
      <c r="AU130" t="n">
        <v>4</v>
      </c>
      <c r="AV130" t="n">
        <v>4</v>
      </c>
      <c r="AW130" t="n">
        <v>4</v>
      </c>
      <c r="AX130" t="n">
        <v>4</v>
      </c>
      <c r="AY130" t="n">
        <v>3</v>
      </c>
      <c r="AZ130" t="n">
        <v>3</v>
      </c>
      <c r="BA130" t="n">
        <v>5</v>
      </c>
      <c r="BB130" t="n">
        <v>5</v>
      </c>
      <c r="BC130" t="n">
        <v>4</v>
      </c>
      <c r="BD130" t="n">
        <v>4</v>
      </c>
      <c r="BE130" t="n">
        <v>3</v>
      </c>
      <c r="BF130" t="n">
        <v>3</v>
      </c>
      <c r="BG130" t="n">
        <v>3</v>
      </c>
      <c r="BH130" t="n">
        <v>4</v>
      </c>
      <c r="BI130" t="n">
        <v>3</v>
      </c>
      <c r="BJ130" t="n">
        <v>4</v>
      </c>
      <c r="BK130" t="n">
        <v>3</v>
      </c>
      <c r="BL130" t="n">
        <v>2</v>
      </c>
      <c r="BM130" t="n">
        <v>3</v>
      </c>
      <c r="BN130" t="n">
        <v>1</v>
      </c>
      <c r="BO130" t="n">
        <v>3</v>
      </c>
      <c r="BP130" t="n">
        <v>2</v>
      </c>
      <c r="BQ130" t="n">
        <v>3</v>
      </c>
      <c r="BS130" s="56">
        <f>IF(COUNT(N130:W130)&gt;=8,AVERAGE(N130:W130),"")</f>
        <v/>
      </c>
      <c r="BT130" s="56">
        <f>IF(COUNT(X130:AE130)&gt;=7,AVERAGE(X130:AE130),"")</f>
        <v/>
      </c>
      <c r="BU130" s="56">
        <f>IF(COUNT(AF130:AM130)&gt;=7,AVERAGE(AF130:AM130),"")</f>
        <v/>
      </c>
      <c r="BV130" s="56">
        <f>IF(COUNT(AN130:AV130)&gt;=8,AVERAGE(AN130:AV130),"")</f>
        <v/>
      </c>
      <c r="BW130" s="56">
        <f>IF(COUNT(AW130:BD130)&gt;=7,AVERAGE(AW130:BD130),"")</f>
        <v/>
      </c>
      <c r="BX130" s="56">
        <f>IF(COUNT(BE130:BJ130)&gt;=5,AVERAGE(BE130:BJ130),"")</f>
        <v/>
      </c>
      <c r="BY130" s="56">
        <f>IF(COUNT(BK130:BR130)&gt;=7,AVERAGE(BK130:BR130),"")</f>
        <v/>
      </c>
    </row>
    <row r="131">
      <c r="A131" t="inlineStr">
        <is>
          <t>R100</t>
        </is>
      </c>
      <c r="B131" t="inlineStr">
        <is>
          <t>Yes</t>
        </is>
      </c>
      <c r="C131" t="inlineStr">
        <is>
          <t>Yes</t>
        </is>
      </c>
      <c r="D131" t="inlineStr">
        <is>
          <t>Male</t>
        </is>
      </c>
      <c r="E131" t="inlineStr">
        <is>
          <t>25-34</t>
        </is>
      </c>
      <c r="F131" t="inlineStr">
        <is>
          <t>Diploma/OND/NCE</t>
        </is>
      </c>
      <c r="G131" t="inlineStr">
        <is>
          <t>Commercial bank</t>
        </is>
      </c>
      <c r="H131" t="inlineStr">
        <is>
          <t>Customer Experience/Service</t>
        </is>
      </c>
      <c r="I131" t="inlineStr">
        <is>
          <t>6-10</t>
        </is>
      </c>
      <c r="J131" t="inlineStr">
        <is>
          <t>Yes</t>
        </is>
      </c>
      <c r="K131" t="n">
        <v>1</v>
      </c>
      <c r="L131" t="inlineStr">
        <is>
          <t>Yes</t>
        </is>
      </c>
      <c r="M131" t="inlineStr">
        <is>
          <t>Yes</t>
        </is>
      </c>
      <c r="N131" t="n">
        <v>3</v>
      </c>
      <c r="O131" t="n">
        <v>4</v>
      </c>
      <c r="P131" t="n">
        <v>4</v>
      </c>
      <c r="Q131" t="n">
        <v>3</v>
      </c>
      <c r="R131" t="n">
        <v>5</v>
      </c>
      <c r="S131" t="n">
        <v>4</v>
      </c>
      <c r="T131" t="n">
        <v>3</v>
      </c>
      <c r="U131" t="n">
        <v>3</v>
      </c>
      <c r="V131" t="n">
        <v>4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4</v>
      </c>
      <c r="AD131" t="n">
        <v>4</v>
      </c>
      <c r="AE131" t="n">
        <v>3</v>
      </c>
      <c r="AF131" t="n">
        <v>3</v>
      </c>
      <c r="AH131" t="n">
        <v>2</v>
      </c>
      <c r="AI131" t="n">
        <v>2</v>
      </c>
      <c r="AK131" t="n">
        <v>3</v>
      </c>
      <c r="AL131" t="n">
        <v>2</v>
      </c>
      <c r="AM131" t="n">
        <v>3</v>
      </c>
      <c r="AN131" t="n">
        <v>2</v>
      </c>
      <c r="AO131" t="n">
        <v>3</v>
      </c>
      <c r="AP131" t="n">
        <v>3</v>
      </c>
      <c r="AQ131" t="n">
        <v>3</v>
      </c>
      <c r="AR131" t="n">
        <v>3</v>
      </c>
      <c r="AS131" t="n">
        <v>2</v>
      </c>
      <c r="AT131" t="n">
        <v>3</v>
      </c>
      <c r="AU131" t="n">
        <v>2</v>
      </c>
      <c r="AV131" t="n">
        <v>3</v>
      </c>
      <c r="AW131" t="n">
        <v>3</v>
      </c>
      <c r="AX131" t="n">
        <v>3</v>
      </c>
      <c r="AY131" t="n">
        <v>4</v>
      </c>
      <c r="AZ131" t="n">
        <v>3</v>
      </c>
      <c r="BA131" t="n">
        <v>4</v>
      </c>
      <c r="BB131" t="n">
        <v>4</v>
      </c>
      <c r="BC131" t="n">
        <v>2</v>
      </c>
      <c r="BD131" t="n">
        <v>4</v>
      </c>
      <c r="BE131" t="n">
        <v>3</v>
      </c>
      <c r="BF131" t="n">
        <v>4</v>
      </c>
      <c r="BG131" t="n">
        <v>3</v>
      </c>
      <c r="BH131" t="n">
        <v>3</v>
      </c>
      <c r="BI131" t="n">
        <v>3</v>
      </c>
      <c r="BJ131" t="n">
        <v>5</v>
      </c>
      <c r="BL131" t="n">
        <v>3</v>
      </c>
      <c r="BM131" t="n">
        <v>4</v>
      </c>
      <c r="BN131" t="n">
        <v>4</v>
      </c>
      <c r="BO131" t="n">
        <v>3</v>
      </c>
      <c r="BP131" t="n">
        <v>3</v>
      </c>
      <c r="BQ131" t="n">
        <v>4</v>
      </c>
      <c r="BR131" t="n">
        <v>1</v>
      </c>
      <c r="BS131" s="56">
        <f>IF(COUNT(N131:W131)&gt;=8,AVERAGE(N131:W131),"")</f>
        <v/>
      </c>
      <c r="BT131" s="56">
        <f>IF(COUNT(X131:AE131)&gt;=7,AVERAGE(X131:AE131),"")</f>
        <v/>
      </c>
      <c r="BU131" s="56">
        <f>IF(COUNT(AF131:AM131)&gt;=7,AVERAGE(AF131:AM131),"")</f>
        <v/>
      </c>
      <c r="BV131" s="56">
        <f>IF(COUNT(AN131:AV131)&gt;=8,AVERAGE(AN131:AV131),"")</f>
        <v/>
      </c>
      <c r="BW131" s="56">
        <f>IF(COUNT(AW131:BD131)&gt;=7,AVERAGE(AW131:BD131),"")</f>
        <v/>
      </c>
      <c r="BX131" s="56">
        <f>IF(COUNT(BE131:BJ131)&gt;=5,AVERAGE(BE131:BJ131),"")</f>
        <v/>
      </c>
      <c r="BY131" s="56">
        <f>IF(COUNT(BK131:BR131)&gt;=7,AVERAGE(BK131:BR131),"")</f>
        <v/>
      </c>
    </row>
    <row r="132">
      <c r="A132" t="inlineStr">
        <is>
          <t>R101</t>
        </is>
      </c>
      <c r="B132" t="inlineStr">
        <is>
          <t>Yes</t>
        </is>
      </c>
      <c r="C132" t="inlineStr">
        <is>
          <t>Yes</t>
        </is>
      </c>
      <c r="D132" t="inlineStr">
        <is>
          <t>Male</t>
        </is>
      </c>
      <c r="E132" t="inlineStr">
        <is>
          <t>25-34</t>
        </is>
      </c>
      <c r="F132" t="inlineStr">
        <is>
          <t>Bachelor/HND</t>
        </is>
      </c>
      <c r="G132" t="inlineStr">
        <is>
          <t>Commercial bank</t>
        </is>
      </c>
      <c r="H132" t="inlineStr">
        <is>
          <t>Customer Experience/Service</t>
        </is>
      </c>
      <c r="I132" t="inlineStr">
        <is>
          <t>Less than 2</t>
        </is>
      </c>
      <c r="J132" t="inlineStr">
        <is>
          <t>Yes</t>
        </is>
      </c>
      <c r="K132" t="n">
        <v>1</v>
      </c>
      <c r="L132" t="inlineStr">
        <is>
          <t>No</t>
        </is>
      </c>
      <c r="M132" t="inlineStr">
        <is>
          <t>Yes</t>
        </is>
      </c>
      <c r="N132" t="n">
        <v>4</v>
      </c>
      <c r="O132" t="n">
        <v>4</v>
      </c>
      <c r="P132" t="n">
        <v>4</v>
      </c>
      <c r="Q132" t="n">
        <v>2</v>
      </c>
      <c r="R132" t="n">
        <v>2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2</v>
      </c>
      <c r="Y132" t="n">
        <v>2</v>
      </c>
      <c r="Z132" t="n">
        <v>2</v>
      </c>
      <c r="AA132" t="n">
        <v>1</v>
      </c>
      <c r="AB132" t="n">
        <v>3</v>
      </c>
      <c r="AC132" t="n">
        <v>2</v>
      </c>
      <c r="AD132" t="n">
        <v>2</v>
      </c>
      <c r="AE132" t="n">
        <v>1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  <c r="AK132" t="n">
        <v>4</v>
      </c>
      <c r="AL132" t="n">
        <v>2</v>
      </c>
      <c r="AM132" t="n">
        <v>4</v>
      </c>
      <c r="AN132" t="n">
        <v>4</v>
      </c>
      <c r="AO132" t="n">
        <v>4</v>
      </c>
      <c r="AP132" t="n">
        <v>3</v>
      </c>
      <c r="AQ132" t="n">
        <v>3</v>
      </c>
      <c r="AR132" t="n">
        <v>4</v>
      </c>
      <c r="AS132" t="n">
        <v>3</v>
      </c>
      <c r="AT132" t="n">
        <v>2</v>
      </c>
      <c r="AU132" t="n">
        <v>3</v>
      </c>
      <c r="AV132" t="n">
        <v>3</v>
      </c>
      <c r="AW132" t="n">
        <v>3</v>
      </c>
      <c r="AX132" t="n">
        <v>3</v>
      </c>
      <c r="AY132" t="n">
        <v>2</v>
      </c>
      <c r="AZ132" t="n">
        <v>2</v>
      </c>
      <c r="BA132" t="n">
        <v>4</v>
      </c>
      <c r="BB132" t="n">
        <v>3</v>
      </c>
      <c r="BC132" t="n">
        <v>3</v>
      </c>
      <c r="BD132" t="n">
        <v>3</v>
      </c>
      <c r="BE132" t="n">
        <v>3</v>
      </c>
      <c r="BF132" t="n">
        <v>3</v>
      </c>
      <c r="BG132" t="n">
        <v>3</v>
      </c>
      <c r="BH132" t="n">
        <v>5</v>
      </c>
      <c r="BI132" t="n">
        <v>3</v>
      </c>
      <c r="BJ132" t="n">
        <v>2</v>
      </c>
      <c r="BK132" t="n">
        <v>3</v>
      </c>
      <c r="BL132" t="n">
        <v>4</v>
      </c>
      <c r="BM132" t="n">
        <v>4</v>
      </c>
      <c r="BN132" t="n">
        <v>4</v>
      </c>
      <c r="BO132" t="n">
        <v>4</v>
      </c>
      <c r="BP132" t="n">
        <v>3</v>
      </c>
      <c r="BQ132" t="n">
        <v>4</v>
      </c>
      <c r="BR132" t="n">
        <v>4</v>
      </c>
      <c r="BS132" s="56">
        <f>IF(COUNT(N132:W132)&gt;=8,AVERAGE(N132:W132),"")</f>
        <v/>
      </c>
      <c r="BT132" s="56">
        <f>IF(COUNT(X132:AE132)&gt;=7,AVERAGE(X132:AE132),"")</f>
        <v/>
      </c>
      <c r="BU132" s="56">
        <f>IF(COUNT(AF132:AM132)&gt;=7,AVERAGE(AF132:AM132),"")</f>
        <v/>
      </c>
      <c r="BV132" s="56">
        <f>IF(COUNT(AN132:AV132)&gt;=8,AVERAGE(AN132:AV132),"")</f>
        <v/>
      </c>
      <c r="BW132" s="56">
        <f>IF(COUNT(AW132:BD132)&gt;=7,AVERAGE(AW132:BD132),"")</f>
        <v/>
      </c>
      <c r="BX132" s="56">
        <f>IF(COUNT(BE132:BJ132)&gt;=5,AVERAGE(BE132:BJ132),"")</f>
        <v/>
      </c>
      <c r="BY132" s="56">
        <f>IF(COUNT(BK132:BR132)&gt;=7,AVERAGE(BK132:BR132),"")</f>
        <v/>
      </c>
    </row>
    <row r="133">
      <c r="A133" t="inlineStr">
        <is>
          <t>R102</t>
        </is>
      </c>
      <c r="B133" t="inlineStr">
        <is>
          <t>Yes</t>
        </is>
      </c>
      <c r="C133" t="inlineStr">
        <is>
          <t>Yes</t>
        </is>
      </c>
      <c r="D133" t="inlineStr">
        <is>
          <t>Male</t>
        </is>
      </c>
      <c r="E133" t="inlineStr">
        <is>
          <t>35-44</t>
        </is>
      </c>
      <c r="F133" t="inlineStr">
        <is>
          <t>Bachelor/HND</t>
        </is>
      </c>
      <c r="G133" t="inlineStr">
        <is>
          <t>Merchant bank</t>
        </is>
      </c>
      <c r="H133" t="inlineStr">
        <is>
          <t>Management/Strategy</t>
        </is>
      </c>
      <c r="I133" t="inlineStr">
        <is>
          <t>11-15</t>
        </is>
      </c>
      <c r="J133" t="inlineStr">
        <is>
          <t>Yes</t>
        </is>
      </c>
      <c r="K133" t="n">
        <v>2</v>
      </c>
      <c r="L133" t="inlineStr">
        <is>
          <t>No</t>
        </is>
      </c>
      <c r="M133" t="inlineStr">
        <is>
          <t>Yes</t>
        </is>
      </c>
      <c r="N133" t="n">
        <v>3</v>
      </c>
      <c r="O133" t="n">
        <v>3</v>
      </c>
      <c r="P133" t="n">
        <v>3</v>
      </c>
      <c r="Q133" t="n">
        <v>3</v>
      </c>
      <c r="R133" t="n">
        <v>4</v>
      </c>
      <c r="S133" t="n">
        <v>3</v>
      </c>
      <c r="T133" t="n">
        <v>3</v>
      </c>
      <c r="U133" t="n">
        <v>3</v>
      </c>
      <c r="V133" t="n">
        <v>3</v>
      </c>
      <c r="W133" t="n">
        <v>2</v>
      </c>
      <c r="X133" t="n">
        <v>3</v>
      </c>
      <c r="Y133" t="n">
        <v>2</v>
      </c>
      <c r="Z133" t="n">
        <v>4</v>
      </c>
      <c r="AA133" t="n">
        <v>2</v>
      </c>
      <c r="AB133" t="n">
        <v>4</v>
      </c>
      <c r="AC133" t="n">
        <v>4</v>
      </c>
      <c r="AD133" t="n">
        <v>3</v>
      </c>
      <c r="AE133" t="n">
        <v>3</v>
      </c>
      <c r="AF133" t="n">
        <v>5</v>
      </c>
      <c r="AG133" t="n">
        <v>5</v>
      </c>
      <c r="AH133" t="n">
        <v>4</v>
      </c>
      <c r="AI133" t="n">
        <v>5</v>
      </c>
      <c r="AJ133" t="n">
        <v>5</v>
      </c>
      <c r="AK133" t="n">
        <v>5</v>
      </c>
      <c r="AL133" t="n">
        <v>5</v>
      </c>
      <c r="AM133" t="n">
        <v>4</v>
      </c>
      <c r="AN133" t="n">
        <v>3</v>
      </c>
      <c r="AO133" t="n">
        <v>3</v>
      </c>
      <c r="AP133" t="n">
        <v>2</v>
      </c>
      <c r="AQ133" t="n">
        <v>3</v>
      </c>
      <c r="AR133" t="n">
        <v>3</v>
      </c>
      <c r="AS133" t="n">
        <v>2</v>
      </c>
      <c r="AT133" t="n">
        <v>2</v>
      </c>
      <c r="AU133" t="n">
        <v>3</v>
      </c>
      <c r="AV133" t="n">
        <v>3</v>
      </c>
      <c r="AW133" t="n">
        <v>4</v>
      </c>
      <c r="AX133" t="n">
        <v>3</v>
      </c>
      <c r="AY133" t="n">
        <v>3</v>
      </c>
      <c r="AZ133" t="n">
        <v>3</v>
      </c>
      <c r="BA133" t="n">
        <v>4</v>
      </c>
      <c r="BB133" t="n">
        <v>4</v>
      </c>
      <c r="BC133" t="n">
        <v>4</v>
      </c>
      <c r="BD133" t="n">
        <v>3</v>
      </c>
      <c r="BE133" t="n">
        <v>5</v>
      </c>
      <c r="BF133" t="n">
        <v>3</v>
      </c>
      <c r="BG133" t="n">
        <v>3</v>
      </c>
      <c r="BH133" t="n">
        <v>4</v>
      </c>
      <c r="BI133" t="n">
        <v>5</v>
      </c>
      <c r="BJ133" t="n">
        <v>3</v>
      </c>
      <c r="BK133" t="n">
        <v>3</v>
      </c>
      <c r="BL133" t="n">
        <v>4</v>
      </c>
      <c r="BM133" t="n">
        <v>4</v>
      </c>
      <c r="BN133" t="n">
        <v>3</v>
      </c>
      <c r="BO133" t="n">
        <v>3</v>
      </c>
      <c r="BP133" t="n">
        <v>3</v>
      </c>
      <c r="BQ133" t="n">
        <v>5</v>
      </c>
      <c r="BR133" t="n">
        <v>4</v>
      </c>
      <c r="BS133" s="56">
        <f>IF(COUNT(N133:W133)&gt;=8,AVERAGE(N133:W133),"")</f>
        <v/>
      </c>
      <c r="BT133" s="56">
        <f>IF(COUNT(X133:AE133)&gt;=7,AVERAGE(X133:AE133),"")</f>
        <v/>
      </c>
      <c r="BU133" s="56">
        <f>IF(COUNT(AF133:AM133)&gt;=7,AVERAGE(AF133:AM133),"")</f>
        <v/>
      </c>
      <c r="BV133" s="56">
        <f>IF(COUNT(AN133:AV133)&gt;=8,AVERAGE(AN133:AV133),"")</f>
        <v/>
      </c>
      <c r="BW133" s="56">
        <f>IF(COUNT(AW133:BD133)&gt;=7,AVERAGE(AW133:BD133),"")</f>
        <v/>
      </c>
      <c r="BX133" s="56">
        <f>IF(COUNT(BE133:BJ133)&gt;=5,AVERAGE(BE133:BJ133),"")</f>
        <v/>
      </c>
      <c r="BY133" s="56">
        <f>IF(COUNT(BK133:BR133)&gt;=7,AVERAGE(BK133:BR133),"")</f>
        <v/>
      </c>
    </row>
    <row r="134">
      <c r="A134" t="inlineStr">
        <is>
          <t>R103</t>
        </is>
      </c>
      <c r="B134" t="inlineStr">
        <is>
          <t>Yes</t>
        </is>
      </c>
      <c r="C134" t="inlineStr">
        <is>
          <t>Yes</t>
        </is>
      </c>
      <c r="D134" t="inlineStr">
        <is>
          <t>Female</t>
        </is>
      </c>
      <c r="E134" t="inlineStr">
        <is>
          <t>25-34</t>
        </is>
      </c>
      <c r="F134" t="inlineStr">
        <is>
          <t>Master's</t>
        </is>
      </c>
      <c r="G134" t="inlineStr">
        <is>
          <t>Microfinance bank</t>
        </is>
      </c>
      <c r="H134" t="inlineStr">
        <is>
          <t>Relationship/Marketing</t>
        </is>
      </c>
      <c r="I134" t="inlineStr">
        <is>
          <t>Less than 2</t>
        </is>
      </c>
      <c r="J134" t="inlineStr">
        <is>
          <t>Yes</t>
        </is>
      </c>
      <c r="K134" t="n">
        <v>3</v>
      </c>
      <c r="L134" t="inlineStr">
        <is>
          <t>Yes</t>
        </is>
      </c>
      <c r="M134" t="inlineStr">
        <is>
          <t>Yes</t>
        </is>
      </c>
      <c r="N134" t="n">
        <v>2</v>
      </c>
      <c r="O134" t="n">
        <v>3</v>
      </c>
      <c r="P134" t="n">
        <v>3</v>
      </c>
      <c r="Q134" t="n">
        <v>2</v>
      </c>
      <c r="R134" t="n">
        <v>4</v>
      </c>
      <c r="S134" t="n">
        <v>3</v>
      </c>
      <c r="T134" t="n">
        <v>2</v>
      </c>
      <c r="U134" t="n">
        <v>3</v>
      </c>
      <c r="V134" t="n">
        <v>4</v>
      </c>
      <c r="W134" t="n">
        <v>2</v>
      </c>
      <c r="X134" t="n">
        <v>4</v>
      </c>
      <c r="Y134" t="n">
        <v>1</v>
      </c>
      <c r="Z134" t="n">
        <v>2</v>
      </c>
      <c r="AA134" t="n">
        <v>3</v>
      </c>
      <c r="AB134" t="n">
        <v>4</v>
      </c>
      <c r="AC134" t="n">
        <v>3</v>
      </c>
      <c r="AD134" t="n">
        <v>3</v>
      </c>
      <c r="AE134" t="n">
        <v>1</v>
      </c>
      <c r="AF134" t="n">
        <v>3</v>
      </c>
      <c r="AG134" t="n">
        <v>4</v>
      </c>
      <c r="AH134" t="n">
        <v>2</v>
      </c>
      <c r="AI134" t="n">
        <v>3</v>
      </c>
      <c r="AJ134" t="n">
        <v>2</v>
      </c>
      <c r="AK134" t="n">
        <v>4</v>
      </c>
      <c r="AL134" t="n">
        <v>3</v>
      </c>
      <c r="AM134" t="n">
        <v>3</v>
      </c>
      <c r="AN134" t="n">
        <v>2</v>
      </c>
      <c r="AP134" t="n">
        <v>2</v>
      </c>
      <c r="AQ134" t="n">
        <v>2</v>
      </c>
      <c r="AR134" t="n">
        <v>3</v>
      </c>
      <c r="AS134" t="n">
        <v>1</v>
      </c>
      <c r="AT134" t="n">
        <v>2</v>
      </c>
      <c r="AU134" t="n">
        <v>2</v>
      </c>
      <c r="AV134" t="n">
        <v>2</v>
      </c>
      <c r="AW134" t="n">
        <v>3</v>
      </c>
      <c r="AX134" t="n">
        <v>2</v>
      </c>
      <c r="AY134" t="n">
        <v>3</v>
      </c>
      <c r="AZ134" t="n">
        <v>3</v>
      </c>
      <c r="BA134" t="n">
        <v>3</v>
      </c>
      <c r="BB134" t="n">
        <v>3</v>
      </c>
      <c r="BC134" t="n">
        <v>3</v>
      </c>
      <c r="BD134" t="n">
        <v>3</v>
      </c>
      <c r="BE134" t="n">
        <v>2</v>
      </c>
      <c r="BF134" t="n">
        <v>2</v>
      </c>
      <c r="BG134" t="n">
        <v>1</v>
      </c>
      <c r="BH134" t="n">
        <v>3</v>
      </c>
      <c r="BI134" t="n">
        <v>2</v>
      </c>
      <c r="BJ134" t="n">
        <v>3</v>
      </c>
      <c r="BK134" t="n">
        <v>4</v>
      </c>
      <c r="BL134" t="n">
        <v>3</v>
      </c>
      <c r="BM134" t="n">
        <v>4</v>
      </c>
      <c r="BN134" t="n">
        <v>4</v>
      </c>
      <c r="BO134" t="n">
        <v>4</v>
      </c>
      <c r="BP134" t="n">
        <v>4</v>
      </c>
      <c r="BQ134" t="n">
        <v>4</v>
      </c>
      <c r="BR134" t="n">
        <v>3</v>
      </c>
      <c r="BS134" s="56">
        <f>IF(COUNT(N134:W134)&gt;=8,AVERAGE(N134:W134),"")</f>
        <v/>
      </c>
      <c r="BT134" s="56">
        <f>IF(COUNT(X134:AE134)&gt;=7,AVERAGE(X134:AE134),"")</f>
        <v/>
      </c>
      <c r="BU134" s="56">
        <f>IF(COUNT(AF134:AM134)&gt;=7,AVERAGE(AF134:AM134),"")</f>
        <v/>
      </c>
      <c r="BV134" s="56">
        <f>IF(COUNT(AN134:AV134)&gt;=8,AVERAGE(AN134:AV134),"")</f>
        <v/>
      </c>
      <c r="BW134" s="56">
        <f>IF(COUNT(AW134:BD134)&gt;=7,AVERAGE(AW134:BD134),"")</f>
        <v/>
      </c>
      <c r="BX134" s="56">
        <f>IF(COUNT(BE134:BJ134)&gt;=5,AVERAGE(BE134:BJ134),"")</f>
        <v/>
      </c>
      <c r="BY134" s="56">
        <f>IF(COUNT(BK134:BR134)&gt;=7,AVERAGE(BK134:BR134),"")</f>
        <v/>
      </c>
    </row>
    <row r="135">
      <c r="A135" t="inlineStr">
        <is>
          <t>R104</t>
        </is>
      </c>
      <c r="B135" t="inlineStr">
        <is>
          <t>Yes</t>
        </is>
      </c>
      <c r="C135" t="inlineStr">
        <is>
          <t>Yes</t>
        </is>
      </c>
      <c r="D135" t="inlineStr">
        <is>
          <t>Male</t>
        </is>
      </c>
      <c r="E135" t="inlineStr">
        <is>
          <t>25-34</t>
        </is>
      </c>
      <c r="F135" t="inlineStr">
        <is>
          <t>Doctorate</t>
        </is>
      </c>
      <c r="G135" t="inlineStr">
        <is>
          <t>Commercial bank</t>
        </is>
      </c>
      <c r="H135" t="inlineStr">
        <is>
          <t>Data/Analytics/AI</t>
        </is>
      </c>
      <c r="I135" t="inlineStr">
        <is>
          <t>2-5</t>
        </is>
      </c>
      <c r="J135" t="inlineStr">
        <is>
          <t>Yes</t>
        </is>
      </c>
      <c r="K135" t="n">
        <v>1</v>
      </c>
      <c r="L135" t="inlineStr">
        <is>
          <t>Yes</t>
        </is>
      </c>
      <c r="M135" t="inlineStr">
        <is>
          <t>Yes</t>
        </is>
      </c>
      <c r="N135" t="n">
        <v>3</v>
      </c>
      <c r="O135" t="n">
        <v>2</v>
      </c>
      <c r="P135" t="n">
        <v>3</v>
      </c>
      <c r="Q135" t="n">
        <v>2</v>
      </c>
      <c r="R135" t="n">
        <v>2</v>
      </c>
      <c r="S135" t="n">
        <v>3</v>
      </c>
      <c r="T135" t="n">
        <v>2</v>
      </c>
      <c r="U135" t="n">
        <v>1</v>
      </c>
      <c r="W135" t="n">
        <v>2</v>
      </c>
      <c r="X135" t="n">
        <v>4</v>
      </c>
      <c r="Y135" t="n">
        <v>4</v>
      </c>
      <c r="Z135" t="n">
        <v>3</v>
      </c>
      <c r="AA135" t="n">
        <v>2</v>
      </c>
      <c r="AB135" t="n">
        <v>3</v>
      </c>
      <c r="AC135" t="n">
        <v>3</v>
      </c>
      <c r="AD135" t="n">
        <v>3</v>
      </c>
      <c r="AE135" t="n">
        <v>2</v>
      </c>
      <c r="AF135" t="n">
        <v>3</v>
      </c>
      <c r="AG135" t="n">
        <v>3</v>
      </c>
      <c r="AH135" t="n">
        <v>3</v>
      </c>
      <c r="AI135" t="n">
        <v>3</v>
      </c>
      <c r="AJ135" t="n">
        <v>3</v>
      </c>
      <c r="AK135" t="n">
        <v>2</v>
      </c>
      <c r="AL135" t="n">
        <v>3</v>
      </c>
      <c r="AM135" t="n">
        <v>4</v>
      </c>
      <c r="AN135" t="n">
        <v>4</v>
      </c>
      <c r="AO135" t="n">
        <v>2</v>
      </c>
      <c r="AP135" t="n">
        <v>4</v>
      </c>
      <c r="AQ135" t="n">
        <v>3</v>
      </c>
      <c r="AR135" t="n">
        <v>4</v>
      </c>
      <c r="AS135" t="n">
        <v>3</v>
      </c>
      <c r="AT135" t="n">
        <v>4</v>
      </c>
      <c r="AU135" t="n">
        <v>3</v>
      </c>
      <c r="AV135" t="n">
        <v>3</v>
      </c>
      <c r="AW135" t="n">
        <v>4</v>
      </c>
      <c r="AX135" t="n">
        <v>4</v>
      </c>
      <c r="AY135" t="n">
        <v>4</v>
      </c>
      <c r="AZ135" t="n">
        <v>2</v>
      </c>
      <c r="BA135" t="n">
        <v>4</v>
      </c>
      <c r="BB135" t="n">
        <v>3</v>
      </c>
      <c r="BC135" t="n">
        <v>3</v>
      </c>
      <c r="BD135" t="n">
        <v>3</v>
      </c>
      <c r="BE135" t="n">
        <v>2</v>
      </c>
      <c r="BF135" t="n">
        <v>2</v>
      </c>
      <c r="BG135" t="n">
        <v>2</v>
      </c>
      <c r="BH135" t="n">
        <v>3</v>
      </c>
      <c r="BI135" t="n">
        <v>2</v>
      </c>
      <c r="BJ135" t="n">
        <v>3</v>
      </c>
      <c r="BK135" t="n">
        <v>4</v>
      </c>
      <c r="BL135" t="n">
        <v>4</v>
      </c>
      <c r="BM135" t="n">
        <v>4</v>
      </c>
      <c r="BN135" t="n">
        <v>3</v>
      </c>
      <c r="BO135" t="n">
        <v>2</v>
      </c>
      <c r="BP135" t="n">
        <v>4</v>
      </c>
      <c r="BQ135" t="n">
        <v>3</v>
      </c>
      <c r="BR135" t="n">
        <v>2</v>
      </c>
      <c r="BS135" s="56">
        <f>IF(COUNT(N135:W135)&gt;=8,AVERAGE(N135:W135),"")</f>
        <v/>
      </c>
      <c r="BT135" s="56">
        <f>IF(COUNT(X135:AE135)&gt;=7,AVERAGE(X135:AE135),"")</f>
        <v/>
      </c>
      <c r="BU135" s="56">
        <f>IF(COUNT(AF135:AM135)&gt;=7,AVERAGE(AF135:AM135),"")</f>
        <v/>
      </c>
      <c r="BV135" s="56">
        <f>IF(COUNT(AN135:AV135)&gt;=8,AVERAGE(AN135:AV135),"")</f>
        <v/>
      </c>
      <c r="BW135" s="56">
        <f>IF(COUNT(AW135:BD135)&gt;=7,AVERAGE(AW135:BD135),"")</f>
        <v/>
      </c>
      <c r="BX135" s="56">
        <f>IF(COUNT(BE135:BJ135)&gt;=5,AVERAGE(BE135:BJ135),"")</f>
        <v/>
      </c>
      <c r="BY135" s="56">
        <f>IF(COUNT(BK135:BR135)&gt;=7,AVERAGE(BK135:BR135),"")</f>
        <v/>
      </c>
    </row>
    <row r="136">
      <c r="A136" t="inlineStr">
        <is>
          <t>R105</t>
        </is>
      </c>
      <c r="B136" t="inlineStr">
        <is>
          <t>Yes</t>
        </is>
      </c>
      <c r="C136" t="inlineStr">
        <is>
          <t>Yes</t>
        </is>
      </c>
      <c r="D136" t="inlineStr">
        <is>
          <t>Male</t>
        </is>
      </c>
      <c r="E136" t="inlineStr">
        <is>
          <t>25-34</t>
        </is>
      </c>
      <c r="F136" t="inlineStr">
        <is>
          <t>Bachelor/HND</t>
        </is>
      </c>
      <c r="G136" t="inlineStr">
        <is>
          <t>Digital bank/neobank</t>
        </is>
      </c>
      <c r="H136" t="inlineStr">
        <is>
          <t>Customer Experience/Service</t>
        </is>
      </c>
      <c r="I136" t="inlineStr">
        <is>
          <t>6-10</t>
        </is>
      </c>
      <c r="J136" t="inlineStr">
        <is>
          <t>Yes</t>
        </is>
      </c>
      <c r="K136" t="n">
        <v>3</v>
      </c>
      <c r="L136" t="inlineStr">
        <is>
          <t>Yes</t>
        </is>
      </c>
      <c r="M136" t="inlineStr">
        <is>
          <t>Yes</t>
        </is>
      </c>
      <c r="N136" t="n">
        <v>4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4</v>
      </c>
      <c r="V136" t="n">
        <v>4</v>
      </c>
      <c r="W136" t="n">
        <v>3</v>
      </c>
      <c r="X136" t="n">
        <v>4</v>
      </c>
      <c r="Y136" t="n">
        <v>4</v>
      </c>
      <c r="Z136" t="n">
        <v>4</v>
      </c>
      <c r="AA136" t="n">
        <v>4</v>
      </c>
      <c r="AB136" t="n">
        <v>2</v>
      </c>
      <c r="AC136" t="n">
        <v>3</v>
      </c>
      <c r="AD136" t="n">
        <v>4</v>
      </c>
      <c r="AE136" t="n">
        <v>4</v>
      </c>
      <c r="AF136" t="n">
        <v>4</v>
      </c>
      <c r="AG136" t="n">
        <v>3</v>
      </c>
      <c r="AH136" t="n">
        <v>4</v>
      </c>
      <c r="AI136" t="n">
        <v>3</v>
      </c>
      <c r="AJ136" t="n">
        <v>3</v>
      </c>
      <c r="AK136" t="n">
        <v>5</v>
      </c>
      <c r="AL136" t="n">
        <v>5</v>
      </c>
      <c r="AM136" t="n">
        <v>4</v>
      </c>
      <c r="AN136" t="n">
        <v>4</v>
      </c>
      <c r="AO136" t="n">
        <v>3</v>
      </c>
      <c r="AP136" t="n">
        <v>3</v>
      </c>
      <c r="AQ136" t="n">
        <v>3</v>
      </c>
      <c r="AR136" t="n">
        <v>4</v>
      </c>
      <c r="AS136" t="n">
        <v>3</v>
      </c>
      <c r="AT136" t="n">
        <v>4</v>
      </c>
      <c r="AU136" t="n">
        <v>3</v>
      </c>
      <c r="AV136" t="n">
        <v>2</v>
      </c>
      <c r="AW136" t="n">
        <v>4</v>
      </c>
      <c r="AX136" t="n">
        <v>3</v>
      </c>
      <c r="AY136" t="n">
        <v>3</v>
      </c>
      <c r="AZ136" t="n">
        <v>4</v>
      </c>
      <c r="BA136" t="n">
        <v>4</v>
      </c>
      <c r="BB136" t="n">
        <v>3</v>
      </c>
      <c r="BC136" t="n">
        <v>4</v>
      </c>
      <c r="BD136" t="n">
        <v>4</v>
      </c>
      <c r="BE136" t="n">
        <v>5</v>
      </c>
      <c r="BF136" t="n">
        <v>4</v>
      </c>
      <c r="BG136" t="n">
        <v>4</v>
      </c>
      <c r="BH136" t="n">
        <v>4</v>
      </c>
      <c r="BI136" t="n">
        <v>4</v>
      </c>
      <c r="BJ136" t="n">
        <v>4</v>
      </c>
      <c r="BK136" t="n">
        <v>4</v>
      </c>
      <c r="BL136" t="n">
        <v>3</v>
      </c>
      <c r="BM136" t="n">
        <v>5</v>
      </c>
      <c r="BN136" t="n">
        <v>4</v>
      </c>
      <c r="BO136" t="n">
        <v>4</v>
      </c>
      <c r="BP136" t="n">
        <v>3</v>
      </c>
      <c r="BQ136" t="n">
        <v>4</v>
      </c>
      <c r="BR136" t="n">
        <v>4</v>
      </c>
      <c r="BS136" s="56">
        <f>IF(COUNT(N136:W136)&gt;=8,AVERAGE(N136:W136),"")</f>
        <v/>
      </c>
      <c r="BT136" s="56">
        <f>IF(COUNT(X136:AE136)&gt;=7,AVERAGE(X136:AE136),"")</f>
        <v/>
      </c>
      <c r="BU136" s="56">
        <f>IF(COUNT(AF136:AM136)&gt;=7,AVERAGE(AF136:AM136),"")</f>
        <v/>
      </c>
      <c r="BV136" s="56">
        <f>IF(COUNT(AN136:AV136)&gt;=8,AVERAGE(AN136:AV136),"")</f>
        <v/>
      </c>
      <c r="BW136" s="56">
        <f>IF(COUNT(AW136:BD136)&gt;=7,AVERAGE(AW136:BD136),"")</f>
        <v/>
      </c>
      <c r="BX136" s="56">
        <f>IF(COUNT(BE136:BJ136)&gt;=5,AVERAGE(BE136:BJ136),"")</f>
        <v/>
      </c>
      <c r="BY136" s="56">
        <f>IF(COUNT(BK136:BR136)&gt;=7,AVERAGE(BK136:BR136),"")</f>
        <v/>
      </c>
    </row>
    <row r="137">
      <c r="A137" t="inlineStr">
        <is>
          <t>R106</t>
        </is>
      </c>
      <c r="B137" t="inlineStr">
        <is>
          <t>Yes</t>
        </is>
      </c>
      <c r="C137" t="inlineStr">
        <is>
          <t>Yes</t>
        </is>
      </c>
      <c r="D137" t="inlineStr">
        <is>
          <t>Female</t>
        </is>
      </c>
      <c r="E137" t="inlineStr">
        <is>
          <t>35-44</t>
        </is>
      </c>
      <c r="F137" t="inlineStr">
        <is>
          <t>Postgraduate Diploma</t>
        </is>
      </c>
      <c r="G137" t="inlineStr">
        <is>
          <t>Fintech/payment provider</t>
        </is>
      </c>
      <c r="H137" t="inlineStr">
        <is>
          <t>IT/Technology</t>
        </is>
      </c>
      <c r="I137" t="inlineStr">
        <is>
          <t>2-5</t>
        </is>
      </c>
      <c r="J137" t="inlineStr">
        <is>
          <t>Yes</t>
        </is>
      </c>
      <c r="K137" t="n">
        <v>0</v>
      </c>
      <c r="L137" t="inlineStr">
        <is>
          <t>Do not know</t>
        </is>
      </c>
      <c r="M137" t="inlineStr">
        <is>
          <t>Yes</t>
        </is>
      </c>
      <c r="N137" t="n">
        <v>2</v>
      </c>
      <c r="O137" t="n">
        <v>4</v>
      </c>
      <c r="P137" t="n">
        <v>4</v>
      </c>
      <c r="Q137" t="n">
        <v>3</v>
      </c>
      <c r="R137" t="n">
        <v>4</v>
      </c>
      <c r="S137" t="n">
        <v>2</v>
      </c>
      <c r="T137" t="n">
        <v>2</v>
      </c>
      <c r="U137" t="n">
        <v>3</v>
      </c>
      <c r="V137" t="n">
        <v>5</v>
      </c>
      <c r="W137" t="n">
        <v>2</v>
      </c>
      <c r="X137" t="n">
        <v>3</v>
      </c>
      <c r="Y137" t="n">
        <v>3</v>
      </c>
      <c r="Z137" t="n">
        <v>3</v>
      </c>
      <c r="AA137" t="n">
        <v>3</v>
      </c>
      <c r="AB137" t="n">
        <v>3</v>
      </c>
      <c r="AC137" t="n">
        <v>3</v>
      </c>
      <c r="AD137" t="n">
        <v>3</v>
      </c>
      <c r="AE137" t="n">
        <v>4</v>
      </c>
      <c r="AF137" t="n">
        <v>3</v>
      </c>
      <c r="AG137" t="n">
        <v>3</v>
      </c>
      <c r="AH137" t="n">
        <v>3</v>
      </c>
      <c r="AI137" t="n">
        <v>4</v>
      </c>
      <c r="AJ137" t="n">
        <v>3</v>
      </c>
      <c r="AK137" t="n">
        <v>3</v>
      </c>
      <c r="AL137" t="n">
        <v>3</v>
      </c>
      <c r="AM137" t="n">
        <v>3</v>
      </c>
      <c r="AN137" t="n">
        <v>4</v>
      </c>
      <c r="AO137" t="n">
        <v>3</v>
      </c>
      <c r="AP137" t="n">
        <v>2</v>
      </c>
      <c r="AQ137" t="n">
        <v>2</v>
      </c>
      <c r="AR137" t="n">
        <v>2</v>
      </c>
      <c r="AS137" t="n">
        <v>3</v>
      </c>
      <c r="AT137" t="n">
        <v>2</v>
      </c>
      <c r="AU137" t="n">
        <v>1</v>
      </c>
      <c r="AV137" t="n">
        <v>1</v>
      </c>
      <c r="AW137" t="n">
        <v>2</v>
      </c>
      <c r="AX137" t="n">
        <v>2</v>
      </c>
      <c r="AY137" t="n">
        <v>3</v>
      </c>
      <c r="AZ137" t="n">
        <v>1</v>
      </c>
      <c r="BA137" t="n">
        <v>2</v>
      </c>
      <c r="BB137" t="n">
        <v>2</v>
      </c>
      <c r="BC137" t="n">
        <v>2</v>
      </c>
      <c r="BD137" t="n">
        <v>3</v>
      </c>
      <c r="BE137" t="n">
        <v>1</v>
      </c>
      <c r="BF137" t="n">
        <v>1</v>
      </c>
      <c r="BG137" t="n">
        <v>1</v>
      </c>
      <c r="BH137" t="n">
        <v>2</v>
      </c>
      <c r="BI137" t="n">
        <v>2</v>
      </c>
      <c r="BJ137" t="n">
        <v>2</v>
      </c>
      <c r="BK137" t="n">
        <v>3</v>
      </c>
      <c r="BL137" t="n">
        <v>3</v>
      </c>
      <c r="BM137" t="n">
        <v>3</v>
      </c>
      <c r="BN137" t="n">
        <v>4</v>
      </c>
      <c r="BO137" t="n">
        <v>4</v>
      </c>
      <c r="BP137" t="n">
        <v>3</v>
      </c>
      <c r="BQ137" t="n">
        <v>4</v>
      </c>
      <c r="BR137" t="n">
        <v>4</v>
      </c>
      <c r="BS137" s="56">
        <f>IF(COUNT(N137:W137)&gt;=8,AVERAGE(N137:W137),"")</f>
        <v/>
      </c>
      <c r="BT137" s="56">
        <f>IF(COUNT(X137:AE137)&gt;=7,AVERAGE(X137:AE137),"")</f>
        <v/>
      </c>
      <c r="BU137" s="56">
        <f>IF(COUNT(AF137:AM137)&gt;=7,AVERAGE(AF137:AM137),"")</f>
        <v/>
      </c>
      <c r="BV137" s="56">
        <f>IF(COUNT(AN137:AV137)&gt;=8,AVERAGE(AN137:AV137),"")</f>
        <v/>
      </c>
      <c r="BW137" s="56">
        <f>IF(COUNT(AW137:BD137)&gt;=7,AVERAGE(AW137:BD137),"")</f>
        <v/>
      </c>
      <c r="BX137" s="56">
        <f>IF(COUNT(BE137:BJ137)&gt;=5,AVERAGE(BE137:BJ137),"")</f>
        <v/>
      </c>
      <c r="BY137" s="56">
        <f>IF(COUNT(BK137:BR137)&gt;=7,AVERAGE(BK137:BR137),"")</f>
        <v/>
      </c>
    </row>
    <row r="138">
      <c r="A138" t="inlineStr">
        <is>
          <t>R107</t>
        </is>
      </c>
      <c r="B138" t="inlineStr">
        <is>
          <t>Yes</t>
        </is>
      </c>
      <c r="C138" t="inlineStr">
        <is>
          <t>Yes</t>
        </is>
      </c>
      <c r="D138" t="inlineStr">
        <is>
          <t>Male</t>
        </is>
      </c>
      <c r="E138" t="inlineStr">
        <is>
          <t>35-44</t>
        </is>
      </c>
      <c r="F138" t="inlineStr">
        <is>
          <t>Bachelor/HND</t>
        </is>
      </c>
      <c r="G138" t="inlineStr">
        <is>
          <t>Insurance/investment/other licensed financial institution</t>
        </is>
      </c>
      <c r="H138" t="inlineStr">
        <is>
          <t>Risk/Compliance</t>
        </is>
      </c>
      <c r="I138" t="inlineStr">
        <is>
          <t>16 or more</t>
        </is>
      </c>
      <c r="J138" t="inlineStr">
        <is>
          <t>Yes</t>
        </is>
      </c>
      <c r="K138" t="n">
        <v>4</v>
      </c>
      <c r="L138" t="inlineStr">
        <is>
          <t>Yes</t>
        </is>
      </c>
      <c r="M138" t="inlineStr">
        <is>
          <t>Yes</t>
        </is>
      </c>
      <c r="N138" t="n">
        <v>4</v>
      </c>
      <c r="O138" t="n">
        <v>2</v>
      </c>
      <c r="P138" t="n">
        <v>4</v>
      </c>
      <c r="Q138" t="n">
        <v>3</v>
      </c>
      <c r="R138" t="n">
        <v>3</v>
      </c>
      <c r="S138" t="n">
        <v>4</v>
      </c>
      <c r="T138" t="n">
        <v>4</v>
      </c>
      <c r="U138" t="n">
        <v>3</v>
      </c>
      <c r="V138" t="n">
        <v>4</v>
      </c>
      <c r="W138" t="n">
        <v>3</v>
      </c>
      <c r="X138" t="n">
        <v>5</v>
      </c>
      <c r="Y138" t="n">
        <v>2</v>
      </c>
      <c r="Z138" t="n">
        <v>3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2</v>
      </c>
      <c r="AG138" t="n">
        <v>3</v>
      </c>
      <c r="AH138" t="n">
        <v>3</v>
      </c>
      <c r="AI138" t="n">
        <v>4</v>
      </c>
      <c r="AJ138" t="n">
        <v>3</v>
      </c>
      <c r="AK138" t="n">
        <v>4</v>
      </c>
      <c r="AL138" t="n">
        <v>3</v>
      </c>
      <c r="AM138" t="n">
        <v>2</v>
      </c>
      <c r="AN138" t="n">
        <v>4</v>
      </c>
      <c r="AO138" t="n">
        <v>3</v>
      </c>
      <c r="AP138" t="n">
        <v>3</v>
      </c>
      <c r="AQ138" t="n">
        <v>3</v>
      </c>
      <c r="AS138" t="n">
        <v>3</v>
      </c>
      <c r="AT138" t="n">
        <v>4</v>
      </c>
      <c r="AU138" t="n">
        <v>4</v>
      </c>
      <c r="AV138" t="n">
        <v>4</v>
      </c>
      <c r="AW138" t="n">
        <v>4</v>
      </c>
      <c r="AX138" t="n">
        <v>2</v>
      </c>
      <c r="AY138" t="n">
        <v>2</v>
      </c>
      <c r="AZ138" t="n">
        <v>2</v>
      </c>
      <c r="BA138" t="n">
        <v>3</v>
      </c>
      <c r="BB138" t="n">
        <v>2</v>
      </c>
      <c r="BC138" t="n">
        <v>2</v>
      </c>
      <c r="BD138" t="n">
        <v>2</v>
      </c>
      <c r="BE138" t="n">
        <v>2</v>
      </c>
      <c r="BF138" t="n">
        <v>3</v>
      </c>
      <c r="BG138" t="n">
        <v>2</v>
      </c>
      <c r="BH138" t="n">
        <v>2</v>
      </c>
      <c r="BI138" t="n">
        <v>3</v>
      </c>
      <c r="BJ138" t="n">
        <v>3</v>
      </c>
      <c r="BK138" t="n">
        <v>2</v>
      </c>
      <c r="BL138" t="n">
        <v>2</v>
      </c>
      <c r="BM138" t="n">
        <v>3</v>
      </c>
      <c r="BN138" t="n">
        <v>3</v>
      </c>
      <c r="BO138" t="n">
        <v>2</v>
      </c>
      <c r="BP138" t="n">
        <v>2</v>
      </c>
      <c r="BQ138" t="n">
        <v>2</v>
      </c>
      <c r="BR138" t="n">
        <v>3</v>
      </c>
      <c r="BS138" s="56">
        <f>IF(COUNT(N138:W138)&gt;=8,AVERAGE(N138:W138),"")</f>
        <v/>
      </c>
      <c r="BT138" s="56">
        <f>IF(COUNT(X138:AE138)&gt;=7,AVERAGE(X138:AE138),"")</f>
        <v/>
      </c>
      <c r="BU138" s="56">
        <f>IF(COUNT(AF138:AM138)&gt;=7,AVERAGE(AF138:AM138),"")</f>
        <v/>
      </c>
      <c r="BV138" s="56">
        <f>IF(COUNT(AN138:AV138)&gt;=8,AVERAGE(AN138:AV138),"")</f>
        <v/>
      </c>
      <c r="BW138" s="56">
        <f>IF(COUNT(AW138:BD138)&gt;=7,AVERAGE(AW138:BD138),"")</f>
        <v/>
      </c>
      <c r="BX138" s="56">
        <f>IF(COUNT(BE138:BJ138)&gt;=5,AVERAGE(BE138:BJ138),"")</f>
        <v/>
      </c>
      <c r="BY138" s="56">
        <f>IF(COUNT(BK138:BR138)&gt;=7,AVERAGE(BK138:BR138),"")</f>
        <v/>
      </c>
    </row>
    <row r="139">
      <c r="A139" t="inlineStr">
        <is>
          <t>R108</t>
        </is>
      </c>
      <c r="B139" t="inlineStr">
        <is>
          <t>Yes</t>
        </is>
      </c>
      <c r="C139" t="inlineStr">
        <is>
          <t>Yes</t>
        </is>
      </c>
      <c r="D139" t="inlineStr">
        <is>
          <t>Male</t>
        </is>
      </c>
      <c r="E139" t="inlineStr">
        <is>
          <t>35-44</t>
        </is>
      </c>
      <c r="F139" t="inlineStr">
        <is>
          <t>Master's</t>
        </is>
      </c>
      <c r="G139" t="inlineStr">
        <is>
          <t>Digital bank/neobank</t>
        </is>
      </c>
      <c r="H139" t="inlineStr">
        <is>
          <t>IT/Technology</t>
        </is>
      </c>
      <c r="I139" t="inlineStr">
        <is>
          <t>2-5</t>
        </is>
      </c>
      <c r="J139" t="inlineStr">
        <is>
          <t>Yes</t>
        </is>
      </c>
      <c r="K139" t="n">
        <v>2</v>
      </c>
      <c r="L139" t="inlineStr">
        <is>
          <t>No</t>
        </is>
      </c>
      <c r="M139" t="inlineStr">
        <is>
          <t>Yes</t>
        </is>
      </c>
      <c r="N139" t="n">
        <v>2</v>
      </c>
      <c r="O139" t="n">
        <v>2</v>
      </c>
      <c r="Q139" t="n">
        <v>1</v>
      </c>
      <c r="R139" t="n">
        <v>3</v>
      </c>
      <c r="S139" t="n">
        <v>4</v>
      </c>
      <c r="T139" t="n">
        <v>3</v>
      </c>
      <c r="U139" t="n">
        <v>4</v>
      </c>
      <c r="V139" t="n">
        <v>3</v>
      </c>
      <c r="W139" t="n">
        <v>3</v>
      </c>
      <c r="X139" t="n">
        <v>3</v>
      </c>
      <c r="Y139" t="n">
        <v>3</v>
      </c>
      <c r="Z139" t="n">
        <v>3</v>
      </c>
      <c r="AA139" t="n">
        <v>2</v>
      </c>
      <c r="AB139" t="n">
        <v>3</v>
      </c>
      <c r="AC139" t="n">
        <v>2</v>
      </c>
      <c r="AD139" t="n">
        <v>3</v>
      </c>
      <c r="AE139" t="n">
        <v>3</v>
      </c>
      <c r="AF139" t="n">
        <v>3</v>
      </c>
      <c r="AG139" t="n">
        <v>3</v>
      </c>
      <c r="AH139" t="n">
        <v>2</v>
      </c>
      <c r="AI139" t="n">
        <v>2</v>
      </c>
      <c r="AJ139" t="n">
        <v>3</v>
      </c>
      <c r="AK139" t="n">
        <v>3</v>
      </c>
      <c r="AL139" t="n">
        <v>3</v>
      </c>
      <c r="AM139" t="n">
        <v>2</v>
      </c>
      <c r="AN139" t="n">
        <v>3</v>
      </c>
      <c r="AO139" t="n">
        <v>3</v>
      </c>
      <c r="AP139" t="n">
        <v>3</v>
      </c>
      <c r="AQ139" t="n">
        <v>3</v>
      </c>
      <c r="AR139" t="n">
        <v>3</v>
      </c>
      <c r="AS139" t="n">
        <v>3</v>
      </c>
      <c r="AT139" t="n">
        <v>2</v>
      </c>
      <c r="AU139" t="n">
        <v>2</v>
      </c>
      <c r="AV139" t="n">
        <v>4</v>
      </c>
      <c r="AW139" t="n">
        <v>4</v>
      </c>
      <c r="AX139" t="n">
        <v>2</v>
      </c>
      <c r="AY139" t="n">
        <v>2</v>
      </c>
      <c r="AZ139" t="n">
        <v>3</v>
      </c>
      <c r="BA139" t="n">
        <v>3</v>
      </c>
      <c r="BB139" t="n">
        <v>3</v>
      </c>
      <c r="BC139" t="n">
        <v>3</v>
      </c>
      <c r="BD139" t="n">
        <v>2</v>
      </c>
      <c r="BE139" t="n">
        <v>4</v>
      </c>
      <c r="BF139" t="n">
        <v>3</v>
      </c>
      <c r="BG139" t="n">
        <v>3</v>
      </c>
      <c r="BH139" t="n">
        <v>5</v>
      </c>
      <c r="BI139" t="n">
        <v>4</v>
      </c>
      <c r="BJ139" t="n">
        <v>4</v>
      </c>
      <c r="BK139" t="n">
        <v>2</v>
      </c>
      <c r="BL139" t="n">
        <v>3</v>
      </c>
      <c r="BM139" t="n">
        <v>3</v>
      </c>
      <c r="BN139" t="n">
        <v>3</v>
      </c>
      <c r="BO139" t="n">
        <v>2</v>
      </c>
      <c r="BP139" t="n">
        <v>2</v>
      </c>
      <c r="BQ139" t="n">
        <v>4</v>
      </c>
      <c r="BR139" t="n">
        <v>2</v>
      </c>
      <c r="BS139" s="56">
        <f>IF(COUNT(N139:W139)&gt;=8,AVERAGE(N139:W139),"")</f>
        <v/>
      </c>
      <c r="BT139" s="56">
        <f>IF(COUNT(X139:AE139)&gt;=7,AVERAGE(X139:AE139),"")</f>
        <v/>
      </c>
      <c r="BU139" s="56">
        <f>IF(COUNT(AF139:AM139)&gt;=7,AVERAGE(AF139:AM139),"")</f>
        <v/>
      </c>
      <c r="BV139" s="56">
        <f>IF(COUNT(AN139:AV139)&gt;=8,AVERAGE(AN139:AV139),"")</f>
        <v/>
      </c>
      <c r="BW139" s="56">
        <f>IF(COUNT(AW139:BD139)&gt;=7,AVERAGE(AW139:BD139),"")</f>
        <v/>
      </c>
      <c r="BX139" s="56">
        <f>IF(COUNT(BE139:BJ139)&gt;=5,AVERAGE(BE139:BJ139),"")</f>
        <v/>
      </c>
      <c r="BY139" s="56">
        <f>IF(COUNT(BK139:BR139)&gt;=7,AVERAGE(BK139:BR139),"")</f>
        <v/>
      </c>
    </row>
    <row r="140">
      <c r="A140" t="inlineStr">
        <is>
          <t>R109</t>
        </is>
      </c>
      <c r="B140" t="inlineStr">
        <is>
          <t>Yes</t>
        </is>
      </c>
      <c r="C140" t="inlineStr">
        <is>
          <t>Yes</t>
        </is>
      </c>
      <c r="D140" t="inlineStr">
        <is>
          <t>Female</t>
        </is>
      </c>
      <c r="E140" t="inlineStr">
        <is>
          <t>35-44</t>
        </is>
      </c>
      <c r="F140" t="inlineStr">
        <is>
          <t>Master's</t>
        </is>
      </c>
      <c r="G140" t="inlineStr">
        <is>
          <t>Fintech/payment provider</t>
        </is>
      </c>
      <c r="H140" t="inlineStr">
        <is>
          <t>Other</t>
        </is>
      </c>
      <c r="I140" t="inlineStr">
        <is>
          <t>2-5</t>
        </is>
      </c>
      <c r="J140" t="inlineStr">
        <is>
          <t>Yes</t>
        </is>
      </c>
      <c r="K140" t="n">
        <v>2</v>
      </c>
      <c r="L140" t="inlineStr">
        <is>
          <t>Yes</t>
        </is>
      </c>
      <c r="M140" t="inlineStr">
        <is>
          <t>Yes</t>
        </is>
      </c>
      <c r="N140" t="n">
        <v>4</v>
      </c>
      <c r="O140" t="n">
        <v>4</v>
      </c>
      <c r="P140" t="n">
        <v>4</v>
      </c>
      <c r="Q140" t="n">
        <v>3</v>
      </c>
      <c r="R140" t="n">
        <v>2</v>
      </c>
      <c r="S140" t="n">
        <v>3</v>
      </c>
      <c r="T140" t="n">
        <v>2</v>
      </c>
      <c r="U140" t="n">
        <v>3</v>
      </c>
      <c r="V140" t="n">
        <v>2</v>
      </c>
      <c r="W140" t="n">
        <v>3</v>
      </c>
      <c r="X140" t="n">
        <v>2</v>
      </c>
      <c r="Y140" t="n">
        <v>2</v>
      </c>
      <c r="Z140" t="n">
        <v>3</v>
      </c>
      <c r="AA140" t="n">
        <v>1</v>
      </c>
      <c r="AB140" t="n">
        <v>2</v>
      </c>
      <c r="AC140" t="n">
        <v>2</v>
      </c>
      <c r="AD140" t="n">
        <v>3</v>
      </c>
      <c r="AE140" t="n">
        <v>2</v>
      </c>
      <c r="AF140" t="n">
        <v>2</v>
      </c>
      <c r="AG140" t="n">
        <v>2</v>
      </c>
      <c r="AH140" t="n">
        <v>2</v>
      </c>
      <c r="AI140" t="n">
        <v>3</v>
      </c>
      <c r="AJ140" t="n">
        <v>1</v>
      </c>
      <c r="AK140" t="n">
        <v>2</v>
      </c>
      <c r="AL140" t="n">
        <v>2</v>
      </c>
      <c r="AM140" t="n">
        <v>2</v>
      </c>
      <c r="AN140" t="n">
        <v>2</v>
      </c>
      <c r="AO140" t="n">
        <v>2</v>
      </c>
      <c r="AP140" t="n">
        <v>2</v>
      </c>
      <c r="AQ140" t="n">
        <v>2</v>
      </c>
      <c r="AR140" t="n">
        <v>4</v>
      </c>
      <c r="AS140" t="n">
        <v>2</v>
      </c>
      <c r="AT140" t="n">
        <v>2</v>
      </c>
      <c r="AU140" t="n">
        <v>1</v>
      </c>
      <c r="AV140" t="n">
        <v>2</v>
      </c>
      <c r="AW140" t="n">
        <v>2</v>
      </c>
      <c r="AX140" t="n">
        <v>1</v>
      </c>
      <c r="AY140" t="n">
        <v>2</v>
      </c>
      <c r="AZ140" t="n">
        <v>2</v>
      </c>
      <c r="BA140" t="n">
        <v>2</v>
      </c>
      <c r="BB140" t="n">
        <v>2</v>
      </c>
      <c r="BC140" t="n">
        <v>2</v>
      </c>
      <c r="BD140" t="n">
        <v>1</v>
      </c>
      <c r="BE140" t="n">
        <v>4</v>
      </c>
      <c r="BF140" t="n">
        <v>4</v>
      </c>
      <c r="BG140" t="n">
        <v>3</v>
      </c>
      <c r="BH140" t="n">
        <v>3</v>
      </c>
      <c r="BI140" t="n">
        <v>4</v>
      </c>
      <c r="BJ140" t="n">
        <v>3</v>
      </c>
      <c r="BK140" t="n">
        <v>2</v>
      </c>
      <c r="BL140" t="n">
        <v>2</v>
      </c>
      <c r="BM140" t="n">
        <v>2</v>
      </c>
      <c r="BN140" t="n">
        <v>2</v>
      </c>
      <c r="BO140" t="n">
        <v>3</v>
      </c>
      <c r="BP140" t="n">
        <v>3</v>
      </c>
      <c r="BQ140" t="n">
        <v>3</v>
      </c>
      <c r="BR140" t="n">
        <v>3</v>
      </c>
      <c r="BS140" s="56">
        <f>IF(COUNT(N140:W140)&gt;=8,AVERAGE(N140:W140),"")</f>
        <v/>
      </c>
      <c r="BT140" s="56">
        <f>IF(COUNT(X140:AE140)&gt;=7,AVERAGE(X140:AE140),"")</f>
        <v/>
      </c>
      <c r="BU140" s="56">
        <f>IF(COUNT(AF140:AM140)&gt;=7,AVERAGE(AF140:AM140),"")</f>
        <v/>
      </c>
      <c r="BV140" s="56">
        <f>IF(COUNT(AN140:AV140)&gt;=8,AVERAGE(AN140:AV140),"")</f>
        <v/>
      </c>
      <c r="BW140" s="56">
        <f>IF(COUNT(AW140:BD140)&gt;=7,AVERAGE(AW140:BD140),"")</f>
        <v/>
      </c>
      <c r="BX140" s="56">
        <f>IF(COUNT(BE140:BJ140)&gt;=5,AVERAGE(BE140:BJ140),"")</f>
        <v/>
      </c>
      <c r="BY140" s="56">
        <f>IF(COUNT(BK140:BR140)&gt;=7,AVERAGE(BK140:BR140),"")</f>
        <v/>
      </c>
    </row>
    <row r="141">
      <c r="A141" t="inlineStr">
        <is>
          <t>R110</t>
        </is>
      </c>
      <c r="B141" t="inlineStr">
        <is>
          <t>Yes</t>
        </is>
      </c>
      <c r="C141" t="inlineStr">
        <is>
          <t>Yes</t>
        </is>
      </c>
      <c r="D141" t="inlineStr">
        <is>
          <t>Male</t>
        </is>
      </c>
      <c r="E141" t="inlineStr">
        <is>
          <t>18-24</t>
        </is>
      </c>
      <c r="F141" t="inlineStr">
        <is>
          <t>Master's</t>
        </is>
      </c>
      <c r="G141" t="inlineStr">
        <is>
          <t>Fintech/payment provider</t>
        </is>
      </c>
      <c r="H141" t="inlineStr">
        <is>
          <t>Relationship/Marketing</t>
        </is>
      </c>
      <c r="I141" t="inlineStr">
        <is>
          <t>6-10</t>
        </is>
      </c>
      <c r="J141" t="inlineStr">
        <is>
          <t>Yes</t>
        </is>
      </c>
      <c r="K141" t="n">
        <v>0</v>
      </c>
      <c r="L141" t="inlineStr">
        <is>
          <t>Do not know</t>
        </is>
      </c>
      <c r="M141" t="inlineStr">
        <is>
          <t>Yes</t>
        </is>
      </c>
      <c r="N141" t="n">
        <v>5</v>
      </c>
      <c r="O141" t="n">
        <v>3</v>
      </c>
      <c r="P141" t="n">
        <v>4</v>
      </c>
      <c r="Q141" t="n">
        <v>3</v>
      </c>
      <c r="R141" t="n">
        <v>3</v>
      </c>
      <c r="S141" t="n">
        <v>5</v>
      </c>
      <c r="T141" t="n">
        <v>4</v>
      </c>
      <c r="U141" t="n">
        <v>5</v>
      </c>
      <c r="V141" t="n">
        <v>5</v>
      </c>
      <c r="W141" t="n">
        <v>5</v>
      </c>
      <c r="X141" t="n">
        <v>3</v>
      </c>
      <c r="Y141" t="n">
        <v>4</v>
      </c>
      <c r="Z141" t="n">
        <v>4</v>
      </c>
      <c r="AA141" t="n">
        <v>3</v>
      </c>
      <c r="AB141" t="n">
        <v>3</v>
      </c>
      <c r="AC141" t="n">
        <v>2</v>
      </c>
      <c r="AD141" t="n">
        <v>4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4</v>
      </c>
      <c r="AK141" t="n">
        <v>5</v>
      </c>
      <c r="AL141" t="n">
        <v>2</v>
      </c>
      <c r="AM141" t="n">
        <v>3</v>
      </c>
      <c r="AN141" t="n">
        <v>3</v>
      </c>
      <c r="AO141" t="n">
        <v>2</v>
      </c>
      <c r="AP141" t="n">
        <v>4</v>
      </c>
      <c r="AQ141" t="n">
        <v>2</v>
      </c>
      <c r="AR141" t="n">
        <v>4</v>
      </c>
      <c r="AS141" t="n">
        <v>3</v>
      </c>
      <c r="AT141" t="n">
        <v>2</v>
      </c>
      <c r="AU141" t="n">
        <v>3</v>
      </c>
      <c r="AV141" t="n">
        <v>3</v>
      </c>
      <c r="AW141" t="n">
        <v>4</v>
      </c>
      <c r="AX141" t="n">
        <v>3</v>
      </c>
      <c r="AY141" t="n">
        <v>3</v>
      </c>
      <c r="AZ141" t="n">
        <v>3</v>
      </c>
      <c r="BA141" t="n">
        <v>4</v>
      </c>
      <c r="BB141" t="n">
        <v>3</v>
      </c>
      <c r="BC141" t="n">
        <v>3</v>
      </c>
      <c r="BD141" t="n">
        <v>3</v>
      </c>
      <c r="BE141" t="n">
        <v>3</v>
      </c>
      <c r="BF141" t="n">
        <v>3</v>
      </c>
      <c r="BG141" t="n">
        <v>2</v>
      </c>
      <c r="BH141" t="n">
        <v>3</v>
      </c>
      <c r="BI141" t="n">
        <v>2</v>
      </c>
      <c r="BJ141" t="n">
        <v>2</v>
      </c>
      <c r="BK141" t="n">
        <v>5</v>
      </c>
      <c r="BL141" t="n">
        <v>3</v>
      </c>
      <c r="BM141" t="n">
        <v>5</v>
      </c>
      <c r="BN141" t="n">
        <v>5</v>
      </c>
      <c r="BO141" t="n">
        <v>4</v>
      </c>
      <c r="BP141" t="n">
        <v>4</v>
      </c>
      <c r="BQ141" t="n">
        <v>5</v>
      </c>
      <c r="BR141" t="n">
        <v>5</v>
      </c>
      <c r="BS141" s="56">
        <f>IF(COUNT(N141:W141)&gt;=8,AVERAGE(N141:W141),"")</f>
        <v/>
      </c>
      <c r="BT141" s="56">
        <f>IF(COUNT(X141:AE141)&gt;=7,AVERAGE(X141:AE141),"")</f>
        <v/>
      </c>
      <c r="BU141" s="56">
        <f>IF(COUNT(AF141:AM141)&gt;=7,AVERAGE(AF141:AM141),"")</f>
        <v/>
      </c>
      <c r="BV141" s="56">
        <f>IF(COUNT(AN141:AV141)&gt;=8,AVERAGE(AN141:AV141),"")</f>
        <v/>
      </c>
      <c r="BW141" s="56">
        <f>IF(COUNT(AW141:BD141)&gt;=7,AVERAGE(AW141:BD141),"")</f>
        <v/>
      </c>
      <c r="BX141" s="56">
        <f>IF(COUNT(BE141:BJ141)&gt;=5,AVERAGE(BE141:BJ141),"")</f>
        <v/>
      </c>
      <c r="BY141" s="56">
        <f>IF(COUNT(BK141:BR141)&gt;=7,AVERAGE(BK141:BR141),"")</f>
        <v/>
      </c>
    </row>
    <row r="142">
      <c r="A142" t="inlineStr">
        <is>
          <t>R111</t>
        </is>
      </c>
      <c r="B142" t="inlineStr">
        <is>
          <t>Yes</t>
        </is>
      </c>
      <c r="C142" t="inlineStr">
        <is>
          <t>Yes</t>
        </is>
      </c>
      <c r="D142" t="inlineStr">
        <is>
          <t>Female</t>
        </is>
      </c>
      <c r="E142" t="inlineStr">
        <is>
          <t>25-34</t>
        </is>
      </c>
      <c r="F142" t="inlineStr">
        <is>
          <t>Master's</t>
        </is>
      </c>
      <c r="G142" t="inlineStr">
        <is>
          <t>Commercial bank</t>
        </is>
      </c>
      <c r="H142" t="inlineStr">
        <is>
          <t>Data/Analytics/AI</t>
        </is>
      </c>
      <c r="I142" t="inlineStr">
        <is>
          <t>2-5</t>
        </is>
      </c>
      <c r="J142" t="inlineStr">
        <is>
          <t>Yes</t>
        </is>
      </c>
      <c r="K142" t="n">
        <v>4</v>
      </c>
      <c r="L142" t="inlineStr">
        <is>
          <t>No</t>
        </is>
      </c>
      <c r="M142" t="inlineStr">
        <is>
          <t>Yes</t>
        </is>
      </c>
      <c r="N142" t="n">
        <v>3</v>
      </c>
      <c r="O142" t="n">
        <v>3</v>
      </c>
      <c r="P142" t="n">
        <v>2</v>
      </c>
      <c r="Q142" t="n">
        <v>3</v>
      </c>
      <c r="R142" t="n">
        <v>3</v>
      </c>
      <c r="S142" t="n">
        <v>3</v>
      </c>
      <c r="T142" t="n">
        <v>4</v>
      </c>
      <c r="U142" t="n">
        <v>3</v>
      </c>
      <c r="V142" t="n">
        <v>4</v>
      </c>
      <c r="W142" t="n">
        <v>4</v>
      </c>
      <c r="X142" t="n">
        <v>3</v>
      </c>
      <c r="Y142" t="n">
        <v>3</v>
      </c>
      <c r="Z142" t="n">
        <v>4</v>
      </c>
      <c r="AA142" t="n">
        <v>3</v>
      </c>
      <c r="AB142" t="n">
        <v>3</v>
      </c>
      <c r="AD142" t="n">
        <v>4</v>
      </c>
      <c r="AE142" t="n">
        <v>3</v>
      </c>
      <c r="AF142" t="n">
        <v>2</v>
      </c>
      <c r="AH142" t="n">
        <v>3</v>
      </c>
      <c r="AI142" t="n">
        <v>4</v>
      </c>
      <c r="AJ142" t="n">
        <v>3</v>
      </c>
      <c r="AK142" t="n">
        <v>3</v>
      </c>
      <c r="AL142" t="n">
        <v>2</v>
      </c>
      <c r="AM142" t="n">
        <v>3</v>
      </c>
      <c r="AN142" t="n">
        <v>4</v>
      </c>
      <c r="AO142" t="n">
        <v>3</v>
      </c>
      <c r="AP142" t="n">
        <v>3</v>
      </c>
      <c r="AQ142" t="n">
        <v>2</v>
      </c>
      <c r="AR142" t="n">
        <v>4</v>
      </c>
      <c r="AS142" t="n">
        <v>4</v>
      </c>
      <c r="AT142" t="n">
        <v>3</v>
      </c>
      <c r="AU142" t="n">
        <v>3</v>
      </c>
      <c r="AV142" t="n">
        <v>2</v>
      </c>
      <c r="AW142" t="n">
        <v>4</v>
      </c>
      <c r="AX142" t="n">
        <v>3</v>
      </c>
      <c r="AY142" t="n">
        <v>3</v>
      </c>
      <c r="AZ142" t="n">
        <v>2</v>
      </c>
      <c r="BA142" t="n">
        <v>3</v>
      </c>
      <c r="BB142" t="n">
        <v>3</v>
      </c>
      <c r="BC142" t="n">
        <v>3</v>
      </c>
      <c r="BD142" t="n">
        <v>2</v>
      </c>
      <c r="BE142" t="n">
        <v>4</v>
      </c>
      <c r="BF142" t="n">
        <v>3</v>
      </c>
      <c r="BG142" t="n">
        <v>2</v>
      </c>
      <c r="BH142" t="n">
        <v>3</v>
      </c>
      <c r="BI142" t="n">
        <v>3</v>
      </c>
      <c r="BJ142" t="n">
        <v>3</v>
      </c>
      <c r="BK142" t="n">
        <v>3</v>
      </c>
      <c r="BL142" t="n">
        <v>3</v>
      </c>
      <c r="BM142" t="n">
        <v>3</v>
      </c>
      <c r="BN142" t="n">
        <v>3</v>
      </c>
      <c r="BO142" t="n">
        <v>2</v>
      </c>
      <c r="BP142" t="n">
        <v>3</v>
      </c>
      <c r="BQ142" t="n">
        <v>3</v>
      </c>
      <c r="BR142" t="n">
        <v>4</v>
      </c>
      <c r="BS142" s="56">
        <f>IF(COUNT(N142:W142)&gt;=8,AVERAGE(N142:W142),"")</f>
        <v/>
      </c>
      <c r="BT142" s="56">
        <f>IF(COUNT(X142:AE142)&gt;=7,AVERAGE(X142:AE142),"")</f>
        <v/>
      </c>
      <c r="BU142" s="56">
        <f>IF(COUNT(AF142:AM142)&gt;=7,AVERAGE(AF142:AM142),"")</f>
        <v/>
      </c>
      <c r="BV142" s="56">
        <f>IF(COUNT(AN142:AV142)&gt;=8,AVERAGE(AN142:AV142),"")</f>
        <v/>
      </c>
      <c r="BW142" s="56">
        <f>IF(COUNT(AW142:BD142)&gt;=7,AVERAGE(AW142:BD142),"")</f>
        <v/>
      </c>
      <c r="BX142" s="56">
        <f>IF(COUNT(BE142:BJ142)&gt;=5,AVERAGE(BE142:BJ142),"")</f>
        <v/>
      </c>
      <c r="BY142" s="56">
        <f>IF(COUNT(BK142:BR142)&gt;=7,AVERAGE(BK142:BR142),"")</f>
        <v/>
      </c>
    </row>
    <row r="143">
      <c r="A143" t="inlineStr">
        <is>
          <t>R112</t>
        </is>
      </c>
      <c r="B143" t="inlineStr">
        <is>
          <t>Yes</t>
        </is>
      </c>
      <c r="C143" t="inlineStr">
        <is>
          <t>Yes</t>
        </is>
      </c>
      <c r="D143" t="inlineStr">
        <is>
          <t>Male</t>
        </is>
      </c>
      <c r="E143" t="inlineStr">
        <is>
          <t>45-54</t>
        </is>
      </c>
      <c r="F143" t="inlineStr">
        <is>
          <t>Bachelor/HND</t>
        </is>
      </c>
      <c r="G143" t="inlineStr">
        <is>
          <t>Fintech/payment provider</t>
        </is>
      </c>
      <c r="H143" t="inlineStr">
        <is>
          <t>Data/Analytics/AI</t>
        </is>
      </c>
      <c r="I143" t="inlineStr">
        <is>
          <t>6-10</t>
        </is>
      </c>
      <c r="J143" t="inlineStr">
        <is>
          <t>Yes</t>
        </is>
      </c>
      <c r="K143" t="n">
        <v>1</v>
      </c>
      <c r="L143" t="inlineStr">
        <is>
          <t>No</t>
        </is>
      </c>
      <c r="M143" t="inlineStr">
        <is>
          <t>Yes</t>
        </is>
      </c>
      <c r="N143" t="n">
        <v>4</v>
      </c>
      <c r="O143" t="n">
        <v>2</v>
      </c>
      <c r="P143" t="n">
        <v>4</v>
      </c>
      <c r="Q143" t="n">
        <v>3</v>
      </c>
      <c r="R143" t="n">
        <v>4</v>
      </c>
      <c r="S143" t="n">
        <v>4</v>
      </c>
      <c r="T143" t="n">
        <v>3</v>
      </c>
      <c r="U143" t="n">
        <v>3</v>
      </c>
      <c r="V143" t="n">
        <v>5</v>
      </c>
      <c r="W143" t="n">
        <v>3</v>
      </c>
      <c r="X143" t="n">
        <v>3</v>
      </c>
      <c r="Y143" t="n">
        <v>2</v>
      </c>
      <c r="Z143" t="n">
        <v>1</v>
      </c>
      <c r="AA143" t="n">
        <v>2</v>
      </c>
      <c r="AB143" t="n">
        <v>2</v>
      </c>
      <c r="AC143" t="n">
        <v>1</v>
      </c>
      <c r="AD143" t="n">
        <v>2</v>
      </c>
      <c r="AE143" t="n">
        <v>2</v>
      </c>
      <c r="AF143" t="n">
        <v>2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2</v>
      </c>
      <c r="AM143" t="n">
        <v>3</v>
      </c>
      <c r="AN143" t="n">
        <v>3</v>
      </c>
      <c r="AO143" t="n">
        <v>3</v>
      </c>
      <c r="AP143" t="n">
        <v>3</v>
      </c>
      <c r="AQ143" t="n">
        <v>3</v>
      </c>
      <c r="AR143" t="n">
        <v>3</v>
      </c>
      <c r="AS143" t="n">
        <v>3</v>
      </c>
      <c r="AT143" t="n">
        <v>3</v>
      </c>
      <c r="AU143" t="n">
        <v>2</v>
      </c>
      <c r="AV143" t="n">
        <v>3</v>
      </c>
      <c r="AW143" t="n">
        <v>2</v>
      </c>
      <c r="AX143" t="n">
        <v>2</v>
      </c>
      <c r="AY143" t="n">
        <v>1</v>
      </c>
      <c r="AZ143" t="n">
        <v>1</v>
      </c>
      <c r="BA143" t="n">
        <v>2</v>
      </c>
      <c r="BB143" t="n">
        <v>1</v>
      </c>
      <c r="BC143" t="n">
        <v>1</v>
      </c>
      <c r="BD143" t="n">
        <v>1</v>
      </c>
      <c r="BE143" t="n">
        <v>2</v>
      </c>
      <c r="BF143" t="n">
        <v>2</v>
      </c>
      <c r="BG143" t="n">
        <v>2</v>
      </c>
      <c r="BH143" t="n">
        <v>3</v>
      </c>
      <c r="BI143" t="n">
        <v>3</v>
      </c>
      <c r="BJ143" t="n">
        <v>2</v>
      </c>
      <c r="BK143" t="n">
        <v>2</v>
      </c>
      <c r="BL143" t="n">
        <v>2</v>
      </c>
      <c r="BM143" t="n">
        <v>5</v>
      </c>
      <c r="BN143" t="n">
        <v>3</v>
      </c>
      <c r="BO143" t="n">
        <v>3</v>
      </c>
      <c r="BP143" t="n">
        <v>3</v>
      </c>
      <c r="BQ143" t="n">
        <v>4</v>
      </c>
      <c r="BR143" t="n">
        <v>4</v>
      </c>
      <c r="BS143" s="56">
        <f>IF(COUNT(N143:W143)&gt;=8,AVERAGE(N143:W143),"")</f>
        <v/>
      </c>
      <c r="BT143" s="56">
        <f>IF(COUNT(X143:AE143)&gt;=7,AVERAGE(X143:AE143),"")</f>
        <v/>
      </c>
      <c r="BU143" s="56">
        <f>IF(COUNT(AF143:AM143)&gt;=7,AVERAGE(AF143:AM143),"")</f>
        <v/>
      </c>
      <c r="BV143" s="56">
        <f>IF(COUNT(AN143:AV143)&gt;=8,AVERAGE(AN143:AV143),"")</f>
        <v/>
      </c>
      <c r="BW143" s="56">
        <f>IF(COUNT(AW143:BD143)&gt;=7,AVERAGE(AW143:BD143),"")</f>
        <v/>
      </c>
      <c r="BX143" s="56">
        <f>IF(COUNT(BE143:BJ143)&gt;=5,AVERAGE(BE143:BJ143),"")</f>
        <v/>
      </c>
      <c r="BY143" s="56">
        <f>IF(COUNT(BK143:BR143)&gt;=7,AVERAGE(BK143:BR143),"")</f>
        <v/>
      </c>
    </row>
    <row r="144">
      <c r="A144" t="inlineStr">
        <is>
          <t>R113</t>
        </is>
      </c>
      <c r="B144" t="inlineStr">
        <is>
          <t>Yes</t>
        </is>
      </c>
      <c r="C144" t="inlineStr">
        <is>
          <t>Yes</t>
        </is>
      </c>
      <c r="D144" t="inlineStr">
        <is>
          <t>Female</t>
        </is>
      </c>
      <c r="E144" t="inlineStr">
        <is>
          <t>45-54</t>
        </is>
      </c>
      <c r="F144" t="inlineStr">
        <is>
          <t>Master's</t>
        </is>
      </c>
      <c r="G144" t="inlineStr">
        <is>
          <t>Microfinance bank</t>
        </is>
      </c>
      <c r="H144" t="inlineStr">
        <is>
          <t>Relationship/Marketing</t>
        </is>
      </c>
      <c r="I144" t="inlineStr">
        <is>
          <t>6-10</t>
        </is>
      </c>
      <c r="J144" t="inlineStr">
        <is>
          <t>Yes</t>
        </is>
      </c>
      <c r="K144" t="n">
        <v>3</v>
      </c>
      <c r="L144" t="inlineStr">
        <is>
          <t>Yes</t>
        </is>
      </c>
      <c r="M144" t="inlineStr">
        <is>
          <t>Yes</t>
        </is>
      </c>
      <c r="N144" t="n">
        <v>2</v>
      </c>
      <c r="O144" t="n">
        <v>1</v>
      </c>
      <c r="P144" t="n">
        <v>3</v>
      </c>
      <c r="Q144" t="n">
        <v>2</v>
      </c>
      <c r="R144" t="n">
        <v>3</v>
      </c>
      <c r="S144" t="n">
        <v>2</v>
      </c>
      <c r="T144" t="n">
        <v>2</v>
      </c>
      <c r="U144" t="n">
        <v>1</v>
      </c>
      <c r="V144" t="n">
        <v>3</v>
      </c>
      <c r="W144" t="n">
        <v>1</v>
      </c>
      <c r="X144" t="n">
        <v>4</v>
      </c>
      <c r="Y144" t="n">
        <v>5</v>
      </c>
      <c r="Z144" t="n">
        <v>4</v>
      </c>
      <c r="AA144" t="n">
        <v>4</v>
      </c>
      <c r="AB144" t="n">
        <v>4</v>
      </c>
      <c r="AC144" t="n">
        <v>4</v>
      </c>
      <c r="AD144" t="n">
        <v>4</v>
      </c>
      <c r="AE144" t="n">
        <v>4</v>
      </c>
      <c r="AF144" t="n">
        <v>4</v>
      </c>
      <c r="AG144" t="n">
        <v>4</v>
      </c>
      <c r="AH144" t="n">
        <v>3</v>
      </c>
      <c r="AI144" t="n">
        <v>4</v>
      </c>
      <c r="AJ144" t="n">
        <v>3</v>
      </c>
      <c r="AK144" t="n">
        <v>3</v>
      </c>
      <c r="AL144" t="n">
        <v>4</v>
      </c>
      <c r="AM144" t="n">
        <v>3</v>
      </c>
      <c r="AN144" t="n">
        <v>4</v>
      </c>
      <c r="AO144" t="n">
        <v>3</v>
      </c>
      <c r="AP144" t="n">
        <v>3</v>
      </c>
      <c r="AQ144" t="n">
        <v>3</v>
      </c>
      <c r="AR144" t="n">
        <v>2</v>
      </c>
      <c r="AS144" t="n">
        <v>3</v>
      </c>
      <c r="AT144" t="n">
        <v>3</v>
      </c>
      <c r="AU144" t="n">
        <v>3</v>
      </c>
      <c r="AV144" t="n">
        <v>3</v>
      </c>
      <c r="AW144" t="n">
        <v>4</v>
      </c>
      <c r="AX144" t="n">
        <v>3</v>
      </c>
      <c r="AY144" t="n">
        <v>3</v>
      </c>
      <c r="AZ144" t="n">
        <v>3</v>
      </c>
      <c r="BA144" t="n">
        <v>4</v>
      </c>
      <c r="BB144" t="n">
        <v>2</v>
      </c>
      <c r="BC144" t="n">
        <v>3</v>
      </c>
      <c r="BD144" t="n">
        <v>4</v>
      </c>
      <c r="BE144" t="n">
        <v>2</v>
      </c>
      <c r="BF144" t="n">
        <v>4</v>
      </c>
      <c r="BG144" t="n">
        <v>2</v>
      </c>
      <c r="BH144" t="n">
        <v>3</v>
      </c>
      <c r="BI144" t="n">
        <v>3</v>
      </c>
      <c r="BJ144" t="n">
        <v>2</v>
      </c>
      <c r="BK144" t="n">
        <v>3</v>
      </c>
      <c r="BL144" t="n">
        <v>3</v>
      </c>
      <c r="BN144" t="n">
        <v>3</v>
      </c>
      <c r="BP144" t="n">
        <v>3</v>
      </c>
      <c r="BQ144" t="n">
        <v>2</v>
      </c>
      <c r="BR144" t="n">
        <v>2</v>
      </c>
      <c r="BS144" s="56">
        <f>IF(COUNT(N144:W144)&gt;=8,AVERAGE(N144:W144),"")</f>
        <v/>
      </c>
      <c r="BT144" s="56">
        <f>IF(COUNT(X144:AE144)&gt;=7,AVERAGE(X144:AE144),"")</f>
        <v/>
      </c>
      <c r="BU144" s="56">
        <f>IF(COUNT(AF144:AM144)&gt;=7,AVERAGE(AF144:AM144),"")</f>
        <v/>
      </c>
      <c r="BV144" s="56">
        <f>IF(COUNT(AN144:AV144)&gt;=8,AVERAGE(AN144:AV144),"")</f>
        <v/>
      </c>
      <c r="BW144" s="56">
        <f>IF(COUNT(AW144:BD144)&gt;=7,AVERAGE(AW144:BD144),"")</f>
        <v/>
      </c>
      <c r="BX144" s="56">
        <f>IF(COUNT(BE144:BJ144)&gt;=5,AVERAGE(BE144:BJ144),"")</f>
        <v/>
      </c>
      <c r="BY144" s="56">
        <f>IF(COUNT(BK144:BR144)&gt;=7,AVERAGE(BK144:BR144),"")</f>
        <v/>
      </c>
    </row>
    <row r="145">
      <c r="A145" t="inlineStr">
        <is>
          <t>R114</t>
        </is>
      </c>
      <c r="B145" t="inlineStr">
        <is>
          <t>Yes</t>
        </is>
      </c>
      <c r="C145" t="inlineStr">
        <is>
          <t>Yes</t>
        </is>
      </c>
      <c r="D145" t="inlineStr">
        <is>
          <t>Female</t>
        </is>
      </c>
      <c r="E145" t="inlineStr">
        <is>
          <t>35-44</t>
        </is>
      </c>
      <c r="F145" t="inlineStr">
        <is>
          <t>Diploma/OND/NCE</t>
        </is>
      </c>
      <c r="G145" t="inlineStr">
        <is>
          <t>Microfinance bank</t>
        </is>
      </c>
      <c r="H145" t="inlineStr">
        <is>
          <t>IT/Technology</t>
        </is>
      </c>
      <c r="I145" t="inlineStr">
        <is>
          <t>6-10</t>
        </is>
      </c>
      <c r="J145" t="inlineStr">
        <is>
          <t>Yes</t>
        </is>
      </c>
      <c r="K145" t="n">
        <v>1</v>
      </c>
      <c r="L145" t="inlineStr">
        <is>
          <t>Yes</t>
        </is>
      </c>
      <c r="M145" t="inlineStr">
        <is>
          <t>Yes</t>
        </is>
      </c>
      <c r="N145" t="n">
        <v>3</v>
      </c>
      <c r="O145" t="n">
        <v>2</v>
      </c>
      <c r="P145" t="n">
        <v>4</v>
      </c>
      <c r="Q145" t="n">
        <v>2</v>
      </c>
      <c r="R145" t="n">
        <v>3</v>
      </c>
      <c r="S145" t="n">
        <v>3</v>
      </c>
      <c r="T145" t="n">
        <v>3</v>
      </c>
      <c r="U145" t="n">
        <v>3</v>
      </c>
      <c r="V145" t="n">
        <v>4</v>
      </c>
      <c r="W145" t="n">
        <v>3</v>
      </c>
      <c r="X145" t="n">
        <v>2</v>
      </c>
      <c r="Y145" t="n">
        <v>3</v>
      </c>
      <c r="Z145" t="n">
        <v>3</v>
      </c>
      <c r="AA145" t="n">
        <v>2</v>
      </c>
      <c r="AB145" t="n">
        <v>2</v>
      </c>
      <c r="AC145" t="n">
        <v>2</v>
      </c>
      <c r="AD145" t="n">
        <v>1</v>
      </c>
      <c r="AE145" t="n">
        <v>3</v>
      </c>
      <c r="AF145" t="n">
        <v>3</v>
      </c>
      <c r="AG145" t="n">
        <v>2</v>
      </c>
      <c r="AH145" t="n">
        <v>3</v>
      </c>
      <c r="AI145" t="n">
        <v>2</v>
      </c>
      <c r="AJ145" t="n">
        <v>3</v>
      </c>
      <c r="AK145" t="n">
        <v>3</v>
      </c>
      <c r="AL145" t="n">
        <v>3</v>
      </c>
      <c r="AM145" t="n">
        <v>3</v>
      </c>
      <c r="AN145" t="n">
        <v>5</v>
      </c>
      <c r="AO145" t="n">
        <v>3</v>
      </c>
      <c r="AP145" t="n">
        <v>4</v>
      </c>
      <c r="AQ145" t="n">
        <v>3</v>
      </c>
      <c r="AR145" t="n">
        <v>4</v>
      </c>
      <c r="AS145" t="n">
        <v>5</v>
      </c>
      <c r="AT145" t="n">
        <v>4</v>
      </c>
      <c r="AU145" t="n">
        <v>4</v>
      </c>
      <c r="AV145" t="n">
        <v>4</v>
      </c>
      <c r="AW145" t="n">
        <v>1</v>
      </c>
      <c r="AX145" t="n">
        <v>3</v>
      </c>
      <c r="AY145" t="n">
        <v>2</v>
      </c>
      <c r="AZ145" t="n">
        <v>1</v>
      </c>
      <c r="BA145" t="n">
        <v>3</v>
      </c>
      <c r="BB145" t="n">
        <v>2</v>
      </c>
      <c r="BC145" t="n">
        <v>2</v>
      </c>
      <c r="BD145" t="n">
        <v>2</v>
      </c>
      <c r="BE145" t="n">
        <v>2</v>
      </c>
      <c r="BF145" t="n">
        <v>3</v>
      </c>
      <c r="BG145" t="n">
        <v>3</v>
      </c>
      <c r="BH145" t="n">
        <v>2</v>
      </c>
      <c r="BI145" t="n">
        <v>2</v>
      </c>
      <c r="BJ145" t="n">
        <v>3</v>
      </c>
      <c r="BK145" t="n">
        <v>3</v>
      </c>
      <c r="BL145" t="n">
        <v>3</v>
      </c>
      <c r="BM145" t="n">
        <v>4</v>
      </c>
      <c r="BN145" t="n">
        <v>2</v>
      </c>
      <c r="BO145" t="n">
        <v>4</v>
      </c>
      <c r="BP145" t="n">
        <v>3</v>
      </c>
      <c r="BQ145" t="n">
        <v>3</v>
      </c>
      <c r="BR145" t="n">
        <v>3</v>
      </c>
      <c r="BS145" s="56">
        <f>IF(COUNT(N145:W145)&gt;=8,AVERAGE(N145:W145),"")</f>
        <v/>
      </c>
      <c r="BT145" s="56">
        <f>IF(COUNT(X145:AE145)&gt;=7,AVERAGE(X145:AE145),"")</f>
        <v/>
      </c>
      <c r="BU145" s="56">
        <f>IF(COUNT(AF145:AM145)&gt;=7,AVERAGE(AF145:AM145),"")</f>
        <v/>
      </c>
      <c r="BV145" s="56">
        <f>IF(COUNT(AN145:AV145)&gt;=8,AVERAGE(AN145:AV145),"")</f>
        <v/>
      </c>
      <c r="BW145" s="56">
        <f>IF(COUNT(AW145:BD145)&gt;=7,AVERAGE(AW145:BD145),"")</f>
        <v/>
      </c>
      <c r="BX145" s="56">
        <f>IF(COUNT(BE145:BJ145)&gt;=5,AVERAGE(BE145:BJ145),"")</f>
        <v/>
      </c>
      <c r="BY145" s="56">
        <f>IF(COUNT(BK145:BR145)&gt;=7,AVERAGE(BK145:BR145),"")</f>
        <v/>
      </c>
    </row>
    <row r="146">
      <c r="A146" t="inlineStr">
        <is>
          <t>R115</t>
        </is>
      </c>
      <c r="B146" t="inlineStr">
        <is>
          <t>Yes</t>
        </is>
      </c>
      <c r="C146" t="inlineStr">
        <is>
          <t>Yes</t>
        </is>
      </c>
      <c r="D146" t="inlineStr">
        <is>
          <t>Female</t>
        </is>
      </c>
      <c r="E146" t="inlineStr">
        <is>
          <t>25-34</t>
        </is>
      </c>
      <c r="F146" t="inlineStr">
        <is>
          <t>Bachelor/HND</t>
        </is>
      </c>
      <c r="G146" t="inlineStr">
        <is>
          <t>Commercial bank</t>
        </is>
      </c>
      <c r="H146" t="inlineStr">
        <is>
          <t>Relationship/Marketing</t>
        </is>
      </c>
      <c r="I146" t="inlineStr">
        <is>
          <t>6-10</t>
        </is>
      </c>
      <c r="J146" t="inlineStr">
        <is>
          <t>Yes</t>
        </is>
      </c>
      <c r="K146" t="n">
        <v>2</v>
      </c>
      <c r="L146" t="inlineStr">
        <is>
          <t>Yes</t>
        </is>
      </c>
      <c r="M146" t="inlineStr">
        <is>
          <t>Yes</t>
        </is>
      </c>
      <c r="N146" t="n">
        <v>3</v>
      </c>
      <c r="O146" t="n">
        <v>3</v>
      </c>
      <c r="P146" t="n">
        <v>2</v>
      </c>
      <c r="Q146" t="n">
        <v>3</v>
      </c>
      <c r="S146" t="n">
        <v>3</v>
      </c>
      <c r="T146" t="n">
        <v>2</v>
      </c>
      <c r="U146" t="n">
        <v>3</v>
      </c>
      <c r="V146" t="n">
        <v>3</v>
      </c>
      <c r="W146" t="n">
        <v>3</v>
      </c>
      <c r="X146" t="n">
        <v>4</v>
      </c>
      <c r="Y146" t="n">
        <v>4</v>
      </c>
      <c r="Z146" t="n">
        <v>4</v>
      </c>
      <c r="AA146" t="n">
        <v>3</v>
      </c>
      <c r="AB146" t="n">
        <v>3</v>
      </c>
      <c r="AC146" t="n">
        <v>4</v>
      </c>
      <c r="AD146" t="n">
        <v>4</v>
      </c>
      <c r="AE146" t="n">
        <v>3</v>
      </c>
      <c r="AF146" t="n">
        <v>3</v>
      </c>
      <c r="AG146" t="n">
        <v>2</v>
      </c>
      <c r="AH146" t="n">
        <v>3</v>
      </c>
      <c r="AI146" t="n">
        <v>4</v>
      </c>
      <c r="AJ146" t="n">
        <v>4</v>
      </c>
      <c r="AK146" t="n">
        <v>4</v>
      </c>
      <c r="AL146" t="n">
        <v>4</v>
      </c>
      <c r="AM146" t="n">
        <v>2</v>
      </c>
      <c r="AN146" t="n">
        <v>5</v>
      </c>
      <c r="AO146" t="n">
        <v>4</v>
      </c>
      <c r="AP146" t="n">
        <v>4</v>
      </c>
      <c r="AQ146" t="n">
        <v>3</v>
      </c>
      <c r="AR146" t="n">
        <v>5</v>
      </c>
      <c r="AS146" t="n">
        <v>4</v>
      </c>
      <c r="AT146" t="n">
        <v>4</v>
      </c>
      <c r="AU146" t="n">
        <v>5</v>
      </c>
      <c r="AV146" t="n">
        <v>4</v>
      </c>
      <c r="AW146" t="n">
        <v>4</v>
      </c>
      <c r="AX146" t="n">
        <v>3</v>
      </c>
      <c r="AY146" t="n">
        <v>3</v>
      </c>
      <c r="AZ146" t="n">
        <v>2</v>
      </c>
      <c r="BA146" t="n">
        <v>3</v>
      </c>
      <c r="BC146" t="n">
        <v>3</v>
      </c>
      <c r="BD146" t="n">
        <v>3</v>
      </c>
      <c r="BE146" t="n">
        <v>4</v>
      </c>
      <c r="BF146" t="n">
        <v>3</v>
      </c>
      <c r="BG146" t="n">
        <v>3</v>
      </c>
      <c r="BH146" t="n">
        <v>4</v>
      </c>
      <c r="BI146" t="n">
        <v>4</v>
      </c>
      <c r="BJ146" t="n">
        <v>4</v>
      </c>
      <c r="BK146" t="n">
        <v>4</v>
      </c>
      <c r="BL146" t="n">
        <v>4</v>
      </c>
      <c r="BM146" t="n">
        <v>4</v>
      </c>
      <c r="BN146" t="n">
        <v>3</v>
      </c>
      <c r="BO146" t="n">
        <v>4</v>
      </c>
      <c r="BP146" t="n">
        <v>3</v>
      </c>
      <c r="BQ146" t="n">
        <v>5</v>
      </c>
      <c r="BR146" t="n">
        <v>3</v>
      </c>
      <c r="BS146" s="56">
        <f>IF(COUNT(N146:W146)&gt;=8,AVERAGE(N146:W146),"")</f>
        <v/>
      </c>
      <c r="BT146" s="56">
        <f>IF(COUNT(X146:AE146)&gt;=7,AVERAGE(X146:AE146),"")</f>
        <v/>
      </c>
      <c r="BU146" s="56">
        <f>IF(COUNT(AF146:AM146)&gt;=7,AVERAGE(AF146:AM146),"")</f>
        <v/>
      </c>
      <c r="BV146" s="56">
        <f>IF(COUNT(AN146:AV146)&gt;=8,AVERAGE(AN146:AV146),"")</f>
        <v/>
      </c>
      <c r="BW146" s="56">
        <f>IF(COUNT(AW146:BD146)&gt;=7,AVERAGE(AW146:BD146),"")</f>
        <v/>
      </c>
      <c r="BX146" s="56">
        <f>IF(COUNT(BE146:BJ146)&gt;=5,AVERAGE(BE146:BJ146),"")</f>
        <v/>
      </c>
      <c r="BY146" s="56">
        <f>IF(COUNT(BK146:BR146)&gt;=7,AVERAGE(BK146:BR146),"")</f>
        <v/>
      </c>
    </row>
    <row r="147">
      <c r="A147" t="inlineStr">
        <is>
          <t>R116</t>
        </is>
      </c>
      <c r="B147" t="inlineStr">
        <is>
          <t>Yes</t>
        </is>
      </c>
      <c r="C147" t="inlineStr">
        <is>
          <t>Yes</t>
        </is>
      </c>
      <c r="D147" t="inlineStr">
        <is>
          <t>Male</t>
        </is>
      </c>
      <c r="E147" t="inlineStr">
        <is>
          <t>35-44</t>
        </is>
      </c>
      <c r="F147" t="inlineStr">
        <is>
          <t>Bachelor/HND</t>
        </is>
      </c>
      <c r="G147" t="inlineStr">
        <is>
          <t>Commercial bank</t>
        </is>
      </c>
      <c r="H147" t="inlineStr">
        <is>
          <t>Relationship/Marketing</t>
        </is>
      </c>
      <c r="I147" t="inlineStr">
        <is>
          <t>11-15</t>
        </is>
      </c>
      <c r="J147" t="inlineStr">
        <is>
          <t>Yes</t>
        </is>
      </c>
      <c r="K147" t="n">
        <v>4</v>
      </c>
      <c r="L147" t="inlineStr">
        <is>
          <t>Yes</t>
        </is>
      </c>
      <c r="M147" t="inlineStr">
        <is>
          <t>Yes</t>
        </is>
      </c>
      <c r="N147" t="n">
        <v>3</v>
      </c>
      <c r="O147" t="n">
        <v>4</v>
      </c>
      <c r="P147" t="n">
        <v>4</v>
      </c>
      <c r="Q147" t="n">
        <v>3</v>
      </c>
      <c r="R147" t="n">
        <v>4</v>
      </c>
      <c r="S147" t="n">
        <v>4</v>
      </c>
      <c r="T147" t="n">
        <v>3</v>
      </c>
      <c r="U147" t="n">
        <v>3</v>
      </c>
      <c r="V147" t="n">
        <v>4</v>
      </c>
      <c r="W147" t="n">
        <v>5</v>
      </c>
      <c r="X147" t="n">
        <v>3</v>
      </c>
      <c r="Y147" t="n">
        <v>2</v>
      </c>
      <c r="Z147" t="n">
        <v>4</v>
      </c>
      <c r="AA147" t="n">
        <v>3</v>
      </c>
      <c r="AB147" t="n">
        <v>3</v>
      </c>
      <c r="AC147" t="n">
        <v>3</v>
      </c>
      <c r="AD147" t="n">
        <v>4</v>
      </c>
      <c r="AE147" t="n">
        <v>3</v>
      </c>
      <c r="AF147" t="n">
        <v>2</v>
      </c>
      <c r="AG147" t="n">
        <v>3</v>
      </c>
      <c r="AH147" t="n">
        <v>2</v>
      </c>
      <c r="AI147" t="n">
        <v>4</v>
      </c>
      <c r="AJ147" t="n">
        <v>2</v>
      </c>
      <c r="AK147" t="n">
        <v>3</v>
      </c>
      <c r="AL147" t="n">
        <v>3</v>
      </c>
      <c r="AM147" t="n">
        <v>3</v>
      </c>
      <c r="AN147" t="n">
        <v>4</v>
      </c>
      <c r="AO147" t="n">
        <v>3</v>
      </c>
      <c r="AP147" t="n">
        <v>4</v>
      </c>
      <c r="AQ147" t="n">
        <v>3</v>
      </c>
      <c r="AR147" t="n">
        <v>5</v>
      </c>
      <c r="AS147" t="n">
        <v>3</v>
      </c>
      <c r="AT147" t="n">
        <v>4</v>
      </c>
      <c r="AU147" t="n">
        <v>2</v>
      </c>
      <c r="AV147" t="n">
        <v>4</v>
      </c>
      <c r="AW147" t="n">
        <v>4</v>
      </c>
      <c r="AX147" t="n">
        <v>2</v>
      </c>
      <c r="AY147" t="n">
        <v>4</v>
      </c>
      <c r="AZ147" t="n">
        <v>3</v>
      </c>
      <c r="BA147" t="n">
        <v>3</v>
      </c>
      <c r="BB147" t="n">
        <v>3</v>
      </c>
      <c r="BC147" t="n">
        <v>3</v>
      </c>
      <c r="BD147" t="n">
        <v>2</v>
      </c>
      <c r="BE147" t="n">
        <v>2</v>
      </c>
      <c r="BF147" t="n">
        <v>3</v>
      </c>
      <c r="BG147" t="n">
        <v>1</v>
      </c>
      <c r="BH147" t="n">
        <v>5</v>
      </c>
      <c r="BI147" t="n">
        <v>3</v>
      </c>
      <c r="BJ147" t="n">
        <v>4</v>
      </c>
      <c r="BK147" t="n">
        <v>2</v>
      </c>
      <c r="BL147" t="n">
        <v>3</v>
      </c>
      <c r="BM147" t="n">
        <v>4</v>
      </c>
      <c r="BN147" t="n">
        <v>2</v>
      </c>
      <c r="BO147" t="n">
        <v>3</v>
      </c>
      <c r="BP147" t="n">
        <v>3</v>
      </c>
      <c r="BQ147" t="n">
        <v>4</v>
      </c>
      <c r="BR147" t="n">
        <v>2</v>
      </c>
      <c r="BS147" s="56">
        <f>IF(COUNT(N147:W147)&gt;=8,AVERAGE(N147:W147),"")</f>
        <v/>
      </c>
      <c r="BT147" s="56">
        <f>IF(COUNT(X147:AE147)&gt;=7,AVERAGE(X147:AE147),"")</f>
        <v/>
      </c>
      <c r="BU147" s="56">
        <f>IF(COUNT(AF147:AM147)&gt;=7,AVERAGE(AF147:AM147),"")</f>
        <v/>
      </c>
      <c r="BV147" s="56">
        <f>IF(COUNT(AN147:AV147)&gt;=8,AVERAGE(AN147:AV147),"")</f>
        <v/>
      </c>
      <c r="BW147" s="56">
        <f>IF(COUNT(AW147:BD147)&gt;=7,AVERAGE(AW147:BD147),"")</f>
        <v/>
      </c>
      <c r="BX147" s="56">
        <f>IF(COUNT(BE147:BJ147)&gt;=5,AVERAGE(BE147:BJ147),"")</f>
        <v/>
      </c>
      <c r="BY147" s="56">
        <f>IF(COUNT(BK147:BR147)&gt;=7,AVERAGE(BK147:BR147),"")</f>
        <v/>
      </c>
    </row>
    <row r="148">
      <c r="A148" t="inlineStr">
        <is>
          <t>R117</t>
        </is>
      </c>
      <c r="B148" t="inlineStr">
        <is>
          <t>Yes</t>
        </is>
      </c>
      <c r="C148" t="inlineStr">
        <is>
          <t>Yes</t>
        </is>
      </c>
      <c r="D148" t="inlineStr">
        <is>
          <t>Female</t>
        </is>
      </c>
      <c r="E148" t="inlineStr">
        <is>
          <t>35-44</t>
        </is>
      </c>
      <c r="F148" t="inlineStr">
        <is>
          <t>Diploma/OND/NCE</t>
        </is>
      </c>
      <c r="G148" t="inlineStr">
        <is>
          <t>Commercial bank</t>
        </is>
      </c>
      <c r="H148" t="inlineStr">
        <is>
          <t>Management/Strategy</t>
        </is>
      </c>
      <c r="I148" t="inlineStr">
        <is>
          <t>6-10</t>
        </is>
      </c>
      <c r="J148" t="inlineStr">
        <is>
          <t>Yes</t>
        </is>
      </c>
      <c r="K148" t="n">
        <v>0</v>
      </c>
      <c r="L148" t="inlineStr">
        <is>
          <t>Do not know</t>
        </is>
      </c>
      <c r="M148" t="inlineStr">
        <is>
          <t>Yes</t>
        </is>
      </c>
      <c r="N148" t="n">
        <v>4</v>
      </c>
      <c r="O148" t="n">
        <v>3</v>
      </c>
      <c r="P148" t="n">
        <v>4</v>
      </c>
      <c r="Q148" t="n">
        <v>2</v>
      </c>
      <c r="R148" t="n">
        <v>3</v>
      </c>
      <c r="S148" t="n">
        <v>4</v>
      </c>
      <c r="T148" t="n">
        <v>2</v>
      </c>
      <c r="U148" t="n">
        <v>2</v>
      </c>
      <c r="V148" t="n">
        <v>3</v>
      </c>
      <c r="W148" t="n">
        <v>4</v>
      </c>
      <c r="X148" t="n">
        <v>4</v>
      </c>
      <c r="Y148" t="n">
        <v>3</v>
      </c>
      <c r="Z148" t="n">
        <v>4</v>
      </c>
      <c r="AA148" t="n">
        <v>3</v>
      </c>
      <c r="AB148" t="n">
        <v>5</v>
      </c>
      <c r="AC148" t="n">
        <v>5</v>
      </c>
      <c r="AD148" t="n">
        <v>5</v>
      </c>
      <c r="AE148" t="n">
        <v>3</v>
      </c>
      <c r="AF148" t="n">
        <v>4</v>
      </c>
      <c r="AG148" t="n">
        <v>4</v>
      </c>
      <c r="AH148" t="n">
        <v>3</v>
      </c>
      <c r="AI148" t="n">
        <v>4</v>
      </c>
      <c r="AJ148" t="n">
        <v>4</v>
      </c>
      <c r="AK148" t="n">
        <v>3</v>
      </c>
      <c r="AL148" t="n">
        <v>4</v>
      </c>
      <c r="AM148" t="n">
        <v>4</v>
      </c>
      <c r="AN148" t="n">
        <v>4</v>
      </c>
      <c r="AO148" t="n">
        <v>2</v>
      </c>
      <c r="AP148" t="n">
        <v>4</v>
      </c>
      <c r="AQ148" t="n">
        <v>3</v>
      </c>
      <c r="AR148" t="n">
        <v>3</v>
      </c>
      <c r="AS148" t="n">
        <v>3</v>
      </c>
      <c r="AT148" t="n">
        <v>4</v>
      </c>
      <c r="AU148" t="n">
        <v>3</v>
      </c>
      <c r="AV148" t="n">
        <v>4</v>
      </c>
      <c r="AW148" t="n">
        <v>4</v>
      </c>
      <c r="AX148" t="n">
        <v>2</v>
      </c>
      <c r="AY148" t="n">
        <v>4</v>
      </c>
      <c r="AZ148" t="n">
        <v>4</v>
      </c>
      <c r="BA148" t="n">
        <v>3</v>
      </c>
      <c r="BB148" t="n">
        <v>3</v>
      </c>
      <c r="BC148" t="n">
        <v>3</v>
      </c>
      <c r="BD148" t="n">
        <v>3</v>
      </c>
      <c r="BE148" t="n">
        <v>3</v>
      </c>
      <c r="BF148" t="n">
        <v>4</v>
      </c>
      <c r="BG148" t="n">
        <v>3</v>
      </c>
      <c r="BH148" t="n">
        <v>3</v>
      </c>
      <c r="BI148" t="n">
        <v>2</v>
      </c>
      <c r="BJ148" t="n">
        <v>3</v>
      </c>
      <c r="BK148" t="n">
        <v>3</v>
      </c>
      <c r="BL148" t="n">
        <v>2</v>
      </c>
      <c r="BM148" t="n">
        <v>3</v>
      </c>
      <c r="BN148" t="n">
        <v>2</v>
      </c>
      <c r="BO148" t="n">
        <v>2</v>
      </c>
      <c r="BP148" t="n">
        <v>1</v>
      </c>
      <c r="BQ148" t="n">
        <v>4</v>
      </c>
      <c r="BR148" t="n">
        <v>3</v>
      </c>
      <c r="BS148" s="56">
        <f>IF(COUNT(N148:W148)&gt;=8,AVERAGE(N148:W148),"")</f>
        <v/>
      </c>
      <c r="BT148" s="56">
        <f>IF(COUNT(X148:AE148)&gt;=7,AVERAGE(X148:AE148),"")</f>
        <v/>
      </c>
      <c r="BU148" s="56">
        <f>IF(COUNT(AF148:AM148)&gt;=7,AVERAGE(AF148:AM148),"")</f>
        <v/>
      </c>
      <c r="BV148" s="56">
        <f>IF(COUNT(AN148:AV148)&gt;=8,AVERAGE(AN148:AV148),"")</f>
        <v/>
      </c>
      <c r="BW148" s="56">
        <f>IF(COUNT(AW148:BD148)&gt;=7,AVERAGE(AW148:BD148),"")</f>
        <v/>
      </c>
      <c r="BX148" s="56">
        <f>IF(COUNT(BE148:BJ148)&gt;=5,AVERAGE(BE148:BJ148),"")</f>
        <v/>
      </c>
      <c r="BY148" s="56">
        <f>IF(COUNT(BK148:BR148)&gt;=7,AVERAGE(BK148:BR148),"")</f>
        <v/>
      </c>
    </row>
    <row r="149">
      <c r="A149" t="inlineStr">
        <is>
          <t>R118</t>
        </is>
      </c>
      <c r="B149" t="inlineStr">
        <is>
          <t>Yes</t>
        </is>
      </c>
      <c r="C149" t="inlineStr">
        <is>
          <t>Yes</t>
        </is>
      </c>
      <c r="D149" t="inlineStr">
        <is>
          <t>Male</t>
        </is>
      </c>
      <c r="E149" t="inlineStr">
        <is>
          <t>25-34</t>
        </is>
      </c>
      <c r="F149" t="inlineStr">
        <is>
          <t>Doctorate</t>
        </is>
      </c>
      <c r="G149" t="inlineStr">
        <is>
          <t>Commercial bank</t>
        </is>
      </c>
      <c r="H149" t="inlineStr">
        <is>
          <t>IT/Technology</t>
        </is>
      </c>
      <c r="I149" t="inlineStr">
        <is>
          <t>2-5</t>
        </is>
      </c>
      <c r="J149" t="inlineStr">
        <is>
          <t>Yes</t>
        </is>
      </c>
      <c r="K149" t="n">
        <v>3</v>
      </c>
      <c r="L149" t="inlineStr">
        <is>
          <t>Yes</t>
        </is>
      </c>
      <c r="M149" t="inlineStr">
        <is>
          <t>Yes</t>
        </is>
      </c>
      <c r="N149" t="n">
        <v>4</v>
      </c>
      <c r="O149" t="n">
        <v>4</v>
      </c>
      <c r="P149" t="n">
        <v>5</v>
      </c>
      <c r="Q149" t="n">
        <v>2</v>
      </c>
      <c r="R149" t="n">
        <v>5</v>
      </c>
      <c r="S149" t="n">
        <v>4</v>
      </c>
      <c r="T149" t="n">
        <v>4</v>
      </c>
      <c r="U149" t="n">
        <v>4</v>
      </c>
      <c r="V149" t="n">
        <v>5</v>
      </c>
      <c r="W149" t="n">
        <v>4</v>
      </c>
      <c r="X149" t="n">
        <v>5</v>
      </c>
      <c r="Y149" t="n">
        <v>4</v>
      </c>
      <c r="Z149" t="n">
        <v>5</v>
      </c>
      <c r="AA149" t="n">
        <v>3</v>
      </c>
      <c r="AB149" t="n">
        <v>4</v>
      </c>
      <c r="AC149" t="n">
        <v>4</v>
      </c>
      <c r="AD149" t="n">
        <v>5</v>
      </c>
      <c r="AE149" t="n">
        <v>4</v>
      </c>
      <c r="AF149" t="n">
        <v>4</v>
      </c>
      <c r="AG149" t="n">
        <v>5</v>
      </c>
      <c r="AH149" t="n">
        <v>4</v>
      </c>
      <c r="AI149" t="n">
        <v>5</v>
      </c>
      <c r="AJ149" t="n">
        <v>5</v>
      </c>
      <c r="AK149" t="n">
        <v>4</v>
      </c>
      <c r="AL149" t="n">
        <v>4</v>
      </c>
      <c r="AM149" t="n">
        <v>5</v>
      </c>
      <c r="AN149" t="n">
        <v>2</v>
      </c>
      <c r="AO149" t="n">
        <v>4</v>
      </c>
      <c r="AP149" t="n">
        <v>3</v>
      </c>
      <c r="AQ149" t="n">
        <v>3</v>
      </c>
      <c r="AR149" t="n">
        <v>3</v>
      </c>
      <c r="AS149" t="n">
        <v>1</v>
      </c>
      <c r="AT149" t="n">
        <v>3</v>
      </c>
      <c r="AU149" t="n">
        <v>2</v>
      </c>
      <c r="AV149" t="n">
        <v>2</v>
      </c>
      <c r="AW149" t="n">
        <v>5</v>
      </c>
      <c r="AX149" t="n">
        <v>5</v>
      </c>
      <c r="AY149" t="n">
        <v>5</v>
      </c>
      <c r="AZ149" t="n">
        <v>5</v>
      </c>
      <c r="BA149" t="n">
        <v>5</v>
      </c>
      <c r="BB149" t="n">
        <v>5</v>
      </c>
      <c r="BC149" t="n">
        <v>5</v>
      </c>
      <c r="BD149" t="n">
        <v>5</v>
      </c>
      <c r="BE149" t="n">
        <v>4</v>
      </c>
      <c r="BF149" t="n">
        <v>3</v>
      </c>
      <c r="BG149" t="n">
        <v>4</v>
      </c>
      <c r="BH149" t="n">
        <v>4</v>
      </c>
      <c r="BI149" t="n">
        <v>4</v>
      </c>
      <c r="BJ149" t="n">
        <v>4</v>
      </c>
      <c r="BL149" t="n">
        <v>2</v>
      </c>
      <c r="BM149" t="n">
        <v>3</v>
      </c>
      <c r="BN149" t="n">
        <v>3</v>
      </c>
      <c r="BO149" t="n">
        <v>3</v>
      </c>
      <c r="BP149" t="n">
        <v>3</v>
      </c>
      <c r="BQ149" t="n">
        <v>3</v>
      </c>
      <c r="BR149" t="n">
        <v>2</v>
      </c>
      <c r="BS149" s="56">
        <f>IF(COUNT(N149:W149)&gt;=8,AVERAGE(N149:W149),"")</f>
        <v/>
      </c>
      <c r="BT149" s="56">
        <f>IF(COUNT(X149:AE149)&gt;=7,AVERAGE(X149:AE149),"")</f>
        <v/>
      </c>
      <c r="BU149" s="56">
        <f>IF(COUNT(AF149:AM149)&gt;=7,AVERAGE(AF149:AM149),"")</f>
        <v/>
      </c>
      <c r="BV149" s="56">
        <f>IF(COUNT(AN149:AV149)&gt;=8,AVERAGE(AN149:AV149),"")</f>
        <v/>
      </c>
      <c r="BW149" s="56">
        <f>IF(COUNT(AW149:BD149)&gt;=7,AVERAGE(AW149:BD149),"")</f>
        <v/>
      </c>
      <c r="BX149" s="56">
        <f>IF(COUNT(BE149:BJ149)&gt;=5,AVERAGE(BE149:BJ149),"")</f>
        <v/>
      </c>
      <c r="BY149" s="56">
        <f>IF(COUNT(BK149:BR149)&gt;=7,AVERAGE(BK149:BR149),"")</f>
        <v/>
      </c>
    </row>
    <row r="150">
      <c r="A150" t="inlineStr">
        <is>
          <t>R119</t>
        </is>
      </c>
      <c r="B150" t="inlineStr">
        <is>
          <t>Yes</t>
        </is>
      </c>
      <c r="C150" t="inlineStr">
        <is>
          <t>Yes</t>
        </is>
      </c>
      <c r="D150" t="inlineStr">
        <is>
          <t>Female</t>
        </is>
      </c>
      <c r="E150" t="inlineStr">
        <is>
          <t>25-34</t>
        </is>
      </c>
      <c r="F150" t="inlineStr">
        <is>
          <t>Master's</t>
        </is>
      </c>
      <c r="G150" t="inlineStr">
        <is>
          <t>Commercial bank</t>
        </is>
      </c>
      <c r="H150" t="inlineStr">
        <is>
          <t>Management/Strategy</t>
        </is>
      </c>
      <c r="I150" t="inlineStr">
        <is>
          <t>6-10</t>
        </is>
      </c>
      <c r="J150" t="inlineStr">
        <is>
          <t>Yes</t>
        </is>
      </c>
      <c r="K150" t="n">
        <v>2</v>
      </c>
      <c r="L150" t="inlineStr">
        <is>
          <t>Yes</t>
        </is>
      </c>
      <c r="M150" t="inlineStr">
        <is>
          <t>Yes</t>
        </is>
      </c>
      <c r="N150" t="n">
        <v>3</v>
      </c>
      <c r="O150" t="n">
        <v>4</v>
      </c>
      <c r="P150" t="n">
        <v>4</v>
      </c>
      <c r="Q150" t="n">
        <v>4</v>
      </c>
      <c r="R150" t="n">
        <v>4</v>
      </c>
      <c r="S150" t="n">
        <v>4</v>
      </c>
      <c r="T150" t="n">
        <v>2</v>
      </c>
      <c r="U150" t="n">
        <v>4</v>
      </c>
      <c r="V150" t="n">
        <v>4</v>
      </c>
      <c r="W150" t="n">
        <v>4</v>
      </c>
      <c r="X150" t="n">
        <v>2</v>
      </c>
      <c r="Y150" t="n">
        <v>3</v>
      </c>
      <c r="Z150" t="n">
        <v>2</v>
      </c>
      <c r="AA150" t="n">
        <v>3</v>
      </c>
      <c r="AB150" t="n">
        <v>3</v>
      </c>
      <c r="AC150" t="n">
        <v>4</v>
      </c>
      <c r="AD150" t="n">
        <v>3</v>
      </c>
      <c r="AE150" t="n">
        <v>3</v>
      </c>
      <c r="AF150" t="n">
        <v>3</v>
      </c>
      <c r="AG150" t="n">
        <v>2</v>
      </c>
      <c r="AH150" t="n">
        <v>3</v>
      </c>
      <c r="AI150" t="n">
        <v>4</v>
      </c>
      <c r="AJ150" t="n">
        <v>1</v>
      </c>
      <c r="AK150" t="n">
        <v>3</v>
      </c>
      <c r="AL150" t="n">
        <v>3</v>
      </c>
      <c r="AM150" t="n">
        <v>3</v>
      </c>
      <c r="AN150" t="n">
        <v>4</v>
      </c>
      <c r="AO150" t="n">
        <v>4</v>
      </c>
      <c r="AP150" t="n">
        <v>3</v>
      </c>
      <c r="AQ150" t="n">
        <v>4</v>
      </c>
      <c r="AR150" t="n">
        <v>4</v>
      </c>
      <c r="AS150" t="n">
        <v>4</v>
      </c>
      <c r="AT150" t="n">
        <v>5</v>
      </c>
      <c r="AU150" t="n">
        <v>4</v>
      </c>
      <c r="AV150" t="n">
        <v>4</v>
      </c>
      <c r="AW150" t="n">
        <v>3</v>
      </c>
      <c r="AX150" t="n">
        <v>3</v>
      </c>
      <c r="AY150" t="n">
        <v>2</v>
      </c>
      <c r="AZ150" t="n">
        <v>2</v>
      </c>
      <c r="BA150" t="n">
        <v>3</v>
      </c>
      <c r="BB150" t="n">
        <v>1</v>
      </c>
      <c r="BC150" t="n">
        <v>3</v>
      </c>
      <c r="BD150" t="n">
        <v>2</v>
      </c>
      <c r="BF150" t="n">
        <v>3</v>
      </c>
      <c r="BG150" t="n">
        <v>3</v>
      </c>
      <c r="BH150" t="n">
        <v>2</v>
      </c>
      <c r="BI150" t="n">
        <v>3</v>
      </c>
      <c r="BJ150" t="n">
        <v>2</v>
      </c>
      <c r="BK150" t="n">
        <v>4</v>
      </c>
      <c r="BL150" t="n">
        <v>4</v>
      </c>
      <c r="BM150" t="n">
        <v>5</v>
      </c>
      <c r="BN150" t="n">
        <v>5</v>
      </c>
      <c r="BO150" t="n">
        <v>4</v>
      </c>
      <c r="BP150" t="n">
        <v>4</v>
      </c>
      <c r="BQ150" t="n">
        <v>3</v>
      </c>
      <c r="BR150" t="n">
        <v>4</v>
      </c>
      <c r="BS150" s="56">
        <f>IF(COUNT(N150:W150)&gt;=8,AVERAGE(N150:W150),"")</f>
        <v/>
      </c>
      <c r="BT150" s="56">
        <f>IF(COUNT(X150:AE150)&gt;=7,AVERAGE(X150:AE150),"")</f>
        <v/>
      </c>
      <c r="BU150" s="56">
        <f>IF(COUNT(AF150:AM150)&gt;=7,AVERAGE(AF150:AM150),"")</f>
        <v/>
      </c>
      <c r="BV150" s="56">
        <f>IF(COUNT(AN150:AV150)&gt;=8,AVERAGE(AN150:AV150),"")</f>
        <v/>
      </c>
      <c r="BW150" s="56">
        <f>IF(COUNT(AW150:BD150)&gt;=7,AVERAGE(AW150:BD150),"")</f>
        <v/>
      </c>
      <c r="BX150" s="56">
        <f>IF(COUNT(BE150:BJ150)&gt;=5,AVERAGE(BE150:BJ150),"")</f>
        <v/>
      </c>
      <c r="BY150" s="56">
        <f>IF(COUNT(BK150:BR150)&gt;=7,AVERAGE(BK150:BR150),"")</f>
        <v/>
      </c>
    </row>
    <row r="151">
      <c r="A151" t="inlineStr">
        <is>
          <t>R120</t>
        </is>
      </c>
      <c r="B151" t="inlineStr">
        <is>
          <t>Yes</t>
        </is>
      </c>
      <c r="C151" t="inlineStr">
        <is>
          <t>Yes</t>
        </is>
      </c>
      <c r="D151" t="inlineStr">
        <is>
          <t>Female</t>
        </is>
      </c>
      <c r="E151" t="inlineStr">
        <is>
          <t>35-44</t>
        </is>
      </c>
      <c r="F151" t="inlineStr">
        <is>
          <t>Diploma/OND/NCE</t>
        </is>
      </c>
      <c r="G151" t="inlineStr">
        <is>
          <t>Commercial bank</t>
        </is>
      </c>
      <c r="H151" t="inlineStr">
        <is>
          <t>IT/Technology</t>
        </is>
      </c>
      <c r="I151" t="inlineStr">
        <is>
          <t>16 or more</t>
        </is>
      </c>
      <c r="J151" t="inlineStr">
        <is>
          <t>Yes</t>
        </is>
      </c>
      <c r="K151" t="n">
        <v>2</v>
      </c>
      <c r="L151" t="inlineStr">
        <is>
          <t>Do not know</t>
        </is>
      </c>
      <c r="M151" t="inlineStr">
        <is>
          <t>Yes</t>
        </is>
      </c>
      <c r="N151" t="n">
        <v>2</v>
      </c>
      <c r="O151" t="n">
        <v>1</v>
      </c>
      <c r="P151" t="n">
        <v>2</v>
      </c>
      <c r="Q151" t="n">
        <v>2</v>
      </c>
      <c r="R151" t="n">
        <v>2</v>
      </c>
      <c r="S151" t="n">
        <v>1</v>
      </c>
      <c r="T151" t="n">
        <v>1</v>
      </c>
      <c r="U151" t="n">
        <v>2</v>
      </c>
      <c r="V151" t="n">
        <v>2</v>
      </c>
      <c r="W151" t="n">
        <v>2</v>
      </c>
      <c r="X151" t="n">
        <v>4</v>
      </c>
      <c r="Y151" t="n">
        <v>3</v>
      </c>
      <c r="Z151" t="n">
        <v>4</v>
      </c>
      <c r="AA151" t="n">
        <v>3</v>
      </c>
      <c r="AB151" t="n">
        <v>4</v>
      </c>
      <c r="AC151" t="n">
        <v>4</v>
      </c>
      <c r="AD151" t="n">
        <v>4</v>
      </c>
      <c r="AE151" t="n">
        <v>3</v>
      </c>
      <c r="AF151" t="n">
        <v>4</v>
      </c>
      <c r="AG151" t="n">
        <v>4</v>
      </c>
      <c r="AH151" t="n">
        <v>3</v>
      </c>
      <c r="AI151" t="n">
        <v>4</v>
      </c>
      <c r="AJ151" t="n">
        <v>3</v>
      </c>
      <c r="AK151" t="n">
        <v>4</v>
      </c>
      <c r="AM151" t="n">
        <v>3</v>
      </c>
      <c r="AN151" t="n">
        <v>5</v>
      </c>
      <c r="AO151" t="n">
        <v>4</v>
      </c>
      <c r="AP151" t="n">
        <v>5</v>
      </c>
      <c r="AQ151" t="n">
        <v>3</v>
      </c>
      <c r="AR151" t="n">
        <v>5</v>
      </c>
      <c r="AS151" t="n">
        <v>4</v>
      </c>
      <c r="AT151" t="n">
        <v>4</v>
      </c>
      <c r="AU151" t="n">
        <v>3</v>
      </c>
      <c r="AV151" t="n">
        <v>5</v>
      </c>
      <c r="AW151" t="n">
        <v>4</v>
      </c>
      <c r="AX151" t="n">
        <v>4</v>
      </c>
      <c r="AY151" t="n">
        <v>4</v>
      </c>
      <c r="AZ151" t="n">
        <v>4</v>
      </c>
      <c r="BA151" t="n">
        <v>3</v>
      </c>
      <c r="BB151" t="n">
        <v>3</v>
      </c>
      <c r="BC151" t="n">
        <v>4</v>
      </c>
      <c r="BD151" t="n">
        <v>3</v>
      </c>
      <c r="BE151" t="n">
        <v>3</v>
      </c>
      <c r="BF151" t="n">
        <v>4</v>
      </c>
      <c r="BG151" t="n">
        <v>2</v>
      </c>
      <c r="BH151" t="n">
        <v>5</v>
      </c>
      <c r="BI151" t="n">
        <v>5</v>
      </c>
      <c r="BJ151" t="n">
        <v>4</v>
      </c>
      <c r="BK151" t="n">
        <v>2</v>
      </c>
      <c r="BL151" t="n">
        <v>4</v>
      </c>
      <c r="BM151" t="n">
        <v>3</v>
      </c>
      <c r="BN151" t="n">
        <v>4</v>
      </c>
      <c r="BO151" t="n">
        <v>3</v>
      </c>
      <c r="BP151" t="n">
        <v>4</v>
      </c>
      <c r="BQ151" t="n">
        <v>4</v>
      </c>
      <c r="BR151" t="n">
        <v>2</v>
      </c>
      <c r="BS151" s="56">
        <f>IF(COUNT(N151:W151)&gt;=8,AVERAGE(N151:W151),"")</f>
        <v/>
      </c>
      <c r="BT151" s="56">
        <f>IF(COUNT(X151:AE151)&gt;=7,AVERAGE(X151:AE151),"")</f>
        <v/>
      </c>
      <c r="BU151" s="56">
        <f>IF(COUNT(AF151:AM151)&gt;=7,AVERAGE(AF151:AM151),"")</f>
        <v/>
      </c>
      <c r="BV151" s="56">
        <f>IF(COUNT(AN151:AV151)&gt;=8,AVERAGE(AN151:AV151),"")</f>
        <v/>
      </c>
      <c r="BW151" s="56">
        <f>IF(COUNT(AW151:BD151)&gt;=7,AVERAGE(AW151:BD151),"")</f>
        <v/>
      </c>
      <c r="BX151" s="56">
        <f>IF(COUNT(BE151:BJ151)&gt;=5,AVERAGE(BE151:BJ151),"")</f>
        <v/>
      </c>
      <c r="BY151" s="56">
        <f>IF(COUNT(BK151:BR151)&gt;=7,AVERAGE(BK151:BR151),"")</f>
        <v/>
      </c>
    </row>
    <row r="152">
      <c r="A152" t="inlineStr">
        <is>
          <t>R121</t>
        </is>
      </c>
      <c r="B152" t="inlineStr">
        <is>
          <t>Yes</t>
        </is>
      </c>
      <c r="C152" t="inlineStr">
        <is>
          <t>Yes</t>
        </is>
      </c>
      <c r="D152" t="inlineStr">
        <is>
          <t>Male</t>
        </is>
      </c>
      <c r="E152" t="inlineStr">
        <is>
          <t>35-44</t>
        </is>
      </c>
      <c r="F152" t="inlineStr">
        <is>
          <t>Master's</t>
        </is>
      </c>
      <c r="G152" t="inlineStr">
        <is>
          <t>Commercial bank</t>
        </is>
      </c>
      <c r="H152" t="inlineStr">
        <is>
          <t>Data/Analytics/AI</t>
        </is>
      </c>
      <c r="I152" t="inlineStr">
        <is>
          <t>2-5</t>
        </is>
      </c>
      <c r="J152" t="inlineStr">
        <is>
          <t>Yes</t>
        </is>
      </c>
      <c r="K152" t="n">
        <v>1</v>
      </c>
      <c r="L152" t="inlineStr">
        <is>
          <t>No</t>
        </is>
      </c>
      <c r="M152" t="inlineStr">
        <is>
          <t>Yes</t>
        </is>
      </c>
      <c r="N152" t="n">
        <v>3</v>
      </c>
      <c r="O152" t="n">
        <v>4</v>
      </c>
      <c r="P152" t="n">
        <v>4</v>
      </c>
      <c r="Q152" t="n">
        <v>3</v>
      </c>
      <c r="R152" t="n">
        <v>3</v>
      </c>
      <c r="S152" t="n">
        <v>3</v>
      </c>
      <c r="T152" t="n">
        <v>3</v>
      </c>
      <c r="U152" t="n">
        <v>4</v>
      </c>
      <c r="V152" t="n">
        <v>4</v>
      </c>
      <c r="W152" t="n">
        <v>3</v>
      </c>
      <c r="X152" t="n">
        <v>4</v>
      </c>
      <c r="Y152" t="n">
        <v>3</v>
      </c>
      <c r="Z152" t="n">
        <v>4</v>
      </c>
      <c r="AA152" t="n">
        <v>2</v>
      </c>
      <c r="AB152" t="n">
        <v>2</v>
      </c>
      <c r="AC152" t="n">
        <v>3</v>
      </c>
      <c r="AD152" t="n">
        <v>3</v>
      </c>
      <c r="AE152" t="n">
        <v>2</v>
      </c>
      <c r="AF152" t="n">
        <v>2</v>
      </c>
      <c r="AG152" t="n">
        <v>3</v>
      </c>
      <c r="AH152" t="n">
        <v>3</v>
      </c>
      <c r="AI152" t="n">
        <v>3</v>
      </c>
      <c r="AJ152" t="n">
        <v>4</v>
      </c>
      <c r="AK152" t="n">
        <v>3</v>
      </c>
      <c r="AL152" t="n">
        <v>3</v>
      </c>
      <c r="AM152" t="n">
        <v>3</v>
      </c>
      <c r="AN152" t="n">
        <v>3</v>
      </c>
      <c r="AO152" t="n">
        <v>2</v>
      </c>
      <c r="AP152" t="n">
        <v>2</v>
      </c>
      <c r="AQ152" t="n">
        <v>3</v>
      </c>
      <c r="AR152" t="n">
        <v>3</v>
      </c>
      <c r="AS152" t="n">
        <v>3</v>
      </c>
      <c r="AT152" t="n">
        <v>2</v>
      </c>
      <c r="AU152" t="n">
        <v>2</v>
      </c>
      <c r="AV152" t="n">
        <v>3</v>
      </c>
      <c r="AW152" t="n">
        <v>4</v>
      </c>
      <c r="AX152" t="n">
        <v>2</v>
      </c>
      <c r="AY152" t="n">
        <v>4</v>
      </c>
      <c r="AZ152" t="n">
        <v>3</v>
      </c>
      <c r="BA152" t="n">
        <v>3</v>
      </c>
      <c r="BB152" t="n">
        <v>2</v>
      </c>
      <c r="BC152" t="n">
        <v>2</v>
      </c>
      <c r="BD152" t="n">
        <v>1</v>
      </c>
      <c r="BE152" t="n">
        <v>4</v>
      </c>
      <c r="BF152" t="n">
        <v>4</v>
      </c>
      <c r="BG152" t="n">
        <v>4</v>
      </c>
      <c r="BH152" t="n">
        <v>4</v>
      </c>
      <c r="BI152" t="n">
        <v>3</v>
      </c>
      <c r="BJ152" t="n">
        <v>4</v>
      </c>
      <c r="BK152" t="n">
        <v>4</v>
      </c>
      <c r="BL152" t="n">
        <v>3</v>
      </c>
      <c r="BM152" t="n">
        <v>4</v>
      </c>
      <c r="BN152" t="n">
        <v>4</v>
      </c>
      <c r="BO152" t="n">
        <v>4</v>
      </c>
      <c r="BP152" t="n">
        <v>3</v>
      </c>
      <c r="BQ152" t="n">
        <v>5</v>
      </c>
      <c r="BR152" t="n">
        <v>4</v>
      </c>
      <c r="BS152" s="56">
        <f>IF(COUNT(N152:W152)&gt;=8,AVERAGE(N152:W152),"")</f>
        <v/>
      </c>
      <c r="BT152" s="56">
        <f>IF(COUNT(X152:AE152)&gt;=7,AVERAGE(X152:AE152),"")</f>
        <v/>
      </c>
      <c r="BU152" s="56">
        <f>IF(COUNT(AF152:AM152)&gt;=7,AVERAGE(AF152:AM152),"")</f>
        <v/>
      </c>
      <c r="BV152" s="56">
        <f>IF(COUNT(AN152:AV152)&gt;=8,AVERAGE(AN152:AV152),"")</f>
        <v/>
      </c>
      <c r="BW152" s="56">
        <f>IF(COUNT(AW152:BD152)&gt;=7,AVERAGE(AW152:BD152),"")</f>
        <v/>
      </c>
      <c r="BX152" s="56">
        <f>IF(COUNT(BE152:BJ152)&gt;=5,AVERAGE(BE152:BJ152),"")</f>
        <v/>
      </c>
      <c r="BY152" s="56">
        <f>IF(COUNT(BK152:BR152)&gt;=7,AVERAGE(BK152:BR152),"")</f>
        <v/>
      </c>
    </row>
    <row r="153">
      <c r="A153" t="inlineStr">
        <is>
          <t>R122</t>
        </is>
      </c>
      <c r="B153" t="inlineStr">
        <is>
          <t>Yes</t>
        </is>
      </c>
      <c r="C153" t="inlineStr">
        <is>
          <t>Yes</t>
        </is>
      </c>
      <c r="D153" t="inlineStr">
        <is>
          <t>Male</t>
        </is>
      </c>
      <c r="E153" t="inlineStr">
        <is>
          <t>55 or above</t>
        </is>
      </c>
      <c r="F153" t="inlineStr">
        <is>
          <t>Bachelor/HND</t>
        </is>
      </c>
      <c r="G153" t="inlineStr">
        <is>
          <t>Fintech/payment provider</t>
        </is>
      </c>
      <c r="H153" t="inlineStr">
        <is>
          <t>Data/Analytics/AI</t>
        </is>
      </c>
      <c r="I153" t="inlineStr">
        <is>
          <t>11-15</t>
        </is>
      </c>
      <c r="J153" t="inlineStr">
        <is>
          <t>Yes</t>
        </is>
      </c>
      <c r="K153" t="n">
        <v>2</v>
      </c>
      <c r="L153" t="inlineStr">
        <is>
          <t>Yes</t>
        </is>
      </c>
      <c r="M153" t="inlineStr">
        <is>
          <t>Yes</t>
        </is>
      </c>
      <c r="N153" t="n">
        <v>4</v>
      </c>
      <c r="O153" t="n">
        <v>3</v>
      </c>
      <c r="P153" t="n">
        <v>5</v>
      </c>
      <c r="Q153" t="n">
        <v>3</v>
      </c>
      <c r="R153" t="n">
        <v>4</v>
      </c>
      <c r="S153" t="n">
        <v>3</v>
      </c>
      <c r="T153" t="n">
        <v>3</v>
      </c>
      <c r="U153" t="n">
        <v>5</v>
      </c>
      <c r="V153" t="n">
        <v>4</v>
      </c>
      <c r="W153" t="n">
        <v>4</v>
      </c>
      <c r="X153" t="n">
        <v>4</v>
      </c>
      <c r="Y153" t="n">
        <v>3</v>
      </c>
      <c r="Z153" t="n">
        <v>4</v>
      </c>
      <c r="AA153" t="n">
        <v>2</v>
      </c>
      <c r="AB153" t="n">
        <v>2</v>
      </c>
      <c r="AC153" t="n">
        <v>2</v>
      </c>
      <c r="AD153" t="n">
        <v>3</v>
      </c>
      <c r="AE153" t="n">
        <v>3</v>
      </c>
      <c r="AF153" t="n">
        <v>1</v>
      </c>
      <c r="AG153" t="n">
        <v>2</v>
      </c>
      <c r="AH153" t="n">
        <v>2</v>
      </c>
      <c r="AI153" t="n">
        <v>3</v>
      </c>
      <c r="AK153" t="n">
        <v>3</v>
      </c>
      <c r="AL153" t="n">
        <v>1</v>
      </c>
      <c r="AM153" t="n">
        <v>2</v>
      </c>
      <c r="AN153" t="n">
        <v>4</v>
      </c>
      <c r="AO153" t="n">
        <v>3</v>
      </c>
      <c r="AP153" t="n">
        <v>3</v>
      </c>
      <c r="AQ153" t="n">
        <v>3</v>
      </c>
      <c r="AR153" t="n">
        <v>4</v>
      </c>
      <c r="AS153" t="n">
        <v>3</v>
      </c>
      <c r="AT153" t="n">
        <v>4</v>
      </c>
      <c r="AU153" t="n">
        <v>2</v>
      </c>
      <c r="AV153" t="n">
        <v>4</v>
      </c>
      <c r="AW153" t="n">
        <v>3</v>
      </c>
      <c r="AX153" t="n">
        <v>2</v>
      </c>
      <c r="AY153" t="n">
        <v>3</v>
      </c>
      <c r="AZ153" t="n">
        <v>2</v>
      </c>
      <c r="BA153" t="n">
        <v>2</v>
      </c>
      <c r="BB153" t="n">
        <v>1</v>
      </c>
      <c r="BC153" t="n">
        <v>2</v>
      </c>
      <c r="BD153" t="n">
        <v>2</v>
      </c>
      <c r="BE153" t="n">
        <v>1</v>
      </c>
      <c r="BF153" t="n">
        <v>2</v>
      </c>
      <c r="BG153" t="n">
        <v>2</v>
      </c>
      <c r="BH153" t="n">
        <v>3</v>
      </c>
      <c r="BJ153" t="n">
        <v>2</v>
      </c>
      <c r="BK153" t="n">
        <v>3</v>
      </c>
      <c r="BL153" t="n">
        <v>4</v>
      </c>
      <c r="BM153" t="n">
        <v>4</v>
      </c>
      <c r="BN153" t="n">
        <v>2</v>
      </c>
      <c r="BO153" t="n">
        <v>4</v>
      </c>
      <c r="BP153" t="n">
        <v>2</v>
      </c>
      <c r="BQ153" t="n">
        <v>3</v>
      </c>
      <c r="BR153" t="n">
        <v>3</v>
      </c>
      <c r="BS153" s="56">
        <f>IF(COUNT(N153:W153)&gt;=8,AVERAGE(N153:W153),"")</f>
        <v/>
      </c>
      <c r="BT153" s="56">
        <f>IF(COUNT(X153:AE153)&gt;=7,AVERAGE(X153:AE153),"")</f>
        <v/>
      </c>
      <c r="BU153" s="56">
        <f>IF(COUNT(AF153:AM153)&gt;=7,AVERAGE(AF153:AM153),"")</f>
        <v/>
      </c>
      <c r="BV153" s="56">
        <f>IF(COUNT(AN153:AV153)&gt;=8,AVERAGE(AN153:AV153),"")</f>
        <v/>
      </c>
      <c r="BW153" s="56">
        <f>IF(COUNT(AW153:BD153)&gt;=7,AVERAGE(AW153:BD153),"")</f>
        <v/>
      </c>
      <c r="BX153" s="56">
        <f>IF(COUNT(BE153:BJ153)&gt;=5,AVERAGE(BE153:BJ153),"")</f>
        <v/>
      </c>
      <c r="BY153" s="56">
        <f>IF(COUNT(BK153:BR153)&gt;=7,AVERAGE(BK153:BR153),"")</f>
        <v/>
      </c>
    </row>
    <row r="154">
      <c r="A154" t="inlineStr">
        <is>
          <t>R123</t>
        </is>
      </c>
      <c r="B154" t="inlineStr">
        <is>
          <t>Yes</t>
        </is>
      </c>
      <c r="C154" t="inlineStr">
        <is>
          <t>Yes</t>
        </is>
      </c>
      <c r="D154" t="inlineStr">
        <is>
          <t>Female</t>
        </is>
      </c>
      <c r="E154" t="inlineStr">
        <is>
          <t>35-44</t>
        </is>
      </c>
      <c r="F154" t="inlineStr">
        <is>
          <t>Bachelor/HND</t>
        </is>
      </c>
      <c r="G154" t="inlineStr">
        <is>
          <t>Commercial bank</t>
        </is>
      </c>
      <c r="H154" t="inlineStr">
        <is>
          <t>Customer Experience/Service</t>
        </is>
      </c>
      <c r="I154" t="inlineStr">
        <is>
          <t>16 or more</t>
        </is>
      </c>
      <c r="J154" t="inlineStr">
        <is>
          <t>Yes</t>
        </is>
      </c>
      <c r="K154" t="n">
        <v>0</v>
      </c>
      <c r="L154" t="inlineStr">
        <is>
          <t>Do not know</t>
        </is>
      </c>
      <c r="M154" t="inlineStr">
        <is>
          <t>Yes</t>
        </is>
      </c>
      <c r="N154" t="n">
        <v>3</v>
      </c>
      <c r="O154" t="n">
        <v>3</v>
      </c>
      <c r="P154" t="n">
        <v>3</v>
      </c>
      <c r="Q154" t="n">
        <v>2</v>
      </c>
      <c r="R154" t="n">
        <v>3</v>
      </c>
      <c r="S154" t="n">
        <v>3</v>
      </c>
      <c r="T154" t="n">
        <v>2</v>
      </c>
      <c r="U154" t="n">
        <v>4</v>
      </c>
      <c r="V154" t="n">
        <v>3</v>
      </c>
      <c r="W154" t="n">
        <v>3</v>
      </c>
      <c r="X154" t="n">
        <v>2</v>
      </c>
      <c r="Y154" t="n">
        <v>1</v>
      </c>
      <c r="Z154" t="n">
        <v>2</v>
      </c>
      <c r="AA154" t="n">
        <v>2</v>
      </c>
      <c r="AB154" t="n">
        <v>3</v>
      </c>
      <c r="AC154" t="n">
        <v>2</v>
      </c>
      <c r="AD154" t="n">
        <v>3</v>
      </c>
      <c r="AE154" t="n">
        <v>2</v>
      </c>
      <c r="AF154" t="n">
        <v>2</v>
      </c>
      <c r="AG154" t="n">
        <v>2</v>
      </c>
      <c r="AH154" t="n">
        <v>3</v>
      </c>
      <c r="AI154" t="n">
        <v>5</v>
      </c>
      <c r="AJ154" t="n">
        <v>2</v>
      </c>
      <c r="AK154" t="n">
        <v>2</v>
      </c>
      <c r="AL154" t="n">
        <v>2</v>
      </c>
      <c r="AM154" t="n">
        <v>2</v>
      </c>
      <c r="AN154" t="n">
        <v>3</v>
      </c>
      <c r="AO154" t="n">
        <v>2</v>
      </c>
      <c r="AP154" t="n">
        <v>2</v>
      </c>
      <c r="AQ154" t="n">
        <v>1</v>
      </c>
      <c r="AR154" t="n">
        <v>2</v>
      </c>
      <c r="AS154" t="n">
        <v>2</v>
      </c>
      <c r="AT154" t="n">
        <v>3</v>
      </c>
      <c r="AU154" t="n">
        <v>3</v>
      </c>
      <c r="AV154" t="n">
        <v>3</v>
      </c>
      <c r="AW154" t="n">
        <v>3</v>
      </c>
      <c r="AX154" t="n">
        <v>3</v>
      </c>
      <c r="AY154" t="n">
        <v>3</v>
      </c>
      <c r="AZ154" t="n">
        <v>2</v>
      </c>
      <c r="BA154" t="n">
        <v>2</v>
      </c>
      <c r="BB154" t="n">
        <v>2</v>
      </c>
      <c r="BC154" t="n">
        <v>3</v>
      </c>
      <c r="BD154" t="n">
        <v>3</v>
      </c>
      <c r="BE154" t="n">
        <v>2</v>
      </c>
      <c r="BF154" t="n">
        <v>2</v>
      </c>
      <c r="BG154" t="n">
        <v>2</v>
      </c>
      <c r="BH154" t="n">
        <v>1</v>
      </c>
      <c r="BI154" t="n">
        <v>2</v>
      </c>
      <c r="BJ154" t="n">
        <v>1</v>
      </c>
      <c r="BK154" t="n">
        <v>4</v>
      </c>
      <c r="BL154" t="n">
        <v>3</v>
      </c>
      <c r="BM154" t="n">
        <v>3</v>
      </c>
      <c r="BN154" t="n">
        <v>5</v>
      </c>
      <c r="BO154" t="n">
        <v>5</v>
      </c>
      <c r="BP154" t="n">
        <v>4</v>
      </c>
      <c r="BQ154" t="n">
        <v>5</v>
      </c>
      <c r="BR154" t="n">
        <v>4</v>
      </c>
      <c r="BS154" s="56">
        <f>IF(COUNT(N154:W154)&gt;=8,AVERAGE(N154:W154),"")</f>
        <v/>
      </c>
      <c r="BT154" s="56">
        <f>IF(COUNT(X154:AE154)&gt;=7,AVERAGE(X154:AE154),"")</f>
        <v/>
      </c>
      <c r="BU154" s="56">
        <f>IF(COUNT(AF154:AM154)&gt;=7,AVERAGE(AF154:AM154),"")</f>
        <v/>
      </c>
      <c r="BV154" s="56">
        <f>IF(COUNT(AN154:AV154)&gt;=8,AVERAGE(AN154:AV154),"")</f>
        <v/>
      </c>
      <c r="BW154" s="56">
        <f>IF(COUNT(AW154:BD154)&gt;=7,AVERAGE(AW154:BD154),"")</f>
        <v/>
      </c>
      <c r="BX154" s="56">
        <f>IF(COUNT(BE154:BJ154)&gt;=5,AVERAGE(BE154:BJ154),"")</f>
        <v/>
      </c>
      <c r="BY154" s="56">
        <f>IF(COUNT(BK154:BR154)&gt;=7,AVERAGE(BK154:BR154),"")</f>
        <v/>
      </c>
    </row>
    <row r="155">
      <c r="A155" t="inlineStr">
        <is>
          <t>R124</t>
        </is>
      </c>
      <c r="B155" t="inlineStr">
        <is>
          <t>Yes</t>
        </is>
      </c>
      <c r="C155" t="inlineStr">
        <is>
          <t>Yes</t>
        </is>
      </c>
      <c r="D155" t="inlineStr">
        <is>
          <t>Female</t>
        </is>
      </c>
      <c r="E155" t="inlineStr">
        <is>
          <t>18-24</t>
        </is>
      </c>
      <c r="F155" t="inlineStr">
        <is>
          <t>Master's</t>
        </is>
      </c>
      <c r="G155" t="inlineStr">
        <is>
          <t>Insurance/investment/other licensed financial institution</t>
        </is>
      </c>
      <c r="H155" t="inlineStr">
        <is>
          <t>Data/Analytics/AI</t>
        </is>
      </c>
      <c r="I155" t="inlineStr">
        <is>
          <t>2-5</t>
        </is>
      </c>
      <c r="J155" t="inlineStr">
        <is>
          <t>Yes</t>
        </is>
      </c>
      <c r="K155" t="n">
        <v>1</v>
      </c>
      <c r="L155" t="inlineStr">
        <is>
          <t>No</t>
        </is>
      </c>
      <c r="M155" t="inlineStr">
        <is>
          <t>Yes</t>
        </is>
      </c>
      <c r="N155" t="n">
        <v>3</v>
      </c>
      <c r="O155" t="n">
        <v>3</v>
      </c>
      <c r="P155" t="n">
        <v>3</v>
      </c>
      <c r="Q155" t="n">
        <v>2</v>
      </c>
      <c r="R155" t="n">
        <v>4</v>
      </c>
      <c r="S155" t="n">
        <v>3</v>
      </c>
      <c r="T155" t="n">
        <v>3</v>
      </c>
      <c r="U155" t="n">
        <v>3</v>
      </c>
      <c r="V155" t="n">
        <v>3</v>
      </c>
      <c r="W155" t="n">
        <v>2</v>
      </c>
      <c r="X155" t="n">
        <v>3</v>
      </c>
      <c r="Y155" t="n">
        <v>3</v>
      </c>
      <c r="Z155" t="n">
        <v>3</v>
      </c>
      <c r="AA155" t="n">
        <v>3</v>
      </c>
      <c r="AB155" t="n">
        <v>3</v>
      </c>
      <c r="AC155" t="n">
        <v>4</v>
      </c>
      <c r="AD155" t="n">
        <v>4</v>
      </c>
      <c r="AE155" t="n">
        <v>3</v>
      </c>
      <c r="AF155" t="n">
        <v>1</v>
      </c>
      <c r="AG155" t="n">
        <v>2</v>
      </c>
      <c r="AH155" t="n">
        <v>2</v>
      </c>
      <c r="AI155" t="n">
        <v>3</v>
      </c>
      <c r="AJ155" t="n">
        <v>2</v>
      </c>
      <c r="AK155" t="n">
        <v>3</v>
      </c>
      <c r="AL155" t="n">
        <v>3</v>
      </c>
      <c r="AM155" t="n">
        <v>3</v>
      </c>
      <c r="AN155" t="n">
        <v>5</v>
      </c>
      <c r="AO155" t="n">
        <v>3</v>
      </c>
      <c r="AP155" t="n">
        <v>3</v>
      </c>
      <c r="AQ155" t="n">
        <v>3</v>
      </c>
      <c r="AR155" t="n">
        <v>4</v>
      </c>
      <c r="AS155" t="n">
        <v>4</v>
      </c>
      <c r="AT155" t="n">
        <v>5</v>
      </c>
      <c r="AU155" t="n">
        <v>4</v>
      </c>
      <c r="AV155" t="n">
        <v>4</v>
      </c>
      <c r="AW155" t="n">
        <v>2</v>
      </c>
      <c r="AX155" t="n">
        <v>1</v>
      </c>
      <c r="AY155" t="n">
        <v>3</v>
      </c>
      <c r="AZ155" t="n">
        <v>2</v>
      </c>
      <c r="BA155" t="n">
        <v>3</v>
      </c>
      <c r="BC155" t="n">
        <v>4</v>
      </c>
      <c r="BD155" t="n">
        <v>3</v>
      </c>
      <c r="BE155" t="n">
        <v>3</v>
      </c>
      <c r="BG155" t="n">
        <v>2</v>
      </c>
      <c r="BH155" t="n">
        <v>4</v>
      </c>
      <c r="BI155" t="n">
        <v>2</v>
      </c>
      <c r="BJ155" t="n">
        <v>3</v>
      </c>
      <c r="BK155" t="n">
        <v>4</v>
      </c>
      <c r="BL155" t="n">
        <v>2</v>
      </c>
      <c r="BM155" t="n">
        <v>3</v>
      </c>
      <c r="BN155" t="n">
        <v>1</v>
      </c>
      <c r="BO155" t="n">
        <v>2</v>
      </c>
      <c r="BP155" t="n">
        <v>2</v>
      </c>
      <c r="BQ155" t="n">
        <v>2</v>
      </c>
      <c r="BR155" t="n">
        <v>1</v>
      </c>
      <c r="BS155" s="56">
        <f>IF(COUNT(N155:W155)&gt;=8,AVERAGE(N155:W155),"")</f>
        <v/>
      </c>
      <c r="BT155" s="56">
        <f>IF(COUNT(X155:AE155)&gt;=7,AVERAGE(X155:AE155),"")</f>
        <v/>
      </c>
      <c r="BU155" s="56">
        <f>IF(COUNT(AF155:AM155)&gt;=7,AVERAGE(AF155:AM155),"")</f>
        <v/>
      </c>
      <c r="BV155" s="56">
        <f>IF(COUNT(AN155:AV155)&gt;=8,AVERAGE(AN155:AV155),"")</f>
        <v/>
      </c>
      <c r="BW155" s="56">
        <f>IF(COUNT(AW155:BD155)&gt;=7,AVERAGE(AW155:BD155),"")</f>
        <v/>
      </c>
      <c r="BX155" s="56">
        <f>IF(COUNT(BE155:BJ155)&gt;=5,AVERAGE(BE155:BJ155),"")</f>
        <v/>
      </c>
      <c r="BY155" s="56">
        <f>IF(COUNT(BK155:BR155)&gt;=7,AVERAGE(BK155:BR155),"")</f>
        <v/>
      </c>
    </row>
    <row r="156">
      <c r="A156" t="inlineStr">
        <is>
          <t>R125</t>
        </is>
      </c>
      <c r="B156" t="inlineStr">
        <is>
          <t>Yes</t>
        </is>
      </c>
      <c r="C156" t="inlineStr">
        <is>
          <t>Yes</t>
        </is>
      </c>
      <c r="D156" t="inlineStr">
        <is>
          <t>Male</t>
        </is>
      </c>
      <c r="E156" t="inlineStr">
        <is>
          <t>25-34</t>
        </is>
      </c>
      <c r="F156" t="inlineStr">
        <is>
          <t>Bachelor/HND</t>
        </is>
      </c>
      <c r="G156" t="inlineStr">
        <is>
          <t>Commercial bank</t>
        </is>
      </c>
      <c r="H156" t="inlineStr">
        <is>
          <t>IT/Technology</t>
        </is>
      </c>
      <c r="I156" t="inlineStr">
        <is>
          <t>2-5</t>
        </is>
      </c>
      <c r="J156" t="inlineStr">
        <is>
          <t>Yes</t>
        </is>
      </c>
      <c r="K156" t="n">
        <v>3</v>
      </c>
      <c r="L156" t="inlineStr">
        <is>
          <t>Do not know</t>
        </is>
      </c>
      <c r="M156" t="inlineStr">
        <is>
          <t>Yes</t>
        </is>
      </c>
      <c r="N156" t="n">
        <v>4</v>
      </c>
      <c r="O156" t="n">
        <v>2</v>
      </c>
      <c r="P156" t="n">
        <v>4</v>
      </c>
      <c r="Q156" t="n">
        <v>3</v>
      </c>
      <c r="R156" t="n">
        <v>2</v>
      </c>
      <c r="S156" t="n">
        <v>3</v>
      </c>
      <c r="T156" t="n">
        <v>3</v>
      </c>
      <c r="U156" t="n">
        <v>3</v>
      </c>
      <c r="V156" t="n">
        <v>3</v>
      </c>
      <c r="W156" t="n">
        <v>3</v>
      </c>
      <c r="X156" t="n">
        <v>2</v>
      </c>
      <c r="Y156" t="n">
        <v>2</v>
      </c>
      <c r="Z156" t="n">
        <v>3</v>
      </c>
      <c r="AA156" t="n">
        <v>2</v>
      </c>
      <c r="AB156" t="n">
        <v>3</v>
      </c>
      <c r="AC156" t="n">
        <v>3</v>
      </c>
      <c r="AD156" t="n">
        <v>2</v>
      </c>
      <c r="AE156" t="n">
        <v>3</v>
      </c>
      <c r="AF156" t="n">
        <v>2</v>
      </c>
      <c r="AG156" t="n">
        <v>2</v>
      </c>
      <c r="AH156" t="n">
        <v>1</v>
      </c>
      <c r="AI156" t="n">
        <v>4</v>
      </c>
      <c r="AJ156" t="n">
        <v>2</v>
      </c>
      <c r="AK156" t="n">
        <v>2</v>
      </c>
      <c r="AL156" t="n">
        <v>1</v>
      </c>
      <c r="AM156" t="n">
        <v>1</v>
      </c>
      <c r="AN156" t="n">
        <v>3</v>
      </c>
      <c r="AO156" t="n">
        <v>3</v>
      </c>
      <c r="AP156" t="n">
        <v>4</v>
      </c>
      <c r="AQ156" t="n">
        <v>3</v>
      </c>
      <c r="AR156" t="n">
        <v>4</v>
      </c>
      <c r="AS156" t="n">
        <v>3</v>
      </c>
      <c r="AT156" t="n">
        <v>3</v>
      </c>
      <c r="AU156" t="n">
        <v>3</v>
      </c>
      <c r="AV156" t="n">
        <v>3</v>
      </c>
      <c r="AW156" t="n">
        <v>2</v>
      </c>
      <c r="AX156" t="n">
        <v>2</v>
      </c>
      <c r="AY156" t="n">
        <v>3</v>
      </c>
      <c r="AZ156" t="n">
        <v>3</v>
      </c>
      <c r="BA156" t="n">
        <v>1</v>
      </c>
      <c r="BB156" t="n">
        <v>2</v>
      </c>
      <c r="BC156" t="n">
        <v>2</v>
      </c>
      <c r="BD156" t="n">
        <v>2</v>
      </c>
      <c r="BE156" t="n">
        <v>3</v>
      </c>
      <c r="BF156" t="n">
        <v>3</v>
      </c>
      <c r="BG156" t="n">
        <v>2</v>
      </c>
      <c r="BH156" t="n">
        <v>5</v>
      </c>
      <c r="BI156" t="n">
        <v>3</v>
      </c>
      <c r="BJ156" t="n">
        <v>3</v>
      </c>
      <c r="BK156" t="n">
        <v>4</v>
      </c>
      <c r="BL156" t="n">
        <v>3</v>
      </c>
      <c r="BM156" t="n">
        <v>3</v>
      </c>
      <c r="BN156" t="n">
        <v>2</v>
      </c>
      <c r="BO156" t="n">
        <v>3</v>
      </c>
      <c r="BP156" t="n">
        <v>1</v>
      </c>
      <c r="BQ156" t="n">
        <v>3</v>
      </c>
      <c r="BR156" t="n">
        <v>2</v>
      </c>
      <c r="BS156" s="56">
        <f>IF(COUNT(N156:W156)&gt;=8,AVERAGE(N156:W156),"")</f>
        <v/>
      </c>
      <c r="BT156" s="56">
        <f>IF(COUNT(X156:AE156)&gt;=7,AVERAGE(X156:AE156),"")</f>
        <v/>
      </c>
      <c r="BU156" s="56">
        <f>IF(COUNT(AF156:AM156)&gt;=7,AVERAGE(AF156:AM156),"")</f>
        <v/>
      </c>
      <c r="BV156" s="56">
        <f>IF(COUNT(AN156:AV156)&gt;=8,AVERAGE(AN156:AV156),"")</f>
        <v/>
      </c>
      <c r="BW156" s="56">
        <f>IF(COUNT(AW156:BD156)&gt;=7,AVERAGE(AW156:BD156),"")</f>
        <v/>
      </c>
      <c r="BX156" s="56">
        <f>IF(COUNT(BE156:BJ156)&gt;=5,AVERAGE(BE156:BJ156),"")</f>
        <v/>
      </c>
      <c r="BY156" s="56">
        <f>IF(COUNT(BK156:BR156)&gt;=7,AVERAGE(BK156:BR156),"")</f>
        <v/>
      </c>
    </row>
    <row r="157">
      <c r="A157" t="inlineStr">
        <is>
          <t>R126</t>
        </is>
      </c>
      <c r="B157" t="inlineStr">
        <is>
          <t>Yes</t>
        </is>
      </c>
      <c r="C157" t="inlineStr">
        <is>
          <t>Yes</t>
        </is>
      </c>
      <c r="D157" t="inlineStr">
        <is>
          <t>Male</t>
        </is>
      </c>
      <c r="E157" t="inlineStr">
        <is>
          <t>45-54</t>
        </is>
      </c>
      <c r="F157" t="inlineStr">
        <is>
          <t>Bachelor/HND</t>
        </is>
      </c>
      <c r="G157" t="inlineStr">
        <is>
          <t>Digital bank/neobank</t>
        </is>
      </c>
      <c r="H157" t="inlineStr">
        <is>
          <t>Other</t>
        </is>
      </c>
      <c r="I157" t="inlineStr">
        <is>
          <t>6-10</t>
        </is>
      </c>
      <c r="J157" t="inlineStr">
        <is>
          <t>Yes</t>
        </is>
      </c>
      <c r="K157" t="n">
        <v>1</v>
      </c>
      <c r="L157" t="inlineStr">
        <is>
          <t>No</t>
        </is>
      </c>
      <c r="M157" t="inlineStr">
        <is>
          <t>Yes</t>
        </is>
      </c>
      <c r="N157" t="n">
        <v>4</v>
      </c>
      <c r="O157" t="n">
        <v>4</v>
      </c>
      <c r="P157" t="n">
        <v>4</v>
      </c>
      <c r="Q157" t="n">
        <v>4</v>
      </c>
      <c r="R157" t="n">
        <v>4</v>
      </c>
      <c r="S157" t="n">
        <v>3</v>
      </c>
      <c r="U157" t="n">
        <v>3</v>
      </c>
      <c r="V157" t="n">
        <v>4</v>
      </c>
      <c r="W157" t="n">
        <v>3</v>
      </c>
      <c r="X157" t="n">
        <v>3</v>
      </c>
      <c r="Y157" t="n">
        <v>3</v>
      </c>
      <c r="Z157" t="n">
        <v>4</v>
      </c>
      <c r="AA157" t="n">
        <v>2</v>
      </c>
      <c r="AC157" t="n">
        <v>2</v>
      </c>
      <c r="AD157" t="n">
        <v>4</v>
      </c>
      <c r="AE157" t="n">
        <v>3</v>
      </c>
      <c r="AG157" t="n">
        <v>4</v>
      </c>
      <c r="AH157" t="n">
        <v>4</v>
      </c>
      <c r="AI157" t="n">
        <v>4</v>
      </c>
      <c r="AJ157" t="n">
        <v>5</v>
      </c>
      <c r="AK157" t="n">
        <v>4</v>
      </c>
      <c r="AL157" t="n">
        <v>4</v>
      </c>
      <c r="AM157" t="n">
        <v>3</v>
      </c>
      <c r="AN157" t="n">
        <v>4</v>
      </c>
      <c r="AO157" t="n">
        <v>3</v>
      </c>
      <c r="AP157" t="n">
        <v>4</v>
      </c>
      <c r="AQ157" t="n">
        <v>4</v>
      </c>
      <c r="AR157" t="n">
        <v>3</v>
      </c>
      <c r="AS157" t="n">
        <v>3</v>
      </c>
      <c r="AT157" t="n">
        <v>3</v>
      </c>
      <c r="AU157" t="n">
        <v>3</v>
      </c>
      <c r="AV157" t="n">
        <v>3</v>
      </c>
      <c r="AW157" t="n">
        <v>3</v>
      </c>
      <c r="AX157" t="n">
        <v>4</v>
      </c>
      <c r="AY157" t="n">
        <v>4</v>
      </c>
      <c r="AZ157" t="n">
        <v>4</v>
      </c>
      <c r="BA157" t="n">
        <v>5</v>
      </c>
      <c r="BB157" t="n">
        <v>5</v>
      </c>
      <c r="BC157" t="n">
        <v>5</v>
      </c>
      <c r="BD157" t="n">
        <v>3</v>
      </c>
      <c r="BE157" t="n">
        <v>2</v>
      </c>
      <c r="BF157" t="n">
        <v>3</v>
      </c>
      <c r="BG157" t="n">
        <v>4</v>
      </c>
      <c r="BH157" t="n">
        <v>3</v>
      </c>
      <c r="BI157" t="n">
        <v>4</v>
      </c>
      <c r="BJ157" t="n">
        <v>3</v>
      </c>
      <c r="BK157" t="n">
        <v>3</v>
      </c>
      <c r="BL157" t="n">
        <v>3</v>
      </c>
      <c r="BM157" t="n">
        <v>4</v>
      </c>
      <c r="BN157" t="n">
        <v>3</v>
      </c>
      <c r="BO157" t="n">
        <v>4</v>
      </c>
      <c r="BP157" t="n">
        <v>4</v>
      </c>
      <c r="BQ157" t="n">
        <v>4</v>
      </c>
      <c r="BR157" t="n">
        <v>2</v>
      </c>
      <c r="BS157" s="56">
        <f>IF(COUNT(N157:W157)&gt;=8,AVERAGE(N157:W157),"")</f>
        <v/>
      </c>
      <c r="BT157" s="56">
        <f>IF(COUNT(X157:AE157)&gt;=7,AVERAGE(X157:AE157),"")</f>
        <v/>
      </c>
      <c r="BU157" s="56">
        <f>IF(COUNT(AF157:AM157)&gt;=7,AVERAGE(AF157:AM157),"")</f>
        <v/>
      </c>
      <c r="BV157" s="56">
        <f>IF(COUNT(AN157:AV157)&gt;=8,AVERAGE(AN157:AV157),"")</f>
        <v/>
      </c>
      <c r="BW157" s="56">
        <f>IF(COUNT(AW157:BD157)&gt;=7,AVERAGE(AW157:BD157),"")</f>
        <v/>
      </c>
      <c r="BX157" s="56">
        <f>IF(COUNT(BE157:BJ157)&gt;=5,AVERAGE(BE157:BJ157),"")</f>
        <v/>
      </c>
      <c r="BY157" s="56">
        <f>IF(COUNT(BK157:BR157)&gt;=7,AVERAGE(BK157:BR157),"")</f>
        <v/>
      </c>
    </row>
    <row r="158">
      <c r="A158" t="inlineStr">
        <is>
          <t>R127</t>
        </is>
      </c>
      <c r="B158" t="inlineStr">
        <is>
          <t>Yes</t>
        </is>
      </c>
      <c r="C158" t="inlineStr">
        <is>
          <t>Yes</t>
        </is>
      </c>
      <c r="D158" t="inlineStr">
        <is>
          <t>Female</t>
        </is>
      </c>
      <c r="E158" t="inlineStr">
        <is>
          <t>25-34</t>
        </is>
      </c>
      <c r="F158" t="inlineStr">
        <is>
          <t>Bachelor/HND</t>
        </is>
      </c>
      <c r="G158" t="inlineStr">
        <is>
          <t>Commercial bank</t>
        </is>
      </c>
      <c r="H158" t="inlineStr">
        <is>
          <t>Relationship/Marketing</t>
        </is>
      </c>
      <c r="I158" t="inlineStr">
        <is>
          <t>Less than 2</t>
        </is>
      </c>
      <c r="J158" t="inlineStr">
        <is>
          <t>Yes</t>
        </is>
      </c>
      <c r="K158" t="n">
        <v>1</v>
      </c>
      <c r="L158" t="inlineStr">
        <is>
          <t>No</t>
        </is>
      </c>
      <c r="M158" t="inlineStr">
        <is>
          <t>Yes</t>
        </is>
      </c>
      <c r="N158" t="n">
        <v>3</v>
      </c>
      <c r="O158" t="n">
        <v>4</v>
      </c>
      <c r="P158" t="n">
        <v>4</v>
      </c>
      <c r="Q158" t="n">
        <v>1</v>
      </c>
      <c r="R158" t="n">
        <v>2</v>
      </c>
      <c r="S158" t="n">
        <v>3</v>
      </c>
      <c r="T158" t="n">
        <v>3</v>
      </c>
      <c r="U158" t="n">
        <v>2</v>
      </c>
      <c r="V158" t="n">
        <v>4</v>
      </c>
      <c r="W158" t="n">
        <v>2</v>
      </c>
      <c r="X158" t="n">
        <v>5</v>
      </c>
      <c r="Y158" t="n">
        <v>5</v>
      </c>
      <c r="Z158" t="n">
        <v>5</v>
      </c>
      <c r="AA158" t="n">
        <v>5</v>
      </c>
      <c r="AB158" t="n">
        <v>3</v>
      </c>
      <c r="AC158" t="n">
        <v>4</v>
      </c>
      <c r="AD158" t="n">
        <v>5</v>
      </c>
      <c r="AE158" t="n">
        <v>5</v>
      </c>
      <c r="AF158" t="n">
        <v>4</v>
      </c>
      <c r="AG158" t="n">
        <v>4</v>
      </c>
      <c r="AH158" t="n">
        <v>2</v>
      </c>
      <c r="AI158" t="n">
        <v>4</v>
      </c>
      <c r="AJ158" t="n">
        <v>2</v>
      </c>
      <c r="AK158" t="n">
        <v>3</v>
      </c>
      <c r="AL158" t="n">
        <v>3</v>
      </c>
      <c r="AM158" t="n">
        <v>3</v>
      </c>
      <c r="AN158" t="n">
        <v>4</v>
      </c>
      <c r="AO158" t="n">
        <v>4</v>
      </c>
      <c r="AP158" t="n">
        <v>3</v>
      </c>
      <c r="AQ158" t="n">
        <v>5</v>
      </c>
      <c r="AR158" t="n">
        <v>5</v>
      </c>
      <c r="AS158" t="n">
        <v>4</v>
      </c>
      <c r="AT158" t="n">
        <v>5</v>
      </c>
      <c r="AU158" t="n">
        <v>3</v>
      </c>
      <c r="AV158" t="n">
        <v>4</v>
      </c>
      <c r="AW158" t="n">
        <v>3</v>
      </c>
      <c r="AX158" t="n">
        <v>4</v>
      </c>
      <c r="AY158" t="n">
        <v>5</v>
      </c>
      <c r="AZ158" t="n">
        <v>2</v>
      </c>
      <c r="BA158" t="n">
        <v>4</v>
      </c>
      <c r="BB158" t="n">
        <v>3</v>
      </c>
      <c r="BC158" t="n">
        <v>3</v>
      </c>
      <c r="BD158" t="n">
        <v>4</v>
      </c>
      <c r="BE158" t="n">
        <v>3</v>
      </c>
      <c r="BF158" t="n">
        <v>4</v>
      </c>
      <c r="BG158" t="n">
        <v>3</v>
      </c>
      <c r="BH158" t="n">
        <v>3</v>
      </c>
      <c r="BI158" t="n">
        <v>3</v>
      </c>
      <c r="BJ158" t="n">
        <v>2</v>
      </c>
      <c r="BK158" t="n">
        <v>3</v>
      </c>
      <c r="BL158" t="n">
        <v>2</v>
      </c>
      <c r="BM158" t="n">
        <v>2</v>
      </c>
      <c r="BN158" t="n">
        <v>2</v>
      </c>
      <c r="BO158" t="n">
        <v>4</v>
      </c>
      <c r="BP158" t="n">
        <v>3</v>
      </c>
      <c r="BQ158" t="n">
        <v>4</v>
      </c>
      <c r="BR158" t="n">
        <v>2</v>
      </c>
      <c r="BS158" s="56">
        <f>IF(COUNT(N158:W158)&gt;=8,AVERAGE(N158:W158),"")</f>
        <v/>
      </c>
      <c r="BT158" s="56">
        <f>IF(COUNT(X158:AE158)&gt;=7,AVERAGE(X158:AE158),"")</f>
        <v/>
      </c>
      <c r="BU158" s="56">
        <f>IF(COUNT(AF158:AM158)&gt;=7,AVERAGE(AF158:AM158),"")</f>
        <v/>
      </c>
      <c r="BV158" s="56">
        <f>IF(COUNT(AN158:AV158)&gt;=8,AVERAGE(AN158:AV158),"")</f>
        <v/>
      </c>
      <c r="BW158" s="56">
        <f>IF(COUNT(AW158:BD158)&gt;=7,AVERAGE(AW158:BD158),"")</f>
        <v/>
      </c>
      <c r="BX158" s="56">
        <f>IF(COUNT(BE158:BJ158)&gt;=5,AVERAGE(BE158:BJ158),"")</f>
        <v/>
      </c>
      <c r="BY158" s="56">
        <f>IF(COUNT(BK158:BR158)&gt;=7,AVERAGE(BK158:BR158),"")</f>
        <v/>
      </c>
    </row>
    <row r="159">
      <c r="A159" t="inlineStr">
        <is>
          <t>R128</t>
        </is>
      </c>
      <c r="B159" t="inlineStr">
        <is>
          <t>Yes</t>
        </is>
      </c>
      <c r="C159" t="inlineStr">
        <is>
          <t>Yes</t>
        </is>
      </c>
      <c r="D159" t="inlineStr">
        <is>
          <t>Male</t>
        </is>
      </c>
      <c r="E159" t="inlineStr">
        <is>
          <t>25-34</t>
        </is>
      </c>
      <c r="F159" t="inlineStr">
        <is>
          <t>Postgraduate Diploma</t>
        </is>
      </c>
      <c r="G159" t="inlineStr">
        <is>
          <t>Commercial bank</t>
        </is>
      </c>
      <c r="H159" t="inlineStr">
        <is>
          <t>Other</t>
        </is>
      </c>
      <c r="I159" t="inlineStr">
        <is>
          <t>Less than 2</t>
        </is>
      </c>
      <c r="J159" t="inlineStr">
        <is>
          <t>Yes</t>
        </is>
      </c>
      <c r="K159" t="n">
        <v>2</v>
      </c>
      <c r="L159" t="inlineStr">
        <is>
          <t>Do not know</t>
        </is>
      </c>
      <c r="M159" t="inlineStr">
        <is>
          <t>Yes</t>
        </is>
      </c>
      <c r="N159" t="n">
        <v>4</v>
      </c>
      <c r="O159" t="n">
        <v>3</v>
      </c>
      <c r="P159" t="n">
        <v>4</v>
      </c>
      <c r="Q159" t="n">
        <v>4</v>
      </c>
      <c r="R159" t="n">
        <v>3</v>
      </c>
      <c r="S159" t="n">
        <v>3</v>
      </c>
      <c r="T159" t="n">
        <v>4</v>
      </c>
      <c r="U159" t="n">
        <v>5</v>
      </c>
      <c r="V159" t="n">
        <v>5</v>
      </c>
      <c r="W159" t="n">
        <v>4</v>
      </c>
      <c r="X159" t="n">
        <v>3</v>
      </c>
      <c r="Y159" t="n">
        <v>4</v>
      </c>
      <c r="Z159" t="n">
        <v>4</v>
      </c>
      <c r="AA159" t="n">
        <v>3</v>
      </c>
      <c r="AB159" t="n">
        <v>3</v>
      </c>
      <c r="AC159" t="n">
        <v>4</v>
      </c>
      <c r="AD159" t="n">
        <v>3</v>
      </c>
      <c r="AE159" t="n">
        <v>4</v>
      </c>
      <c r="AF159" t="n">
        <v>4</v>
      </c>
      <c r="AG159" t="n">
        <v>4</v>
      </c>
      <c r="AH159" t="n">
        <v>3</v>
      </c>
      <c r="AI159" t="n">
        <v>5</v>
      </c>
      <c r="AJ159" t="n">
        <v>4</v>
      </c>
      <c r="AK159" t="n">
        <v>4</v>
      </c>
      <c r="AL159" t="n">
        <v>3</v>
      </c>
      <c r="AM159" t="n">
        <v>4</v>
      </c>
      <c r="AN159" t="n">
        <v>4</v>
      </c>
      <c r="AO159" t="n">
        <v>5</v>
      </c>
      <c r="AP159" t="n">
        <v>4</v>
      </c>
      <c r="AQ159" t="n">
        <v>3</v>
      </c>
      <c r="AR159" t="n">
        <v>5</v>
      </c>
      <c r="AS159" t="n">
        <v>4</v>
      </c>
      <c r="AT159" t="n">
        <v>4</v>
      </c>
      <c r="AU159" t="n">
        <v>5</v>
      </c>
      <c r="AV159" t="n">
        <v>4</v>
      </c>
      <c r="AW159" t="n">
        <v>4</v>
      </c>
      <c r="AY159" t="n">
        <v>4</v>
      </c>
      <c r="AZ159" t="n">
        <v>4</v>
      </c>
      <c r="BA159" t="n">
        <v>3</v>
      </c>
      <c r="BB159" t="n">
        <v>5</v>
      </c>
      <c r="BC159" t="n">
        <v>3</v>
      </c>
      <c r="BD159" t="n">
        <v>3</v>
      </c>
      <c r="BE159" t="n">
        <v>2</v>
      </c>
      <c r="BF159" t="n">
        <v>2</v>
      </c>
      <c r="BG159" t="n">
        <v>3</v>
      </c>
      <c r="BH159" t="n">
        <v>2</v>
      </c>
      <c r="BI159" t="n">
        <v>3</v>
      </c>
      <c r="BJ159" t="n">
        <v>3</v>
      </c>
      <c r="BK159" t="n">
        <v>3</v>
      </c>
      <c r="BL159" t="n">
        <v>4</v>
      </c>
      <c r="BM159" t="n">
        <v>5</v>
      </c>
      <c r="BN159" t="n">
        <v>4</v>
      </c>
      <c r="BO159" t="n">
        <v>5</v>
      </c>
      <c r="BP159" t="n">
        <v>3</v>
      </c>
      <c r="BQ159" t="n">
        <v>5</v>
      </c>
      <c r="BR159" t="n">
        <v>3</v>
      </c>
      <c r="BS159" s="56">
        <f>IF(COUNT(N159:W159)&gt;=8,AVERAGE(N159:W159),"")</f>
        <v/>
      </c>
      <c r="BT159" s="56">
        <f>IF(COUNT(X159:AE159)&gt;=7,AVERAGE(X159:AE159),"")</f>
        <v/>
      </c>
      <c r="BU159" s="56">
        <f>IF(COUNT(AF159:AM159)&gt;=7,AVERAGE(AF159:AM159),"")</f>
        <v/>
      </c>
      <c r="BV159" s="56">
        <f>IF(COUNT(AN159:AV159)&gt;=8,AVERAGE(AN159:AV159),"")</f>
        <v/>
      </c>
      <c r="BW159" s="56">
        <f>IF(COUNT(AW159:BD159)&gt;=7,AVERAGE(AW159:BD159),"")</f>
        <v/>
      </c>
      <c r="BX159" s="56">
        <f>IF(COUNT(BE159:BJ159)&gt;=5,AVERAGE(BE159:BJ159),"")</f>
        <v/>
      </c>
      <c r="BY159" s="56">
        <f>IF(COUNT(BK159:BR159)&gt;=7,AVERAGE(BK159:BR159),"")</f>
        <v/>
      </c>
    </row>
    <row r="160">
      <c r="A160" t="inlineStr">
        <is>
          <t>R129</t>
        </is>
      </c>
      <c r="B160" t="inlineStr">
        <is>
          <t>Yes</t>
        </is>
      </c>
      <c r="C160" t="inlineStr">
        <is>
          <t>Yes</t>
        </is>
      </c>
      <c r="D160" t="inlineStr">
        <is>
          <t>Male</t>
        </is>
      </c>
      <c r="E160" t="inlineStr">
        <is>
          <t>25-34</t>
        </is>
      </c>
      <c r="F160" t="inlineStr">
        <is>
          <t>Bachelor/HND</t>
        </is>
      </c>
      <c r="G160" t="inlineStr">
        <is>
          <t>Commercial bank</t>
        </is>
      </c>
      <c r="H160" t="inlineStr">
        <is>
          <t>Data/Analytics/AI</t>
        </is>
      </c>
      <c r="I160" t="inlineStr">
        <is>
          <t>11-15</t>
        </is>
      </c>
      <c r="J160" t="inlineStr">
        <is>
          <t>Yes</t>
        </is>
      </c>
      <c r="K160" t="n">
        <v>4</v>
      </c>
      <c r="L160" t="inlineStr">
        <is>
          <t>Yes</t>
        </is>
      </c>
      <c r="M160" t="inlineStr">
        <is>
          <t>Yes</t>
        </is>
      </c>
      <c r="N160" t="n">
        <v>3</v>
      </c>
      <c r="O160" t="n">
        <v>2</v>
      </c>
      <c r="P160" t="n">
        <v>3</v>
      </c>
      <c r="Q160" t="n">
        <v>3</v>
      </c>
      <c r="R160" t="n">
        <v>4</v>
      </c>
      <c r="S160" t="n">
        <v>2</v>
      </c>
      <c r="T160" t="n">
        <v>2</v>
      </c>
      <c r="U160" t="n">
        <v>3</v>
      </c>
      <c r="V160" t="n">
        <v>4</v>
      </c>
      <c r="W160" t="n">
        <v>2</v>
      </c>
      <c r="X160" t="n">
        <v>3</v>
      </c>
      <c r="Y160" t="n">
        <v>3</v>
      </c>
      <c r="Z160" t="n">
        <v>4</v>
      </c>
      <c r="AC160" t="n">
        <v>5</v>
      </c>
      <c r="AD160" t="n">
        <v>4</v>
      </c>
      <c r="AE160" t="n">
        <v>4</v>
      </c>
      <c r="AF160" t="n">
        <v>3</v>
      </c>
      <c r="AG160" t="n">
        <v>4</v>
      </c>
      <c r="AH160" t="n">
        <v>2</v>
      </c>
      <c r="AI160" t="n">
        <v>3</v>
      </c>
      <c r="AJ160" t="n">
        <v>3</v>
      </c>
      <c r="AK160" t="n">
        <v>3</v>
      </c>
      <c r="AL160" t="n">
        <v>3</v>
      </c>
      <c r="AM160" t="n">
        <v>4</v>
      </c>
      <c r="AN160" t="n">
        <v>5</v>
      </c>
      <c r="AO160" t="n">
        <v>3</v>
      </c>
      <c r="AP160" t="n">
        <v>4</v>
      </c>
      <c r="AQ160" t="n">
        <v>4</v>
      </c>
      <c r="AR160" t="n">
        <v>3</v>
      </c>
      <c r="AS160" t="n">
        <v>4</v>
      </c>
      <c r="AT160" t="n">
        <v>4</v>
      </c>
      <c r="AU160" t="n">
        <v>4</v>
      </c>
      <c r="AV160" t="n">
        <v>4</v>
      </c>
      <c r="AW160" t="n">
        <v>5</v>
      </c>
      <c r="AX160" t="n">
        <v>5</v>
      </c>
      <c r="AY160" t="n">
        <v>5</v>
      </c>
      <c r="AZ160" t="n">
        <v>4</v>
      </c>
      <c r="BA160" t="n">
        <v>4</v>
      </c>
      <c r="BB160" t="n">
        <v>4</v>
      </c>
      <c r="BC160" t="n">
        <v>4</v>
      </c>
      <c r="BD160" t="n">
        <v>5</v>
      </c>
      <c r="BE160" t="n">
        <v>3</v>
      </c>
      <c r="BF160" t="n">
        <v>5</v>
      </c>
      <c r="BG160" t="n">
        <v>3</v>
      </c>
      <c r="BH160" t="n">
        <v>3</v>
      </c>
      <c r="BI160" t="n">
        <v>3</v>
      </c>
      <c r="BK160" t="n">
        <v>3</v>
      </c>
      <c r="BL160" t="n">
        <v>3</v>
      </c>
      <c r="BM160" t="n">
        <v>4</v>
      </c>
      <c r="BN160" t="n">
        <v>3</v>
      </c>
      <c r="BO160" t="n">
        <v>3</v>
      </c>
      <c r="BP160" t="n">
        <v>2</v>
      </c>
      <c r="BQ160" t="n">
        <v>4</v>
      </c>
      <c r="BR160" t="n">
        <v>2</v>
      </c>
      <c r="BS160" s="56">
        <f>IF(COUNT(N160:W160)&gt;=8,AVERAGE(N160:W160),"")</f>
        <v/>
      </c>
      <c r="BT160" s="56">
        <f>IF(COUNT(X160:AE160)&gt;=7,AVERAGE(X160:AE160),"")</f>
        <v/>
      </c>
      <c r="BU160" s="56">
        <f>IF(COUNT(AF160:AM160)&gt;=7,AVERAGE(AF160:AM160),"")</f>
        <v/>
      </c>
      <c r="BV160" s="56">
        <f>IF(COUNT(AN160:AV160)&gt;=8,AVERAGE(AN160:AV160),"")</f>
        <v/>
      </c>
      <c r="BW160" s="56">
        <f>IF(COUNT(AW160:BD160)&gt;=7,AVERAGE(AW160:BD160),"")</f>
        <v/>
      </c>
      <c r="BX160" s="56">
        <f>IF(COUNT(BE160:BJ160)&gt;=5,AVERAGE(BE160:BJ160),"")</f>
        <v/>
      </c>
      <c r="BY160" s="56">
        <f>IF(COUNT(BK160:BR160)&gt;=7,AVERAGE(BK160:BR160),"")</f>
        <v/>
      </c>
    </row>
    <row r="161">
      <c r="A161" t="inlineStr">
        <is>
          <t>R130</t>
        </is>
      </c>
      <c r="B161" t="inlineStr">
        <is>
          <t>Yes</t>
        </is>
      </c>
      <c r="C161" t="inlineStr">
        <is>
          <t>Yes</t>
        </is>
      </c>
      <c r="D161" t="inlineStr">
        <is>
          <t>Female</t>
        </is>
      </c>
      <c r="E161" t="inlineStr">
        <is>
          <t>45-54</t>
        </is>
      </c>
      <c r="F161" t="inlineStr">
        <is>
          <t>Diploma/OND/NCE</t>
        </is>
      </c>
      <c r="G161" t="inlineStr">
        <is>
          <t>Commercial bank</t>
        </is>
      </c>
      <c r="H161" t="inlineStr">
        <is>
          <t>Customer Experience/Service</t>
        </is>
      </c>
      <c r="I161" t="inlineStr">
        <is>
          <t>16 or more</t>
        </is>
      </c>
      <c r="J161" t="inlineStr">
        <is>
          <t>Yes</t>
        </is>
      </c>
      <c r="K161" t="n">
        <v>2</v>
      </c>
      <c r="L161" t="inlineStr">
        <is>
          <t>Yes</t>
        </is>
      </c>
      <c r="M161" t="inlineStr">
        <is>
          <t>Yes</t>
        </is>
      </c>
      <c r="N161" t="n">
        <v>3</v>
      </c>
      <c r="O161" t="n">
        <v>2</v>
      </c>
      <c r="P161" t="n">
        <v>3</v>
      </c>
      <c r="Q161" t="n">
        <v>3</v>
      </c>
      <c r="R161" t="n">
        <v>4</v>
      </c>
      <c r="S161" t="n">
        <v>3</v>
      </c>
      <c r="T161" t="n">
        <v>4</v>
      </c>
      <c r="U161" t="n">
        <v>3</v>
      </c>
      <c r="V161" t="n">
        <v>3</v>
      </c>
      <c r="W161" t="n">
        <v>4</v>
      </c>
      <c r="X161" t="n">
        <v>4</v>
      </c>
      <c r="Y161" t="n">
        <v>4</v>
      </c>
      <c r="Z161" t="n">
        <v>3</v>
      </c>
      <c r="AB161" t="n">
        <v>4</v>
      </c>
      <c r="AC161" t="n">
        <v>5</v>
      </c>
      <c r="AD161" t="n">
        <v>4</v>
      </c>
      <c r="AE161" t="n">
        <v>4</v>
      </c>
      <c r="AF161" t="n">
        <v>3</v>
      </c>
      <c r="AG161" t="n">
        <v>4</v>
      </c>
      <c r="AH161" t="n">
        <v>4</v>
      </c>
      <c r="AJ161" t="n">
        <v>3</v>
      </c>
      <c r="AK161" t="n">
        <v>5</v>
      </c>
      <c r="AL161" t="n">
        <v>5</v>
      </c>
      <c r="AM161" t="n">
        <v>3</v>
      </c>
      <c r="AN161" t="n">
        <v>3</v>
      </c>
      <c r="AO161" t="n">
        <v>1</v>
      </c>
      <c r="AP161" t="n">
        <v>4</v>
      </c>
      <c r="AQ161" t="n">
        <v>4</v>
      </c>
      <c r="AR161" t="n">
        <v>3</v>
      </c>
      <c r="AS161" t="n">
        <v>4</v>
      </c>
      <c r="AU161" t="n">
        <v>2</v>
      </c>
      <c r="AV161" t="n">
        <v>3</v>
      </c>
      <c r="AW161" t="n">
        <v>3</v>
      </c>
      <c r="AX161" t="n">
        <v>3</v>
      </c>
      <c r="AY161" t="n">
        <v>3</v>
      </c>
      <c r="AZ161" t="n">
        <v>4</v>
      </c>
      <c r="BA161" t="n">
        <v>5</v>
      </c>
      <c r="BB161" t="n">
        <v>4</v>
      </c>
      <c r="BC161" t="n">
        <v>5</v>
      </c>
      <c r="BD161" t="n">
        <v>3</v>
      </c>
      <c r="BE161" t="n">
        <v>3</v>
      </c>
      <c r="BF161" t="n">
        <v>4</v>
      </c>
      <c r="BG161" t="n">
        <v>2</v>
      </c>
      <c r="BH161" t="n">
        <v>3</v>
      </c>
      <c r="BI161" t="n">
        <v>3</v>
      </c>
      <c r="BJ161" t="n">
        <v>3</v>
      </c>
      <c r="BK161" t="n">
        <v>3</v>
      </c>
      <c r="BL161" t="n">
        <v>4</v>
      </c>
      <c r="BM161" t="n">
        <v>4</v>
      </c>
      <c r="BN161" t="n">
        <v>4</v>
      </c>
      <c r="BO161" t="n">
        <v>4</v>
      </c>
      <c r="BP161" t="n">
        <v>3</v>
      </c>
      <c r="BQ161" t="n">
        <v>4</v>
      </c>
      <c r="BS161" s="56">
        <f>IF(COUNT(N161:W161)&gt;=8,AVERAGE(N161:W161),"")</f>
        <v/>
      </c>
      <c r="BT161" s="56">
        <f>IF(COUNT(X161:AE161)&gt;=7,AVERAGE(X161:AE161),"")</f>
        <v/>
      </c>
      <c r="BU161" s="56">
        <f>IF(COUNT(AF161:AM161)&gt;=7,AVERAGE(AF161:AM161),"")</f>
        <v/>
      </c>
      <c r="BV161" s="56">
        <f>IF(COUNT(AN161:AV161)&gt;=8,AVERAGE(AN161:AV161),"")</f>
        <v/>
      </c>
      <c r="BW161" s="56">
        <f>IF(COUNT(AW161:BD161)&gt;=7,AVERAGE(AW161:BD161),"")</f>
        <v/>
      </c>
      <c r="BX161" s="56">
        <f>IF(COUNT(BE161:BJ161)&gt;=5,AVERAGE(BE161:BJ161),"")</f>
        <v/>
      </c>
      <c r="BY161" s="56">
        <f>IF(COUNT(BK161:BR161)&gt;=7,AVERAGE(BK161:BR161),"")</f>
        <v/>
      </c>
    </row>
    <row r="162">
      <c r="A162" t="inlineStr">
        <is>
          <t>R131</t>
        </is>
      </c>
      <c r="B162" t="inlineStr">
        <is>
          <t>Yes</t>
        </is>
      </c>
      <c r="C162" t="inlineStr">
        <is>
          <t>Yes</t>
        </is>
      </c>
      <c r="D162" t="inlineStr">
        <is>
          <t>Male</t>
        </is>
      </c>
      <c r="E162" t="inlineStr">
        <is>
          <t>45-54</t>
        </is>
      </c>
      <c r="F162" t="inlineStr">
        <is>
          <t>Master's</t>
        </is>
      </c>
      <c r="G162" t="inlineStr">
        <is>
          <t>Insurance/investment/other licensed financial institution</t>
        </is>
      </c>
      <c r="H162" t="inlineStr">
        <is>
          <t>Other</t>
        </is>
      </c>
      <c r="I162" t="inlineStr">
        <is>
          <t>6-10</t>
        </is>
      </c>
      <c r="J162" t="inlineStr">
        <is>
          <t>Yes</t>
        </is>
      </c>
      <c r="K162" t="n">
        <v>2</v>
      </c>
      <c r="L162" t="inlineStr">
        <is>
          <t>Yes</t>
        </is>
      </c>
      <c r="M162" t="inlineStr">
        <is>
          <t>Yes</t>
        </is>
      </c>
      <c r="N162" t="n">
        <v>3</v>
      </c>
      <c r="O162" t="n">
        <v>2</v>
      </c>
      <c r="P162" t="n">
        <v>3</v>
      </c>
      <c r="Q162" t="n">
        <v>4</v>
      </c>
      <c r="R162" t="n">
        <v>3</v>
      </c>
      <c r="S162" t="n">
        <v>4</v>
      </c>
      <c r="T162" t="n">
        <v>3</v>
      </c>
      <c r="U162" t="n">
        <v>3</v>
      </c>
      <c r="V162" t="n">
        <v>4</v>
      </c>
      <c r="W162" t="n">
        <v>2</v>
      </c>
      <c r="X162" t="n">
        <v>4</v>
      </c>
      <c r="Y162" t="n">
        <v>4</v>
      </c>
      <c r="Z162" t="n">
        <v>4</v>
      </c>
      <c r="AA162" t="n">
        <v>3</v>
      </c>
      <c r="AB162" t="n">
        <v>3</v>
      </c>
      <c r="AC162" t="n">
        <v>4</v>
      </c>
      <c r="AD162" t="n">
        <v>4</v>
      </c>
      <c r="AE162" t="n">
        <v>5</v>
      </c>
      <c r="AF162" t="n">
        <v>3</v>
      </c>
      <c r="AG162" t="n">
        <v>3</v>
      </c>
      <c r="AH162" t="n">
        <v>3</v>
      </c>
      <c r="AI162" t="n">
        <v>5</v>
      </c>
      <c r="AJ162" t="n">
        <v>4</v>
      </c>
      <c r="AK162" t="n">
        <v>5</v>
      </c>
      <c r="AM162" t="n">
        <v>3</v>
      </c>
      <c r="AN162" t="n">
        <v>4</v>
      </c>
      <c r="AO162" t="n">
        <v>2</v>
      </c>
      <c r="AP162" t="n">
        <v>4</v>
      </c>
      <c r="AQ162" t="n">
        <v>4</v>
      </c>
      <c r="AR162" t="n">
        <v>4</v>
      </c>
      <c r="AS162" t="n">
        <v>5</v>
      </c>
      <c r="AT162" t="n">
        <v>3</v>
      </c>
      <c r="AU162" t="n">
        <v>3</v>
      </c>
      <c r="AV162" t="n">
        <v>4</v>
      </c>
      <c r="AW162" t="n">
        <v>3</v>
      </c>
      <c r="AX162" t="n">
        <v>3</v>
      </c>
      <c r="AY162" t="n">
        <v>3</v>
      </c>
      <c r="AZ162" t="n">
        <v>4</v>
      </c>
      <c r="BA162" t="n">
        <v>4</v>
      </c>
      <c r="BB162" t="n">
        <v>4</v>
      </c>
      <c r="BC162" t="n">
        <v>4</v>
      </c>
      <c r="BD162" t="n">
        <v>3</v>
      </c>
      <c r="BE162" t="n">
        <v>3</v>
      </c>
      <c r="BF162" t="n">
        <v>4</v>
      </c>
      <c r="BG162" t="n">
        <v>2</v>
      </c>
      <c r="BH162" t="n">
        <v>4</v>
      </c>
      <c r="BI162" t="n">
        <v>3</v>
      </c>
      <c r="BJ162" t="n">
        <v>2</v>
      </c>
      <c r="BK162" t="n">
        <v>3</v>
      </c>
      <c r="BL162" t="n">
        <v>3</v>
      </c>
      <c r="BM162" t="n">
        <v>3</v>
      </c>
      <c r="BN162" t="n">
        <v>2</v>
      </c>
      <c r="BO162" t="n">
        <v>4</v>
      </c>
      <c r="BP162" t="n">
        <v>2</v>
      </c>
      <c r="BQ162" t="n">
        <v>3</v>
      </c>
      <c r="BR162" t="n">
        <v>2</v>
      </c>
      <c r="BS162" s="56">
        <f>IF(COUNT(N162:W162)&gt;=8,AVERAGE(N162:W162),"")</f>
        <v/>
      </c>
      <c r="BT162" s="56">
        <f>IF(COUNT(X162:AE162)&gt;=7,AVERAGE(X162:AE162),"")</f>
        <v/>
      </c>
      <c r="BU162" s="56">
        <f>IF(COUNT(AF162:AM162)&gt;=7,AVERAGE(AF162:AM162),"")</f>
        <v/>
      </c>
      <c r="BV162" s="56">
        <f>IF(COUNT(AN162:AV162)&gt;=8,AVERAGE(AN162:AV162),"")</f>
        <v/>
      </c>
      <c r="BW162" s="56">
        <f>IF(COUNT(AW162:BD162)&gt;=7,AVERAGE(AW162:BD162),"")</f>
        <v/>
      </c>
      <c r="BX162" s="56">
        <f>IF(COUNT(BE162:BJ162)&gt;=5,AVERAGE(BE162:BJ162),"")</f>
        <v/>
      </c>
      <c r="BY162" s="56">
        <f>IF(COUNT(BK162:BR162)&gt;=7,AVERAGE(BK162:BR162),"")</f>
        <v/>
      </c>
    </row>
    <row r="163">
      <c r="A163" t="inlineStr">
        <is>
          <t>R132</t>
        </is>
      </c>
      <c r="B163" t="inlineStr">
        <is>
          <t>Yes</t>
        </is>
      </c>
      <c r="C163" t="inlineStr">
        <is>
          <t>Yes</t>
        </is>
      </c>
      <c r="D163" t="inlineStr">
        <is>
          <t>Male</t>
        </is>
      </c>
      <c r="E163" t="inlineStr">
        <is>
          <t>45-54</t>
        </is>
      </c>
      <c r="F163" t="inlineStr">
        <is>
          <t>Bachelor/HND</t>
        </is>
      </c>
      <c r="G163" t="inlineStr">
        <is>
          <t>Digital bank/neobank</t>
        </is>
      </c>
      <c r="H163" t="inlineStr">
        <is>
          <t>Management/Strategy</t>
        </is>
      </c>
      <c r="I163" t="inlineStr">
        <is>
          <t>2-5</t>
        </is>
      </c>
      <c r="J163" t="inlineStr">
        <is>
          <t>Yes</t>
        </is>
      </c>
      <c r="K163" t="n">
        <v>2</v>
      </c>
      <c r="L163" t="inlineStr">
        <is>
          <t>Yes</t>
        </is>
      </c>
      <c r="M163" t="inlineStr">
        <is>
          <t>Yes</t>
        </is>
      </c>
      <c r="N163" t="n">
        <v>3</v>
      </c>
      <c r="O163" t="n">
        <v>3</v>
      </c>
      <c r="P163" t="n">
        <v>4</v>
      </c>
      <c r="Q163" t="n">
        <v>3</v>
      </c>
      <c r="R163" t="n">
        <v>3</v>
      </c>
      <c r="S163" t="n">
        <v>4</v>
      </c>
      <c r="T163" t="n">
        <v>3</v>
      </c>
      <c r="U163" t="n">
        <v>4</v>
      </c>
      <c r="V163" t="n">
        <v>4</v>
      </c>
      <c r="W163" t="n">
        <v>3</v>
      </c>
      <c r="X163" t="n">
        <v>3</v>
      </c>
      <c r="Y163" t="n">
        <v>2</v>
      </c>
      <c r="Z163" t="n">
        <v>3</v>
      </c>
      <c r="AA163" t="n">
        <v>2</v>
      </c>
      <c r="AB163" t="n">
        <v>2</v>
      </c>
      <c r="AC163" t="n">
        <v>2</v>
      </c>
      <c r="AD163" t="n">
        <v>4</v>
      </c>
      <c r="AE163" t="n">
        <v>3</v>
      </c>
      <c r="AF163" t="n">
        <v>3</v>
      </c>
      <c r="AG163" t="n">
        <v>3</v>
      </c>
      <c r="AH163" t="n">
        <v>2</v>
      </c>
      <c r="AI163" t="n">
        <v>3</v>
      </c>
      <c r="AJ163" t="n">
        <v>2</v>
      </c>
      <c r="AK163" t="n">
        <v>3</v>
      </c>
      <c r="AL163" t="n">
        <v>3</v>
      </c>
      <c r="AM163" t="n">
        <v>3</v>
      </c>
      <c r="AO163" t="n">
        <v>2</v>
      </c>
      <c r="AP163" t="n">
        <v>2</v>
      </c>
      <c r="AQ163" t="n">
        <v>2</v>
      </c>
      <c r="AR163" t="n">
        <v>2</v>
      </c>
      <c r="AS163" t="n">
        <v>2</v>
      </c>
      <c r="AT163" t="n">
        <v>2</v>
      </c>
      <c r="AU163" t="n">
        <v>4</v>
      </c>
      <c r="AV163" t="n">
        <v>3</v>
      </c>
      <c r="AW163" t="n">
        <v>3</v>
      </c>
      <c r="AY163" t="n">
        <v>2</v>
      </c>
      <c r="AZ163" t="n">
        <v>2</v>
      </c>
      <c r="BA163" t="n">
        <v>3</v>
      </c>
      <c r="BB163" t="n">
        <v>3</v>
      </c>
      <c r="BC163" t="n">
        <v>3</v>
      </c>
      <c r="BD163" t="n">
        <v>2</v>
      </c>
      <c r="BE163" t="n">
        <v>3</v>
      </c>
      <c r="BF163" t="n">
        <v>3</v>
      </c>
      <c r="BG163" t="n">
        <v>2</v>
      </c>
      <c r="BH163" t="n">
        <v>3</v>
      </c>
      <c r="BI163" t="n">
        <v>3</v>
      </c>
      <c r="BJ163" t="n">
        <v>2</v>
      </c>
      <c r="BK163" t="n">
        <v>3</v>
      </c>
      <c r="BL163" t="n">
        <v>2</v>
      </c>
      <c r="BM163" t="n">
        <v>1</v>
      </c>
      <c r="BN163" t="n">
        <v>1</v>
      </c>
      <c r="BO163" t="n">
        <v>2</v>
      </c>
      <c r="BP163" t="n">
        <v>3</v>
      </c>
      <c r="BQ163" t="n">
        <v>3</v>
      </c>
      <c r="BR163" t="n">
        <v>2</v>
      </c>
      <c r="BS163" s="56">
        <f>IF(COUNT(N163:W163)&gt;=8,AVERAGE(N163:W163),"")</f>
        <v/>
      </c>
      <c r="BT163" s="56">
        <f>IF(COUNT(X163:AE163)&gt;=7,AVERAGE(X163:AE163),"")</f>
        <v/>
      </c>
      <c r="BU163" s="56">
        <f>IF(COUNT(AF163:AM163)&gt;=7,AVERAGE(AF163:AM163),"")</f>
        <v/>
      </c>
      <c r="BV163" s="56">
        <f>IF(COUNT(AN163:AV163)&gt;=8,AVERAGE(AN163:AV163),"")</f>
        <v/>
      </c>
      <c r="BW163" s="56">
        <f>IF(COUNT(AW163:BD163)&gt;=7,AVERAGE(AW163:BD163),"")</f>
        <v/>
      </c>
      <c r="BX163" s="56">
        <f>IF(COUNT(BE163:BJ163)&gt;=5,AVERAGE(BE163:BJ163),"")</f>
        <v/>
      </c>
      <c r="BY163" s="56">
        <f>IF(COUNT(BK163:BR163)&gt;=7,AVERAGE(BK163:BR163),"")</f>
        <v/>
      </c>
    </row>
    <row r="164">
      <c r="A164" t="inlineStr">
        <is>
          <t>R133</t>
        </is>
      </c>
      <c r="B164" t="inlineStr">
        <is>
          <t>Yes</t>
        </is>
      </c>
      <c r="C164" t="inlineStr">
        <is>
          <t>Yes</t>
        </is>
      </c>
      <c r="D164" t="inlineStr">
        <is>
          <t>Female</t>
        </is>
      </c>
      <c r="E164" t="inlineStr">
        <is>
          <t>25-34</t>
        </is>
      </c>
      <c r="F164" t="inlineStr">
        <is>
          <t>Bachelor/HND</t>
        </is>
      </c>
      <c r="G164" t="inlineStr">
        <is>
          <t>Commercial bank</t>
        </is>
      </c>
      <c r="H164" t="inlineStr">
        <is>
          <t>Management/Strategy</t>
        </is>
      </c>
      <c r="I164" t="inlineStr">
        <is>
          <t>2-5</t>
        </is>
      </c>
      <c r="J164" t="inlineStr">
        <is>
          <t>Yes</t>
        </is>
      </c>
      <c r="K164" t="n">
        <v>3</v>
      </c>
      <c r="L164" t="inlineStr">
        <is>
          <t>Yes</t>
        </is>
      </c>
      <c r="M164" t="inlineStr">
        <is>
          <t>Yes</t>
        </is>
      </c>
      <c r="O164" t="n">
        <v>4</v>
      </c>
      <c r="P164" t="n">
        <v>3</v>
      </c>
      <c r="Q164" t="n">
        <v>4</v>
      </c>
      <c r="R164" t="n">
        <v>4</v>
      </c>
      <c r="S164" t="n">
        <v>3</v>
      </c>
      <c r="T164" t="n">
        <v>3</v>
      </c>
      <c r="U164" t="n">
        <v>4</v>
      </c>
      <c r="V164" t="n">
        <v>4</v>
      </c>
      <c r="W164" t="n">
        <v>3</v>
      </c>
      <c r="X164" t="n">
        <v>3</v>
      </c>
      <c r="Y164" t="n">
        <v>4</v>
      </c>
      <c r="Z164" t="n">
        <v>3</v>
      </c>
      <c r="AA164" t="n">
        <v>3</v>
      </c>
      <c r="AB164" t="n">
        <v>4</v>
      </c>
      <c r="AC164" t="n">
        <v>3</v>
      </c>
      <c r="AD164" t="n">
        <v>4</v>
      </c>
      <c r="AE164" t="n">
        <v>4</v>
      </c>
      <c r="AF164" t="n">
        <v>3</v>
      </c>
      <c r="AG164" t="n">
        <v>3</v>
      </c>
      <c r="AH164" t="n">
        <v>3</v>
      </c>
      <c r="AI164" t="n">
        <v>3</v>
      </c>
      <c r="AJ164" t="n">
        <v>3</v>
      </c>
      <c r="AK164" t="n">
        <v>4</v>
      </c>
      <c r="AL164" t="n">
        <v>3</v>
      </c>
      <c r="AM164" t="n">
        <v>4</v>
      </c>
      <c r="AN164" t="n">
        <v>3</v>
      </c>
      <c r="AO164" t="n">
        <v>1</v>
      </c>
      <c r="AP164" t="n">
        <v>3</v>
      </c>
      <c r="AQ164" t="n">
        <v>3</v>
      </c>
      <c r="AR164" t="n">
        <v>3</v>
      </c>
      <c r="AS164" t="n">
        <v>4</v>
      </c>
      <c r="AT164" t="n">
        <v>4</v>
      </c>
      <c r="AU164" t="n">
        <v>4</v>
      </c>
      <c r="AW164" t="n">
        <v>3</v>
      </c>
      <c r="AX164" t="n">
        <v>4</v>
      </c>
      <c r="AY164" t="n">
        <v>3</v>
      </c>
      <c r="AZ164" t="n">
        <v>3</v>
      </c>
      <c r="BA164" t="n">
        <v>4</v>
      </c>
      <c r="BB164" t="n">
        <v>4</v>
      </c>
      <c r="BC164" t="n">
        <v>3</v>
      </c>
      <c r="BD164" t="n">
        <v>4</v>
      </c>
      <c r="BE164" t="n">
        <v>3</v>
      </c>
      <c r="BF164" t="n">
        <v>5</v>
      </c>
      <c r="BG164" t="n">
        <v>4</v>
      </c>
      <c r="BH164" t="n">
        <v>5</v>
      </c>
      <c r="BI164" t="n">
        <v>4</v>
      </c>
      <c r="BJ164" t="n">
        <v>3</v>
      </c>
      <c r="BK164" t="n">
        <v>4</v>
      </c>
      <c r="BL164" t="n">
        <v>3</v>
      </c>
      <c r="BM164" t="n">
        <v>3</v>
      </c>
      <c r="BN164" t="n">
        <v>3</v>
      </c>
      <c r="BO164" t="n">
        <v>4</v>
      </c>
      <c r="BP164" t="n">
        <v>3</v>
      </c>
      <c r="BQ164" t="n">
        <v>5</v>
      </c>
      <c r="BR164" t="n">
        <v>4</v>
      </c>
      <c r="BS164" s="56">
        <f>IF(COUNT(N164:W164)&gt;=8,AVERAGE(N164:W164),"")</f>
        <v/>
      </c>
      <c r="BT164" s="56">
        <f>IF(COUNT(X164:AE164)&gt;=7,AVERAGE(X164:AE164),"")</f>
        <v/>
      </c>
      <c r="BU164" s="56">
        <f>IF(COUNT(AF164:AM164)&gt;=7,AVERAGE(AF164:AM164),"")</f>
        <v/>
      </c>
      <c r="BV164" s="56">
        <f>IF(COUNT(AN164:AV164)&gt;=8,AVERAGE(AN164:AV164),"")</f>
        <v/>
      </c>
      <c r="BW164" s="56">
        <f>IF(COUNT(AW164:BD164)&gt;=7,AVERAGE(AW164:BD164),"")</f>
        <v/>
      </c>
      <c r="BX164" s="56">
        <f>IF(COUNT(BE164:BJ164)&gt;=5,AVERAGE(BE164:BJ164),"")</f>
        <v/>
      </c>
      <c r="BY164" s="56">
        <f>IF(COUNT(BK164:BR164)&gt;=7,AVERAGE(BK164:BR164),"")</f>
        <v/>
      </c>
    </row>
    <row r="165">
      <c r="A165" t="inlineStr">
        <is>
          <t>R134</t>
        </is>
      </c>
      <c r="B165" t="inlineStr">
        <is>
          <t>Yes</t>
        </is>
      </c>
      <c r="C165" t="inlineStr">
        <is>
          <t>Yes</t>
        </is>
      </c>
      <c r="D165" t="inlineStr">
        <is>
          <t>Male</t>
        </is>
      </c>
      <c r="E165" t="inlineStr">
        <is>
          <t>25-34</t>
        </is>
      </c>
      <c r="F165" t="inlineStr">
        <is>
          <t>Bachelor/HND</t>
        </is>
      </c>
      <c r="G165" t="inlineStr">
        <is>
          <t>Fintech/payment provider</t>
        </is>
      </c>
      <c r="H165" t="inlineStr">
        <is>
          <t>Other</t>
        </is>
      </c>
      <c r="I165" t="inlineStr">
        <is>
          <t>11-15</t>
        </is>
      </c>
      <c r="J165" t="inlineStr">
        <is>
          <t>Yes</t>
        </is>
      </c>
      <c r="K165" t="n">
        <v>3</v>
      </c>
      <c r="L165" t="inlineStr">
        <is>
          <t>Yes</t>
        </is>
      </c>
      <c r="M165" t="inlineStr">
        <is>
          <t>Yes</t>
        </is>
      </c>
      <c r="N165" t="n">
        <v>4</v>
      </c>
      <c r="O165" t="n">
        <v>5</v>
      </c>
      <c r="P165" t="n">
        <v>4</v>
      </c>
      <c r="Q165" t="n">
        <v>4</v>
      </c>
      <c r="R165" t="n">
        <v>5</v>
      </c>
      <c r="S165" t="n">
        <v>4</v>
      </c>
      <c r="T165" t="n">
        <v>3</v>
      </c>
      <c r="U165" t="n">
        <v>4</v>
      </c>
      <c r="V165" t="n">
        <v>4</v>
      </c>
      <c r="W165" t="n">
        <v>4</v>
      </c>
      <c r="X165" t="n">
        <v>5</v>
      </c>
      <c r="Y165" t="n">
        <v>3</v>
      </c>
      <c r="Z165" t="n">
        <v>3</v>
      </c>
      <c r="AA165" t="n">
        <v>4</v>
      </c>
      <c r="AB165" t="n">
        <v>3</v>
      </c>
      <c r="AC165" t="n">
        <v>3</v>
      </c>
      <c r="AD165" t="n">
        <v>4</v>
      </c>
      <c r="AE165" t="n">
        <v>3</v>
      </c>
      <c r="AF165" t="n">
        <v>3</v>
      </c>
      <c r="AG165" t="n">
        <v>3</v>
      </c>
      <c r="AH165" t="n">
        <v>3</v>
      </c>
      <c r="AI165" t="n">
        <v>4</v>
      </c>
      <c r="AJ165" t="n">
        <v>2</v>
      </c>
      <c r="AK165" t="n">
        <v>2</v>
      </c>
      <c r="AL165" t="n">
        <v>2</v>
      </c>
      <c r="AM165" t="n">
        <v>3</v>
      </c>
      <c r="AN165" t="n">
        <v>3</v>
      </c>
      <c r="AO165" t="n">
        <v>3</v>
      </c>
      <c r="AP165" t="n">
        <v>3</v>
      </c>
      <c r="AQ165" t="n">
        <v>4</v>
      </c>
      <c r="AR165" t="n">
        <v>4</v>
      </c>
      <c r="AS165" t="n">
        <v>3</v>
      </c>
      <c r="AT165" t="n">
        <v>3</v>
      </c>
      <c r="AU165" t="n">
        <v>3</v>
      </c>
      <c r="AV165" t="n">
        <v>3</v>
      </c>
      <c r="AW165" t="n">
        <v>3</v>
      </c>
      <c r="AX165" t="n">
        <v>3</v>
      </c>
      <c r="AY165" t="n">
        <v>3</v>
      </c>
      <c r="AZ165" t="n">
        <v>2</v>
      </c>
      <c r="BA165" t="n">
        <v>3</v>
      </c>
      <c r="BB165" t="n">
        <v>4</v>
      </c>
      <c r="BC165" t="n">
        <v>3</v>
      </c>
      <c r="BD165" t="n">
        <v>3</v>
      </c>
      <c r="BE165" t="n">
        <v>2</v>
      </c>
      <c r="BF165" t="n">
        <v>3</v>
      </c>
      <c r="BG165" t="n">
        <v>1</v>
      </c>
      <c r="BH165" t="n">
        <v>3</v>
      </c>
      <c r="BI165" t="n">
        <v>4</v>
      </c>
      <c r="BJ165" t="n">
        <v>2</v>
      </c>
      <c r="BK165" t="n">
        <v>4</v>
      </c>
      <c r="BL165" t="n">
        <v>3</v>
      </c>
      <c r="BM165" t="n">
        <v>3</v>
      </c>
      <c r="BN165" t="n">
        <v>3</v>
      </c>
      <c r="BP165" t="n">
        <v>3</v>
      </c>
      <c r="BQ165" t="n">
        <v>4</v>
      </c>
      <c r="BR165" t="n">
        <v>4</v>
      </c>
      <c r="BS165" s="56">
        <f>IF(COUNT(N165:W165)&gt;=8,AVERAGE(N165:W165),"")</f>
        <v/>
      </c>
      <c r="BT165" s="56">
        <f>IF(COUNT(X165:AE165)&gt;=7,AVERAGE(X165:AE165),"")</f>
        <v/>
      </c>
      <c r="BU165" s="56">
        <f>IF(COUNT(AF165:AM165)&gt;=7,AVERAGE(AF165:AM165),"")</f>
        <v/>
      </c>
      <c r="BV165" s="56">
        <f>IF(COUNT(AN165:AV165)&gt;=8,AVERAGE(AN165:AV165),"")</f>
        <v/>
      </c>
      <c r="BW165" s="56">
        <f>IF(COUNT(AW165:BD165)&gt;=7,AVERAGE(AW165:BD165),"")</f>
        <v/>
      </c>
      <c r="BX165" s="56">
        <f>IF(COUNT(BE165:BJ165)&gt;=5,AVERAGE(BE165:BJ165),"")</f>
        <v/>
      </c>
      <c r="BY165" s="56">
        <f>IF(COUNT(BK165:BR165)&gt;=7,AVERAGE(BK165:BR165),"")</f>
        <v/>
      </c>
    </row>
    <row r="166">
      <c r="A166" t="inlineStr">
        <is>
          <t>R135</t>
        </is>
      </c>
      <c r="B166" t="inlineStr">
        <is>
          <t>Yes</t>
        </is>
      </c>
      <c r="C166" t="inlineStr">
        <is>
          <t>Yes</t>
        </is>
      </c>
      <c r="D166" t="inlineStr">
        <is>
          <t>Female</t>
        </is>
      </c>
      <c r="E166" t="inlineStr">
        <is>
          <t>35-44</t>
        </is>
      </c>
      <c r="F166" t="inlineStr">
        <is>
          <t>Bachelor/HND</t>
        </is>
      </c>
      <c r="G166" t="inlineStr">
        <is>
          <t>Digital bank/neobank</t>
        </is>
      </c>
      <c r="H166" t="inlineStr">
        <is>
          <t>Digital Banking/Product</t>
        </is>
      </c>
      <c r="I166" t="inlineStr">
        <is>
          <t>2-5</t>
        </is>
      </c>
      <c r="J166" t="inlineStr">
        <is>
          <t>Yes</t>
        </is>
      </c>
      <c r="K166" t="n">
        <v>0</v>
      </c>
      <c r="L166" t="inlineStr">
        <is>
          <t>No</t>
        </is>
      </c>
      <c r="M166" t="inlineStr">
        <is>
          <t>Yes</t>
        </is>
      </c>
      <c r="N166" t="n">
        <v>2</v>
      </c>
      <c r="O166" t="n">
        <v>3</v>
      </c>
      <c r="P166" t="n">
        <v>3</v>
      </c>
      <c r="Q166" t="n">
        <v>3</v>
      </c>
      <c r="R166" t="n">
        <v>2</v>
      </c>
      <c r="S166" t="n">
        <v>3</v>
      </c>
      <c r="T166" t="n">
        <v>3</v>
      </c>
      <c r="U166" t="n">
        <v>4</v>
      </c>
      <c r="V166" t="n">
        <v>4</v>
      </c>
      <c r="W166" t="n">
        <v>3</v>
      </c>
      <c r="X166" t="n">
        <v>3</v>
      </c>
      <c r="Y166" t="n">
        <v>2</v>
      </c>
      <c r="Z166" t="n">
        <v>3</v>
      </c>
      <c r="AA166" t="n">
        <v>3</v>
      </c>
      <c r="AB166" t="n">
        <v>3</v>
      </c>
      <c r="AC166" t="n">
        <v>2</v>
      </c>
      <c r="AD166" t="n">
        <v>3</v>
      </c>
      <c r="AE166" t="n">
        <v>3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3</v>
      </c>
      <c r="AL166" t="n">
        <v>2</v>
      </c>
      <c r="AM166" t="n">
        <v>2</v>
      </c>
      <c r="AN166" t="n">
        <v>3</v>
      </c>
      <c r="AO166" t="n">
        <v>2</v>
      </c>
      <c r="AP166" t="n">
        <v>3</v>
      </c>
      <c r="AQ166" t="n">
        <v>3</v>
      </c>
      <c r="AR166" t="n">
        <v>4</v>
      </c>
      <c r="AS166" t="n">
        <v>2</v>
      </c>
      <c r="AT166" t="n">
        <v>3</v>
      </c>
      <c r="AU166" t="n">
        <v>2</v>
      </c>
      <c r="AV166" t="n">
        <v>3</v>
      </c>
      <c r="AW166" t="n">
        <v>3</v>
      </c>
      <c r="AX166" t="n">
        <v>3</v>
      </c>
      <c r="AY166" t="n">
        <v>3</v>
      </c>
      <c r="AZ166" t="n">
        <v>3</v>
      </c>
      <c r="BA166" t="n">
        <v>3</v>
      </c>
      <c r="BB166" t="n">
        <v>4</v>
      </c>
      <c r="BC166" t="n">
        <v>4</v>
      </c>
      <c r="BD166" t="n">
        <v>4</v>
      </c>
      <c r="BE166" t="n">
        <v>3</v>
      </c>
      <c r="BF166" t="n">
        <v>3</v>
      </c>
      <c r="BG166" t="n">
        <v>2</v>
      </c>
      <c r="BH166" t="n">
        <v>3</v>
      </c>
      <c r="BI166" t="n">
        <v>3</v>
      </c>
      <c r="BJ166" t="n">
        <v>2</v>
      </c>
      <c r="BK166" t="n">
        <v>3</v>
      </c>
      <c r="BL166" t="n">
        <v>1</v>
      </c>
      <c r="BM166" t="n">
        <v>3</v>
      </c>
      <c r="BN166" t="n">
        <v>4</v>
      </c>
      <c r="BO166" t="n">
        <v>4</v>
      </c>
      <c r="BP166" t="n">
        <v>3</v>
      </c>
      <c r="BQ166" t="n">
        <v>4</v>
      </c>
      <c r="BR166" t="n">
        <v>2</v>
      </c>
      <c r="BS166" s="56">
        <f>IF(COUNT(N166:W166)&gt;=8,AVERAGE(N166:W166),"")</f>
        <v/>
      </c>
      <c r="BT166" s="56">
        <f>IF(COUNT(X166:AE166)&gt;=7,AVERAGE(X166:AE166),"")</f>
        <v/>
      </c>
      <c r="BU166" s="56">
        <f>IF(COUNT(AF166:AM166)&gt;=7,AVERAGE(AF166:AM166),"")</f>
        <v/>
      </c>
      <c r="BV166" s="56">
        <f>IF(COUNT(AN166:AV166)&gt;=8,AVERAGE(AN166:AV166),"")</f>
        <v/>
      </c>
      <c r="BW166" s="56">
        <f>IF(COUNT(AW166:BD166)&gt;=7,AVERAGE(AW166:BD166),"")</f>
        <v/>
      </c>
      <c r="BX166" s="56">
        <f>IF(COUNT(BE166:BJ166)&gt;=5,AVERAGE(BE166:BJ166),"")</f>
        <v/>
      </c>
      <c r="BY166" s="56">
        <f>IF(COUNT(BK166:BR166)&gt;=7,AVERAGE(BK166:BR166),"")</f>
        <v/>
      </c>
    </row>
    <row r="167">
      <c r="A167" t="inlineStr">
        <is>
          <t>R136</t>
        </is>
      </c>
      <c r="B167" t="inlineStr">
        <is>
          <t>Yes</t>
        </is>
      </c>
      <c r="C167" t="inlineStr">
        <is>
          <t>Yes</t>
        </is>
      </c>
      <c r="D167" t="inlineStr">
        <is>
          <t>Male</t>
        </is>
      </c>
      <c r="E167" t="inlineStr">
        <is>
          <t>25-34</t>
        </is>
      </c>
      <c r="F167" t="inlineStr">
        <is>
          <t>Bachelor/HND</t>
        </is>
      </c>
      <c r="G167" t="inlineStr">
        <is>
          <t>Commercial bank</t>
        </is>
      </c>
      <c r="H167" t="inlineStr">
        <is>
          <t>Digital Banking/Product</t>
        </is>
      </c>
      <c r="I167" t="inlineStr">
        <is>
          <t>16 or more</t>
        </is>
      </c>
      <c r="J167" t="inlineStr">
        <is>
          <t>Yes</t>
        </is>
      </c>
      <c r="K167" t="n">
        <v>2</v>
      </c>
      <c r="L167" t="inlineStr">
        <is>
          <t>Yes</t>
        </is>
      </c>
      <c r="M167" t="inlineStr">
        <is>
          <t>Yes</t>
        </is>
      </c>
      <c r="N167" t="n">
        <v>4</v>
      </c>
      <c r="O167" t="n">
        <v>3</v>
      </c>
      <c r="P167" t="n">
        <v>5</v>
      </c>
      <c r="Q167" t="n">
        <v>3</v>
      </c>
      <c r="R167" t="n">
        <v>3</v>
      </c>
      <c r="S167" t="n">
        <v>3</v>
      </c>
      <c r="T167" t="n">
        <v>2</v>
      </c>
      <c r="U167" t="n">
        <v>3</v>
      </c>
      <c r="V167" t="n">
        <v>4</v>
      </c>
      <c r="W167" t="n">
        <v>3</v>
      </c>
      <c r="X167" t="n">
        <v>2</v>
      </c>
      <c r="Y167" t="n">
        <v>1</v>
      </c>
      <c r="Z167" t="n">
        <v>2</v>
      </c>
      <c r="AA167" t="n">
        <v>2</v>
      </c>
      <c r="AB167" t="n">
        <v>2</v>
      </c>
      <c r="AC167" t="n">
        <v>1</v>
      </c>
      <c r="AD167" t="n">
        <v>3</v>
      </c>
      <c r="AE167" t="n">
        <v>1</v>
      </c>
      <c r="AF167" t="n">
        <v>2</v>
      </c>
      <c r="AG167" t="n">
        <v>2</v>
      </c>
      <c r="AH167" t="n">
        <v>2</v>
      </c>
      <c r="AI167" t="n">
        <v>2</v>
      </c>
      <c r="AJ167" t="n">
        <v>2</v>
      </c>
      <c r="AK167" t="n">
        <v>1</v>
      </c>
      <c r="AL167" t="n">
        <v>1</v>
      </c>
      <c r="AM167" t="n">
        <v>2</v>
      </c>
      <c r="AN167" t="n">
        <v>4</v>
      </c>
      <c r="AO167" t="n">
        <v>2</v>
      </c>
      <c r="AP167" t="n">
        <v>3</v>
      </c>
      <c r="AQ167" t="n">
        <v>3</v>
      </c>
      <c r="AR167" t="n">
        <v>4</v>
      </c>
      <c r="AS167" t="n">
        <v>3</v>
      </c>
      <c r="AT167" t="n">
        <v>3</v>
      </c>
      <c r="AU167" t="n">
        <v>3</v>
      </c>
      <c r="AV167" t="n">
        <v>4</v>
      </c>
      <c r="AW167" t="n">
        <v>3</v>
      </c>
      <c r="AX167" t="n">
        <v>2</v>
      </c>
      <c r="AY167" t="n">
        <v>3</v>
      </c>
      <c r="AZ167" t="n">
        <v>2</v>
      </c>
      <c r="BA167" t="n">
        <v>3</v>
      </c>
      <c r="BB167" t="n">
        <v>4</v>
      </c>
      <c r="BC167" t="n">
        <v>1</v>
      </c>
      <c r="BD167" t="n">
        <v>2</v>
      </c>
      <c r="BE167" t="n">
        <v>2</v>
      </c>
      <c r="BF167" t="n">
        <v>2</v>
      </c>
      <c r="BG167" t="n">
        <v>3</v>
      </c>
      <c r="BH167" t="n">
        <v>3</v>
      </c>
      <c r="BI167" t="n">
        <v>3</v>
      </c>
      <c r="BJ167" t="n">
        <v>2</v>
      </c>
      <c r="BK167" t="n">
        <v>3</v>
      </c>
      <c r="BL167" t="n">
        <v>2</v>
      </c>
      <c r="BM167" t="n">
        <v>1</v>
      </c>
      <c r="BN167" t="n">
        <v>3</v>
      </c>
      <c r="BO167" t="n">
        <v>2</v>
      </c>
      <c r="BP167" t="n">
        <v>2</v>
      </c>
      <c r="BQ167" t="n">
        <v>4</v>
      </c>
      <c r="BR167" t="n">
        <v>2</v>
      </c>
      <c r="BS167" s="56">
        <f>IF(COUNT(N167:W167)&gt;=8,AVERAGE(N167:W167),"")</f>
        <v/>
      </c>
      <c r="BT167" s="56">
        <f>IF(COUNT(X167:AE167)&gt;=7,AVERAGE(X167:AE167),"")</f>
        <v/>
      </c>
      <c r="BU167" s="56">
        <f>IF(COUNT(AF167:AM167)&gt;=7,AVERAGE(AF167:AM167),"")</f>
        <v/>
      </c>
      <c r="BV167" s="56">
        <f>IF(COUNT(AN167:AV167)&gt;=8,AVERAGE(AN167:AV167),"")</f>
        <v/>
      </c>
      <c r="BW167" s="56">
        <f>IF(COUNT(AW167:BD167)&gt;=7,AVERAGE(AW167:BD167),"")</f>
        <v/>
      </c>
      <c r="BX167" s="56">
        <f>IF(COUNT(BE167:BJ167)&gt;=5,AVERAGE(BE167:BJ167),"")</f>
        <v/>
      </c>
      <c r="BY167" s="56">
        <f>IF(COUNT(BK167:BR167)&gt;=7,AVERAGE(BK167:BR167),"")</f>
        <v/>
      </c>
    </row>
    <row r="168">
      <c r="A168" t="inlineStr">
        <is>
          <t>R137</t>
        </is>
      </c>
      <c r="B168" t="inlineStr">
        <is>
          <t>Yes</t>
        </is>
      </c>
      <c r="C168" t="inlineStr">
        <is>
          <t>Yes</t>
        </is>
      </c>
      <c r="D168" t="inlineStr">
        <is>
          <t>Female</t>
        </is>
      </c>
      <c r="E168" t="inlineStr">
        <is>
          <t>25-34</t>
        </is>
      </c>
      <c r="F168" t="inlineStr">
        <is>
          <t>Postgraduate Diploma</t>
        </is>
      </c>
      <c r="G168" t="inlineStr">
        <is>
          <t>Digital bank/neobank</t>
        </is>
      </c>
      <c r="H168" t="inlineStr">
        <is>
          <t>Relationship/Marketing</t>
        </is>
      </c>
      <c r="I168" t="inlineStr">
        <is>
          <t>16 or more</t>
        </is>
      </c>
      <c r="J168" t="inlineStr">
        <is>
          <t>Yes</t>
        </is>
      </c>
      <c r="K168" t="n">
        <v>2</v>
      </c>
      <c r="L168" t="inlineStr">
        <is>
          <t>Yes</t>
        </is>
      </c>
      <c r="M168" t="inlineStr">
        <is>
          <t>Yes</t>
        </is>
      </c>
      <c r="N168" t="n">
        <v>5</v>
      </c>
      <c r="O168" t="n">
        <v>2</v>
      </c>
      <c r="P168" t="n">
        <v>4</v>
      </c>
      <c r="Q168" t="n">
        <v>2</v>
      </c>
      <c r="R168" t="n">
        <v>3</v>
      </c>
      <c r="S168" t="n">
        <v>3</v>
      </c>
      <c r="T168" t="n">
        <v>3</v>
      </c>
      <c r="U168" t="n">
        <v>4</v>
      </c>
      <c r="V168" t="n">
        <v>3</v>
      </c>
      <c r="W168" t="n">
        <v>2</v>
      </c>
      <c r="X168" t="n">
        <v>4</v>
      </c>
      <c r="Y168" t="n">
        <v>2</v>
      </c>
      <c r="Z168" t="n">
        <v>4</v>
      </c>
      <c r="AA168" t="n">
        <v>3</v>
      </c>
      <c r="AB168" t="n">
        <v>3</v>
      </c>
      <c r="AC168" t="n">
        <v>4</v>
      </c>
      <c r="AD168" t="n">
        <v>4</v>
      </c>
      <c r="AE168" t="n">
        <v>4</v>
      </c>
      <c r="AF168" t="n">
        <v>2</v>
      </c>
      <c r="AG168" t="n">
        <v>1</v>
      </c>
      <c r="AH168" t="n">
        <v>2</v>
      </c>
      <c r="AI168" t="n">
        <v>4</v>
      </c>
      <c r="AJ168" t="n">
        <v>2</v>
      </c>
      <c r="AK168" t="n">
        <v>5</v>
      </c>
      <c r="AL168" t="n">
        <v>2</v>
      </c>
      <c r="AM168" t="n">
        <v>2</v>
      </c>
      <c r="AN168" t="n">
        <v>4</v>
      </c>
      <c r="AO168" t="n">
        <v>4</v>
      </c>
      <c r="AP168" t="n">
        <v>3</v>
      </c>
      <c r="AQ168" t="n">
        <v>3</v>
      </c>
      <c r="AR168" t="n">
        <v>3</v>
      </c>
      <c r="AS168" t="n">
        <v>4</v>
      </c>
      <c r="AT168" t="n">
        <v>2</v>
      </c>
      <c r="AU168" t="n">
        <v>1</v>
      </c>
      <c r="AV168" t="n">
        <v>3</v>
      </c>
      <c r="AW168" t="n">
        <v>3</v>
      </c>
      <c r="AX168" t="n">
        <v>3</v>
      </c>
      <c r="AY168" t="n">
        <v>3</v>
      </c>
      <c r="AZ168" t="n">
        <v>2</v>
      </c>
      <c r="BA168" t="n">
        <v>4</v>
      </c>
      <c r="BC168" t="n">
        <v>4</v>
      </c>
      <c r="BD168" t="n">
        <v>2</v>
      </c>
      <c r="BE168" t="n">
        <v>4</v>
      </c>
      <c r="BF168" t="n">
        <v>4</v>
      </c>
      <c r="BG168" t="n">
        <v>3</v>
      </c>
      <c r="BH168" t="n">
        <v>4</v>
      </c>
      <c r="BI168" t="n">
        <v>4</v>
      </c>
      <c r="BJ168" t="n">
        <v>4</v>
      </c>
      <c r="BK168" t="n">
        <v>5</v>
      </c>
      <c r="BL168" t="n">
        <v>4</v>
      </c>
      <c r="BM168" t="n">
        <v>5</v>
      </c>
      <c r="BN168" t="n">
        <v>5</v>
      </c>
      <c r="BO168" t="n">
        <v>4</v>
      </c>
      <c r="BP168" t="n">
        <v>5</v>
      </c>
      <c r="BQ168" t="n">
        <v>5</v>
      </c>
      <c r="BR168" t="n">
        <v>4</v>
      </c>
      <c r="BS168" s="56">
        <f>IF(COUNT(N168:W168)&gt;=8,AVERAGE(N168:W168),"")</f>
        <v/>
      </c>
      <c r="BT168" s="56">
        <f>IF(COUNT(X168:AE168)&gt;=7,AVERAGE(X168:AE168),"")</f>
        <v/>
      </c>
      <c r="BU168" s="56">
        <f>IF(COUNT(AF168:AM168)&gt;=7,AVERAGE(AF168:AM168),"")</f>
        <v/>
      </c>
      <c r="BV168" s="56">
        <f>IF(COUNT(AN168:AV168)&gt;=8,AVERAGE(AN168:AV168),"")</f>
        <v/>
      </c>
      <c r="BW168" s="56">
        <f>IF(COUNT(AW168:BD168)&gt;=7,AVERAGE(AW168:BD168),"")</f>
        <v/>
      </c>
      <c r="BX168" s="56">
        <f>IF(COUNT(BE168:BJ168)&gt;=5,AVERAGE(BE168:BJ168),"")</f>
        <v/>
      </c>
      <c r="BY168" s="56">
        <f>IF(COUNT(BK168:BR168)&gt;=7,AVERAGE(BK168:BR168),"")</f>
        <v/>
      </c>
    </row>
    <row r="169">
      <c r="A169" t="inlineStr">
        <is>
          <t>R138</t>
        </is>
      </c>
      <c r="B169" t="inlineStr">
        <is>
          <t>Yes</t>
        </is>
      </c>
      <c r="C169" t="inlineStr">
        <is>
          <t>Yes</t>
        </is>
      </c>
      <c r="D169" t="inlineStr">
        <is>
          <t>Male</t>
        </is>
      </c>
      <c r="E169" t="inlineStr">
        <is>
          <t>25-34</t>
        </is>
      </c>
      <c r="F169" t="inlineStr">
        <is>
          <t>Bachelor/HND</t>
        </is>
      </c>
      <c r="G169" t="inlineStr">
        <is>
          <t>Insurance/investment/other licensed financial institution</t>
        </is>
      </c>
      <c r="H169" t="inlineStr">
        <is>
          <t>Relationship/Marketing</t>
        </is>
      </c>
      <c r="I169" t="inlineStr">
        <is>
          <t>6-10</t>
        </is>
      </c>
      <c r="J169" t="inlineStr">
        <is>
          <t>Yes</t>
        </is>
      </c>
      <c r="K169" t="n">
        <v>1</v>
      </c>
      <c r="L169" t="inlineStr">
        <is>
          <t>No</t>
        </is>
      </c>
      <c r="M169" t="inlineStr">
        <is>
          <t>Yes</t>
        </is>
      </c>
      <c r="N169" t="n">
        <v>4</v>
      </c>
      <c r="O169" t="n">
        <v>3</v>
      </c>
      <c r="P169" t="n">
        <v>3</v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4</v>
      </c>
      <c r="W169" t="n">
        <v>4</v>
      </c>
      <c r="X169" t="n">
        <v>3</v>
      </c>
      <c r="Y169" t="n">
        <v>3</v>
      </c>
      <c r="Z169" t="n">
        <v>2</v>
      </c>
      <c r="AA169" t="n">
        <v>2</v>
      </c>
      <c r="AB169" t="n">
        <v>2</v>
      </c>
      <c r="AC169" t="n">
        <v>2</v>
      </c>
      <c r="AD169" t="n">
        <v>3</v>
      </c>
      <c r="AE169" t="n">
        <v>3</v>
      </c>
      <c r="AF169" t="n">
        <v>1</v>
      </c>
      <c r="AG169" t="n">
        <v>2</v>
      </c>
      <c r="AH169" t="n">
        <v>2</v>
      </c>
      <c r="AI169" t="n">
        <v>2</v>
      </c>
      <c r="AJ169" t="n">
        <v>2</v>
      </c>
      <c r="AK169" t="n">
        <v>3</v>
      </c>
      <c r="AL169" t="n">
        <v>2</v>
      </c>
      <c r="AM169" t="n">
        <v>2</v>
      </c>
      <c r="AN169" t="n">
        <v>4</v>
      </c>
      <c r="AO169" t="n">
        <v>3</v>
      </c>
      <c r="AP169" t="n">
        <v>3</v>
      </c>
      <c r="AQ169" t="n">
        <v>3</v>
      </c>
      <c r="AR169" t="n">
        <v>3</v>
      </c>
      <c r="AS169" t="n">
        <v>3</v>
      </c>
      <c r="AT169" t="n">
        <v>4</v>
      </c>
      <c r="AU169" t="n">
        <v>3</v>
      </c>
      <c r="AV169" t="n">
        <v>3</v>
      </c>
      <c r="AW169" t="n">
        <v>3</v>
      </c>
      <c r="AX169" t="n">
        <v>2</v>
      </c>
      <c r="AY169" t="n">
        <v>3</v>
      </c>
      <c r="AZ169" t="n">
        <v>3</v>
      </c>
      <c r="BA169" t="n">
        <v>2</v>
      </c>
      <c r="BB169" t="n">
        <v>2</v>
      </c>
      <c r="BC169" t="n">
        <v>2</v>
      </c>
      <c r="BD169" t="n">
        <v>2</v>
      </c>
      <c r="BE169" t="n">
        <v>3</v>
      </c>
      <c r="BF169" t="n">
        <v>5</v>
      </c>
      <c r="BG169" t="n">
        <v>3</v>
      </c>
      <c r="BH169" t="n">
        <v>5</v>
      </c>
      <c r="BI169" t="n">
        <v>4</v>
      </c>
      <c r="BJ169" t="n">
        <v>4</v>
      </c>
      <c r="BK169" t="n">
        <v>5</v>
      </c>
      <c r="BL169" t="n">
        <v>4</v>
      </c>
      <c r="BM169" t="n">
        <v>4</v>
      </c>
      <c r="BN169" t="n">
        <v>4</v>
      </c>
      <c r="BO169" t="n">
        <v>5</v>
      </c>
      <c r="BP169" t="n">
        <v>4</v>
      </c>
      <c r="BQ169" t="n">
        <v>4</v>
      </c>
      <c r="BR169" t="n">
        <v>4</v>
      </c>
      <c r="BS169" s="56">
        <f>IF(COUNT(N169:W169)&gt;=8,AVERAGE(N169:W169),"")</f>
        <v/>
      </c>
      <c r="BT169" s="56">
        <f>IF(COUNT(X169:AE169)&gt;=7,AVERAGE(X169:AE169),"")</f>
        <v/>
      </c>
      <c r="BU169" s="56">
        <f>IF(COUNT(AF169:AM169)&gt;=7,AVERAGE(AF169:AM169),"")</f>
        <v/>
      </c>
      <c r="BV169" s="56">
        <f>IF(COUNT(AN169:AV169)&gt;=8,AVERAGE(AN169:AV169),"")</f>
        <v/>
      </c>
      <c r="BW169" s="56">
        <f>IF(COUNT(AW169:BD169)&gt;=7,AVERAGE(AW169:BD169),"")</f>
        <v/>
      </c>
      <c r="BX169" s="56">
        <f>IF(COUNT(BE169:BJ169)&gt;=5,AVERAGE(BE169:BJ169),"")</f>
        <v/>
      </c>
      <c r="BY169" s="56">
        <f>IF(COUNT(BK169:BR169)&gt;=7,AVERAGE(BK169:BR169),"")</f>
        <v/>
      </c>
    </row>
    <row r="170">
      <c r="A170" t="inlineStr">
        <is>
          <t>R139</t>
        </is>
      </c>
      <c r="B170" t="inlineStr">
        <is>
          <t>Yes</t>
        </is>
      </c>
      <c r="C170" t="inlineStr">
        <is>
          <t>Yes</t>
        </is>
      </c>
      <c r="D170" t="inlineStr">
        <is>
          <t>Female</t>
        </is>
      </c>
      <c r="E170" t="inlineStr">
        <is>
          <t>35-44</t>
        </is>
      </c>
      <c r="F170" t="inlineStr">
        <is>
          <t>Bachelor/HND</t>
        </is>
      </c>
      <c r="G170" t="inlineStr">
        <is>
          <t>Fintech/payment provider</t>
        </is>
      </c>
      <c r="H170" t="inlineStr">
        <is>
          <t>Digital Banking/Product</t>
        </is>
      </c>
      <c r="I170" t="inlineStr">
        <is>
          <t>11-15</t>
        </is>
      </c>
      <c r="J170" t="inlineStr">
        <is>
          <t>Yes</t>
        </is>
      </c>
      <c r="K170" t="n">
        <v>2</v>
      </c>
      <c r="L170" t="inlineStr">
        <is>
          <t>No</t>
        </is>
      </c>
      <c r="M170" t="inlineStr">
        <is>
          <t>Yes</t>
        </is>
      </c>
      <c r="N170" t="n">
        <v>2</v>
      </c>
      <c r="O170" t="n">
        <v>3</v>
      </c>
      <c r="P170" t="n">
        <v>3</v>
      </c>
      <c r="Q170" t="n">
        <v>1</v>
      </c>
      <c r="R170" t="n">
        <v>3</v>
      </c>
      <c r="S170" t="n">
        <v>2</v>
      </c>
      <c r="T170" t="n">
        <v>2</v>
      </c>
      <c r="U170" t="n">
        <v>2</v>
      </c>
      <c r="V170" t="n">
        <v>3</v>
      </c>
      <c r="W170" t="n">
        <v>3</v>
      </c>
      <c r="X170" t="n">
        <v>3</v>
      </c>
      <c r="Z170" t="n">
        <v>4</v>
      </c>
      <c r="AA170" t="n">
        <v>3</v>
      </c>
      <c r="AB170" t="n">
        <v>4</v>
      </c>
      <c r="AC170" t="n">
        <v>4</v>
      </c>
      <c r="AD170" t="n">
        <v>4</v>
      </c>
      <c r="AE170" t="n">
        <v>3</v>
      </c>
      <c r="AF170" t="n">
        <v>2</v>
      </c>
      <c r="AH170" t="n">
        <v>3</v>
      </c>
      <c r="AI170" t="n">
        <v>4</v>
      </c>
      <c r="AJ170" t="n">
        <v>5</v>
      </c>
      <c r="AK170" t="n">
        <v>4</v>
      </c>
      <c r="AL170" t="n">
        <v>4</v>
      </c>
      <c r="AM170" t="n">
        <v>3</v>
      </c>
      <c r="AN170" t="n">
        <v>4</v>
      </c>
      <c r="AO170" t="n">
        <v>4</v>
      </c>
      <c r="AP170" t="n">
        <v>3</v>
      </c>
      <c r="AQ170" t="n">
        <v>3</v>
      </c>
      <c r="AR170" t="n">
        <v>3</v>
      </c>
      <c r="AS170" t="n">
        <v>3</v>
      </c>
      <c r="AT170" t="n">
        <v>3</v>
      </c>
      <c r="AU170" t="n">
        <v>2</v>
      </c>
      <c r="AV170" t="n">
        <v>2</v>
      </c>
      <c r="AW170" t="n">
        <v>3</v>
      </c>
      <c r="AX170" t="n">
        <v>4</v>
      </c>
      <c r="AY170" t="n">
        <v>4</v>
      </c>
      <c r="AZ170" t="n">
        <v>3</v>
      </c>
      <c r="BA170" t="n">
        <v>4</v>
      </c>
      <c r="BB170" t="n">
        <v>4</v>
      </c>
      <c r="BC170" t="n">
        <v>4</v>
      </c>
      <c r="BD170" t="n">
        <v>4</v>
      </c>
      <c r="BF170" t="n">
        <v>4</v>
      </c>
      <c r="BG170" t="n">
        <v>2</v>
      </c>
      <c r="BH170" t="n">
        <v>4</v>
      </c>
      <c r="BI170" t="n">
        <v>3</v>
      </c>
      <c r="BJ170" t="n">
        <v>4</v>
      </c>
      <c r="BK170" t="n">
        <v>4</v>
      </c>
      <c r="BL170" t="n">
        <v>3</v>
      </c>
      <c r="BM170" t="n">
        <v>3</v>
      </c>
      <c r="BN170" t="n">
        <v>4</v>
      </c>
      <c r="BO170" t="n">
        <v>3</v>
      </c>
      <c r="BP170" t="n">
        <v>2</v>
      </c>
      <c r="BQ170" t="n">
        <v>3</v>
      </c>
      <c r="BR170" t="n">
        <v>3</v>
      </c>
      <c r="BS170" s="56">
        <f>IF(COUNT(N170:W170)&gt;=8,AVERAGE(N170:W170),"")</f>
        <v/>
      </c>
      <c r="BT170" s="56">
        <f>IF(COUNT(X170:AE170)&gt;=7,AVERAGE(X170:AE170),"")</f>
        <v/>
      </c>
      <c r="BU170" s="56">
        <f>IF(COUNT(AF170:AM170)&gt;=7,AVERAGE(AF170:AM170),"")</f>
        <v/>
      </c>
      <c r="BV170" s="56">
        <f>IF(COUNT(AN170:AV170)&gt;=8,AVERAGE(AN170:AV170),"")</f>
        <v/>
      </c>
      <c r="BW170" s="56">
        <f>IF(COUNT(AW170:BD170)&gt;=7,AVERAGE(AW170:BD170),"")</f>
        <v/>
      </c>
      <c r="BX170" s="56">
        <f>IF(COUNT(BE170:BJ170)&gt;=5,AVERAGE(BE170:BJ170),"")</f>
        <v/>
      </c>
      <c r="BY170" s="56">
        <f>IF(COUNT(BK170:BR170)&gt;=7,AVERAGE(BK170:BR170),"")</f>
        <v/>
      </c>
    </row>
    <row r="171">
      <c r="A171" t="inlineStr">
        <is>
          <t>R140</t>
        </is>
      </c>
      <c r="B171" t="inlineStr">
        <is>
          <t>Yes</t>
        </is>
      </c>
      <c r="C171" t="inlineStr">
        <is>
          <t>Yes</t>
        </is>
      </c>
      <c r="D171" t="inlineStr">
        <is>
          <t>Male</t>
        </is>
      </c>
      <c r="E171" t="inlineStr">
        <is>
          <t>18-24</t>
        </is>
      </c>
      <c r="F171" t="inlineStr">
        <is>
          <t>Master's</t>
        </is>
      </c>
      <c r="G171" t="inlineStr">
        <is>
          <t>Insurance/investment/other licensed financial institution</t>
        </is>
      </c>
      <c r="H171" t="inlineStr">
        <is>
          <t>IT/Technology</t>
        </is>
      </c>
      <c r="I171" t="inlineStr">
        <is>
          <t>6-10</t>
        </is>
      </c>
      <c r="J171" t="inlineStr">
        <is>
          <t>Yes</t>
        </is>
      </c>
      <c r="K171" t="n">
        <v>1</v>
      </c>
      <c r="L171" t="inlineStr">
        <is>
          <t>Yes</t>
        </is>
      </c>
      <c r="M171" t="inlineStr">
        <is>
          <t>Yes</t>
        </is>
      </c>
      <c r="N171" t="n">
        <v>2</v>
      </c>
      <c r="O171" t="n">
        <v>3</v>
      </c>
      <c r="Q171" t="n">
        <v>2</v>
      </c>
      <c r="R171" t="n">
        <v>2</v>
      </c>
      <c r="S171" t="n">
        <v>3</v>
      </c>
      <c r="T171" t="n">
        <v>2</v>
      </c>
      <c r="U171" t="n">
        <v>2</v>
      </c>
      <c r="V171" t="n">
        <v>3</v>
      </c>
      <c r="W171" t="n">
        <v>2</v>
      </c>
      <c r="X171" t="n">
        <v>4</v>
      </c>
      <c r="Y171" t="n">
        <v>3</v>
      </c>
      <c r="Z171" t="n">
        <v>3</v>
      </c>
      <c r="AA171" t="n">
        <v>3</v>
      </c>
      <c r="AB171" t="n">
        <v>3</v>
      </c>
      <c r="AC171" t="n">
        <v>3</v>
      </c>
      <c r="AD171" t="n">
        <v>4</v>
      </c>
      <c r="AE171" t="n">
        <v>3</v>
      </c>
      <c r="AF171" t="n">
        <v>2</v>
      </c>
      <c r="AG171" t="n">
        <v>3</v>
      </c>
      <c r="AH171" t="n">
        <v>3</v>
      </c>
      <c r="AI171" t="n">
        <v>2</v>
      </c>
      <c r="AJ171" t="n">
        <v>3</v>
      </c>
      <c r="AK171" t="n">
        <v>3</v>
      </c>
      <c r="AL171" t="n">
        <v>3</v>
      </c>
      <c r="AM171" t="n">
        <v>3</v>
      </c>
      <c r="AN171" t="n">
        <v>5</v>
      </c>
      <c r="AO171" t="n">
        <v>4</v>
      </c>
      <c r="AP171" t="n">
        <v>4</v>
      </c>
      <c r="AQ171" t="n">
        <v>3</v>
      </c>
      <c r="AR171" t="n">
        <v>4</v>
      </c>
      <c r="AS171" t="n">
        <v>4</v>
      </c>
      <c r="AT171" t="n">
        <v>4</v>
      </c>
      <c r="AU171" t="n">
        <v>4</v>
      </c>
      <c r="AV171" t="n">
        <v>5</v>
      </c>
      <c r="AW171" t="n">
        <v>4</v>
      </c>
      <c r="AX171" t="n">
        <v>4</v>
      </c>
      <c r="AY171" t="n">
        <v>5</v>
      </c>
      <c r="AZ171" t="n">
        <v>3</v>
      </c>
      <c r="BA171" t="n">
        <v>5</v>
      </c>
      <c r="BB171" t="n">
        <v>4</v>
      </c>
      <c r="BC171" t="n">
        <v>4</v>
      </c>
      <c r="BD171" t="n">
        <v>3</v>
      </c>
      <c r="BE171" t="n">
        <v>3</v>
      </c>
      <c r="BF171" t="n">
        <v>4</v>
      </c>
      <c r="BG171" t="n">
        <v>3</v>
      </c>
      <c r="BH171" t="n">
        <v>3</v>
      </c>
      <c r="BI171" t="n">
        <v>3</v>
      </c>
      <c r="BJ171" t="n">
        <v>3</v>
      </c>
      <c r="BK171" t="n">
        <v>2</v>
      </c>
      <c r="BL171" t="n">
        <v>2</v>
      </c>
      <c r="BM171" t="n">
        <v>2</v>
      </c>
      <c r="BN171" t="n">
        <v>2</v>
      </c>
      <c r="BO171" t="n">
        <v>4</v>
      </c>
      <c r="BP171" t="n">
        <v>3</v>
      </c>
      <c r="BQ171" t="n">
        <v>3</v>
      </c>
      <c r="BR171" t="n">
        <v>1</v>
      </c>
      <c r="BS171" s="56">
        <f>IF(COUNT(N171:W171)&gt;=8,AVERAGE(N171:W171),"")</f>
        <v/>
      </c>
      <c r="BT171" s="56">
        <f>IF(COUNT(X171:AE171)&gt;=7,AVERAGE(X171:AE171),"")</f>
        <v/>
      </c>
      <c r="BU171" s="56">
        <f>IF(COUNT(AF171:AM171)&gt;=7,AVERAGE(AF171:AM171),"")</f>
        <v/>
      </c>
      <c r="BV171" s="56">
        <f>IF(COUNT(AN171:AV171)&gt;=8,AVERAGE(AN171:AV171),"")</f>
        <v/>
      </c>
      <c r="BW171" s="56">
        <f>IF(COUNT(AW171:BD171)&gt;=7,AVERAGE(AW171:BD171),"")</f>
        <v/>
      </c>
      <c r="BX171" s="56">
        <f>IF(COUNT(BE171:BJ171)&gt;=5,AVERAGE(BE171:BJ171),"")</f>
        <v/>
      </c>
      <c r="BY171" s="56">
        <f>IF(COUNT(BK171:BR171)&gt;=7,AVERAGE(BK171:BR171),"")</f>
        <v/>
      </c>
    </row>
    <row r="172">
      <c r="A172" t="inlineStr">
        <is>
          <t>R141</t>
        </is>
      </c>
      <c r="B172" t="inlineStr">
        <is>
          <t>Yes</t>
        </is>
      </c>
      <c r="C172" t="inlineStr">
        <is>
          <t>Yes</t>
        </is>
      </c>
      <c r="D172" t="inlineStr">
        <is>
          <t>Male</t>
        </is>
      </c>
      <c r="E172" t="inlineStr">
        <is>
          <t>45-54</t>
        </is>
      </c>
      <c r="F172" t="inlineStr">
        <is>
          <t>Bachelor/HND</t>
        </is>
      </c>
      <c r="G172" t="inlineStr">
        <is>
          <t>Commercial bank</t>
        </is>
      </c>
      <c r="H172" t="inlineStr">
        <is>
          <t>Data/Analytics/AI</t>
        </is>
      </c>
      <c r="I172" t="inlineStr">
        <is>
          <t>2-5</t>
        </is>
      </c>
      <c r="J172" t="inlineStr">
        <is>
          <t>Yes</t>
        </is>
      </c>
      <c r="K172" t="n">
        <v>3</v>
      </c>
      <c r="L172" t="inlineStr">
        <is>
          <t>Yes</t>
        </is>
      </c>
      <c r="M172" t="inlineStr">
        <is>
          <t>Yes</t>
        </is>
      </c>
      <c r="N172" t="n">
        <v>5</v>
      </c>
      <c r="O172" t="n">
        <v>3</v>
      </c>
      <c r="P172" t="n">
        <v>5</v>
      </c>
      <c r="Q172" t="n">
        <v>4</v>
      </c>
      <c r="R172" t="n">
        <v>4</v>
      </c>
      <c r="S172" t="n">
        <v>3</v>
      </c>
      <c r="T172" t="n">
        <v>2</v>
      </c>
      <c r="U172" t="n">
        <v>5</v>
      </c>
      <c r="V172" t="n">
        <v>5</v>
      </c>
      <c r="W172" t="n">
        <v>4</v>
      </c>
      <c r="X172" t="n">
        <v>2</v>
      </c>
      <c r="Y172" t="n">
        <v>3</v>
      </c>
      <c r="Z172" t="n">
        <v>3</v>
      </c>
      <c r="AA172" t="n">
        <v>2</v>
      </c>
      <c r="AB172" t="n">
        <v>3</v>
      </c>
      <c r="AC172" t="n">
        <v>3</v>
      </c>
      <c r="AD172" t="n">
        <v>2</v>
      </c>
      <c r="AE172" t="n">
        <v>3</v>
      </c>
      <c r="AF172" t="n">
        <v>2</v>
      </c>
      <c r="AG172" t="n">
        <v>3</v>
      </c>
      <c r="AH172" t="n">
        <v>2</v>
      </c>
      <c r="AI172" t="n">
        <v>3</v>
      </c>
      <c r="AJ172" t="n">
        <v>1</v>
      </c>
      <c r="AK172" t="n">
        <v>4</v>
      </c>
      <c r="AL172" t="n">
        <v>3</v>
      </c>
      <c r="AM172" t="n">
        <v>2</v>
      </c>
      <c r="AN172" t="n">
        <v>2</v>
      </c>
      <c r="AO172" t="n">
        <v>2</v>
      </c>
      <c r="AP172" t="n">
        <v>2</v>
      </c>
      <c r="AQ172" t="n">
        <v>2</v>
      </c>
      <c r="AR172" t="n">
        <v>3</v>
      </c>
      <c r="AS172" t="n">
        <v>4</v>
      </c>
      <c r="AT172" t="n">
        <v>4</v>
      </c>
      <c r="AU172" t="n">
        <v>2</v>
      </c>
      <c r="AV172" t="n">
        <v>3</v>
      </c>
      <c r="AW172" t="n">
        <v>3</v>
      </c>
      <c r="AX172" t="n">
        <v>2</v>
      </c>
      <c r="AY172" t="n">
        <v>3</v>
      </c>
      <c r="AZ172" t="n">
        <v>3</v>
      </c>
      <c r="BA172" t="n">
        <v>5</v>
      </c>
      <c r="BB172" t="n">
        <v>2</v>
      </c>
      <c r="BC172" t="n">
        <v>3</v>
      </c>
      <c r="BD172" t="n">
        <v>2</v>
      </c>
      <c r="BE172" t="n">
        <v>3</v>
      </c>
      <c r="BF172" t="n">
        <v>4</v>
      </c>
      <c r="BG172" t="n">
        <v>2</v>
      </c>
      <c r="BH172" t="n">
        <v>4</v>
      </c>
      <c r="BI172" t="n">
        <v>2</v>
      </c>
      <c r="BJ172" t="n">
        <v>4</v>
      </c>
      <c r="BK172" t="n">
        <v>4</v>
      </c>
      <c r="BL172" t="n">
        <v>3</v>
      </c>
      <c r="BM172" t="n">
        <v>5</v>
      </c>
      <c r="BN172" t="n">
        <v>4</v>
      </c>
      <c r="BO172" t="n">
        <v>4</v>
      </c>
      <c r="BP172" t="n">
        <v>3</v>
      </c>
      <c r="BQ172" t="n">
        <v>4</v>
      </c>
      <c r="BR172" t="n">
        <v>4</v>
      </c>
      <c r="BS172" s="56">
        <f>IF(COUNT(N172:W172)&gt;=8,AVERAGE(N172:W172),"")</f>
        <v/>
      </c>
      <c r="BT172" s="56">
        <f>IF(COUNT(X172:AE172)&gt;=7,AVERAGE(X172:AE172),"")</f>
        <v/>
      </c>
      <c r="BU172" s="56">
        <f>IF(COUNT(AF172:AM172)&gt;=7,AVERAGE(AF172:AM172),"")</f>
        <v/>
      </c>
      <c r="BV172" s="56">
        <f>IF(COUNT(AN172:AV172)&gt;=8,AVERAGE(AN172:AV172),"")</f>
        <v/>
      </c>
      <c r="BW172" s="56">
        <f>IF(COUNT(AW172:BD172)&gt;=7,AVERAGE(AW172:BD172),"")</f>
        <v/>
      </c>
      <c r="BX172" s="56">
        <f>IF(COUNT(BE172:BJ172)&gt;=5,AVERAGE(BE172:BJ172),"")</f>
        <v/>
      </c>
      <c r="BY172" s="56">
        <f>IF(COUNT(BK172:BR172)&gt;=7,AVERAGE(BK172:BR172),"")</f>
        <v/>
      </c>
    </row>
    <row r="173">
      <c r="A173" t="inlineStr">
        <is>
          <t>R142</t>
        </is>
      </c>
      <c r="B173" t="inlineStr">
        <is>
          <t>Yes</t>
        </is>
      </c>
      <c r="C173" t="inlineStr">
        <is>
          <t>Yes</t>
        </is>
      </c>
      <c r="D173" t="inlineStr">
        <is>
          <t>Female</t>
        </is>
      </c>
      <c r="E173" t="inlineStr">
        <is>
          <t>45-54</t>
        </is>
      </c>
      <c r="F173" t="inlineStr">
        <is>
          <t>Other</t>
        </is>
      </c>
      <c r="G173" t="inlineStr">
        <is>
          <t>Microfinance bank</t>
        </is>
      </c>
      <c r="H173" t="inlineStr">
        <is>
          <t>Other</t>
        </is>
      </c>
      <c r="I173" t="inlineStr">
        <is>
          <t>11-15</t>
        </is>
      </c>
      <c r="J173" t="inlineStr">
        <is>
          <t>Yes</t>
        </is>
      </c>
      <c r="K173" t="n">
        <v>3</v>
      </c>
      <c r="L173" t="inlineStr">
        <is>
          <t>Yes</t>
        </is>
      </c>
      <c r="M173" t="inlineStr">
        <is>
          <t>Yes</t>
        </is>
      </c>
      <c r="N173" t="n">
        <v>3</v>
      </c>
      <c r="O173" t="n">
        <v>2</v>
      </c>
      <c r="P173" t="n">
        <v>2</v>
      </c>
      <c r="Q173" t="n">
        <v>2</v>
      </c>
      <c r="R173" t="n">
        <v>2</v>
      </c>
      <c r="S173" t="n">
        <v>3</v>
      </c>
      <c r="T173" t="n">
        <v>1</v>
      </c>
      <c r="U173" t="n">
        <v>1</v>
      </c>
      <c r="V173" t="n">
        <v>3</v>
      </c>
      <c r="W173" t="n">
        <v>1</v>
      </c>
      <c r="X173" t="n">
        <v>2</v>
      </c>
      <c r="Y173" t="n">
        <v>2</v>
      </c>
      <c r="Z173" t="n">
        <v>3</v>
      </c>
      <c r="AA173" t="n">
        <v>2</v>
      </c>
      <c r="AB173" t="n">
        <v>2</v>
      </c>
      <c r="AC173" t="n">
        <v>2</v>
      </c>
      <c r="AD173" t="n">
        <v>3</v>
      </c>
      <c r="AE173" t="n">
        <v>3</v>
      </c>
      <c r="AF173" t="n">
        <v>1</v>
      </c>
      <c r="AG173" t="n">
        <v>3</v>
      </c>
      <c r="AH173" t="n">
        <v>2</v>
      </c>
      <c r="AI173" t="n">
        <v>2</v>
      </c>
      <c r="AJ173" t="n">
        <v>2</v>
      </c>
      <c r="AK173" t="n">
        <v>3</v>
      </c>
      <c r="AL173" t="n">
        <v>3</v>
      </c>
      <c r="AM173" t="n">
        <v>2</v>
      </c>
      <c r="AN173" t="n">
        <v>3</v>
      </c>
      <c r="AO173" t="n">
        <v>4</v>
      </c>
      <c r="AP173" t="n">
        <v>5</v>
      </c>
      <c r="AQ173" t="n">
        <v>2</v>
      </c>
      <c r="AR173" t="n">
        <v>5</v>
      </c>
      <c r="AS173" t="n">
        <v>4</v>
      </c>
      <c r="AT173" t="n">
        <v>5</v>
      </c>
      <c r="AU173" t="n">
        <v>3</v>
      </c>
      <c r="AV173" t="n">
        <v>4</v>
      </c>
      <c r="AW173" t="n">
        <v>2</v>
      </c>
      <c r="AX173" t="n">
        <v>2</v>
      </c>
      <c r="AY173" t="n">
        <v>2</v>
      </c>
      <c r="AZ173" t="n">
        <v>2</v>
      </c>
      <c r="BA173" t="n">
        <v>3</v>
      </c>
      <c r="BB173" t="n">
        <v>2</v>
      </c>
      <c r="BC173" t="n">
        <v>3</v>
      </c>
      <c r="BE173" t="n">
        <v>4</v>
      </c>
      <c r="BF173" t="n">
        <v>4</v>
      </c>
      <c r="BG173" t="n">
        <v>2</v>
      </c>
      <c r="BH173" t="n">
        <v>4</v>
      </c>
      <c r="BI173" t="n">
        <v>4</v>
      </c>
      <c r="BJ173" t="n">
        <v>4</v>
      </c>
      <c r="BK173" t="n">
        <v>4</v>
      </c>
      <c r="BL173" t="n">
        <v>3</v>
      </c>
      <c r="BM173" t="n">
        <v>4</v>
      </c>
      <c r="BN173" t="n">
        <v>4</v>
      </c>
      <c r="BO173" t="n">
        <v>4</v>
      </c>
      <c r="BP173" t="n">
        <v>3</v>
      </c>
      <c r="BQ173" t="n">
        <v>4</v>
      </c>
      <c r="BR173" t="n">
        <v>4</v>
      </c>
      <c r="BS173" s="56">
        <f>IF(COUNT(N173:W173)&gt;=8,AVERAGE(N173:W173),"")</f>
        <v/>
      </c>
      <c r="BT173" s="56">
        <f>IF(COUNT(X173:AE173)&gt;=7,AVERAGE(X173:AE173),"")</f>
        <v/>
      </c>
      <c r="BU173" s="56">
        <f>IF(COUNT(AF173:AM173)&gt;=7,AVERAGE(AF173:AM173),"")</f>
        <v/>
      </c>
      <c r="BV173" s="56">
        <f>IF(COUNT(AN173:AV173)&gt;=8,AVERAGE(AN173:AV173),"")</f>
        <v/>
      </c>
      <c r="BW173" s="56">
        <f>IF(COUNT(AW173:BD173)&gt;=7,AVERAGE(AW173:BD173),"")</f>
        <v/>
      </c>
      <c r="BX173" s="56">
        <f>IF(COUNT(BE173:BJ173)&gt;=5,AVERAGE(BE173:BJ173),"")</f>
        <v/>
      </c>
      <c r="BY173" s="56">
        <f>IF(COUNT(BK173:BR173)&gt;=7,AVERAGE(BK173:BR173),"")</f>
        <v/>
      </c>
    </row>
    <row r="174">
      <c r="A174" t="inlineStr">
        <is>
          <t>R143</t>
        </is>
      </c>
      <c r="B174" t="inlineStr">
        <is>
          <t>Yes</t>
        </is>
      </c>
      <c r="C174" t="inlineStr">
        <is>
          <t>Yes</t>
        </is>
      </c>
      <c r="D174" t="inlineStr">
        <is>
          <t>Male</t>
        </is>
      </c>
      <c r="E174" t="inlineStr">
        <is>
          <t>35-44</t>
        </is>
      </c>
      <c r="F174" t="inlineStr">
        <is>
          <t>Bachelor/HND</t>
        </is>
      </c>
      <c r="G174" t="inlineStr">
        <is>
          <t>Fintech/payment provider</t>
        </is>
      </c>
      <c r="H174" t="inlineStr">
        <is>
          <t>Data/Analytics/AI</t>
        </is>
      </c>
      <c r="I174" t="inlineStr">
        <is>
          <t>Less than 2</t>
        </is>
      </c>
      <c r="J174" t="inlineStr">
        <is>
          <t>Yes</t>
        </is>
      </c>
      <c r="K174" t="n">
        <v>4</v>
      </c>
      <c r="L174" t="inlineStr">
        <is>
          <t>No</t>
        </is>
      </c>
      <c r="M174" t="inlineStr">
        <is>
          <t>Yes</t>
        </is>
      </c>
      <c r="N174" t="n">
        <v>3</v>
      </c>
      <c r="O174" t="n">
        <v>3</v>
      </c>
      <c r="P174" t="n">
        <v>4</v>
      </c>
      <c r="Q174" t="n">
        <v>2</v>
      </c>
      <c r="R174" t="n">
        <v>3</v>
      </c>
      <c r="S174" t="n">
        <v>3</v>
      </c>
      <c r="T174" t="n">
        <v>3</v>
      </c>
      <c r="U174" t="n">
        <v>4</v>
      </c>
      <c r="V174" t="n">
        <v>3</v>
      </c>
      <c r="W174" t="n">
        <v>3</v>
      </c>
      <c r="X174" t="n">
        <v>3</v>
      </c>
      <c r="Y174" t="n">
        <v>3</v>
      </c>
      <c r="Z174" t="n">
        <v>4</v>
      </c>
      <c r="AA174" t="n">
        <v>3</v>
      </c>
      <c r="AB174" t="n">
        <v>2</v>
      </c>
      <c r="AC174" t="n">
        <v>2</v>
      </c>
      <c r="AD174" t="n">
        <v>5</v>
      </c>
      <c r="AE174" t="n">
        <v>4</v>
      </c>
      <c r="AF174" t="n">
        <v>3</v>
      </c>
      <c r="AG174" t="n">
        <v>4</v>
      </c>
      <c r="AH174" t="n">
        <v>2</v>
      </c>
      <c r="AI174" t="n">
        <v>4</v>
      </c>
      <c r="AJ174" t="n">
        <v>4</v>
      </c>
      <c r="AK174" t="n">
        <v>5</v>
      </c>
      <c r="AL174" t="n">
        <v>4</v>
      </c>
      <c r="AM174" t="n">
        <v>4</v>
      </c>
      <c r="AN174" t="n">
        <v>4</v>
      </c>
      <c r="AO174" t="n">
        <v>3</v>
      </c>
      <c r="AP174" t="n">
        <v>2</v>
      </c>
      <c r="AQ174" t="n">
        <v>3</v>
      </c>
      <c r="AR174" t="n">
        <v>3</v>
      </c>
      <c r="AS174" t="n">
        <v>3</v>
      </c>
      <c r="AT174" t="n">
        <v>2</v>
      </c>
      <c r="AU174" t="n">
        <v>2</v>
      </c>
      <c r="AV174" t="n">
        <v>3</v>
      </c>
      <c r="AW174" t="n">
        <v>3</v>
      </c>
      <c r="AX174" t="n">
        <v>3</v>
      </c>
      <c r="AY174" t="n">
        <v>3</v>
      </c>
      <c r="AZ174" t="n">
        <v>3</v>
      </c>
      <c r="BA174" t="n">
        <v>5</v>
      </c>
      <c r="BB174" t="n">
        <v>4</v>
      </c>
      <c r="BC174" t="n">
        <v>4</v>
      </c>
      <c r="BD174" t="n">
        <v>4</v>
      </c>
      <c r="BE174" t="n">
        <v>3</v>
      </c>
      <c r="BF174" t="n">
        <v>4</v>
      </c>
      <c r="BG174" t="n">
        <v>4</v>
      </c>
      <c r="BH174" t="n">
        <v>3</v>
      </c>
      <c r="BI174" t="n">
        <v>2</v>
      </c>
      <c r="BJ174" t="n">
        <v>3</v>
      </c>
      <c r="BK174" t="n">
        <v>2</v>
      </c>
      <c r="BL174" t="n">
        <v>1</v>
      </c>
      <c r="BM174" t="n">
        <v>3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s="56">
        <f>IF(COUNT(N174:W174)&gt;=8,AVERAGE(N174:W174),"")</f>
        <v/>
      </c>
      <c r="BT174" s="56">
        <f>IF(COUNT(X174:AE174)&gt;=7,AVERAGE(X174:AE174),"")</f>
        <v/>
      </c>
      <c r="BU174" s="56">
        <f>IF(COUNT(AF174:AM174)&gt;=7,AVERAGE(AF174:AM174),"")</f>
        <v/>
      </c>
      <c r="BV174" s="56">
        <f>IF(COUNT(AN174:AV174)&gt;=8,AVERAGE(AN174:AV174),"")</f>
        <v/>
      </c>
      <c r="BW174" s="56">
        <f>IF(COUNT(AW174:BD174)&gt;=7,AVERAGE(AW174:BD174),"")</f>
        <v/>
      </c>
      <c r="BX174" s="56">
        <f>IF(COUNT(BE174:BJ174)&gt;=5,AVERAGE(BE174:BJ174),"")</f>
        <v/>
      </c>
      <c r="BY174" s="56">
        <f>IF(COUNT(BK174:BR174)&gt;=7,AVERAGE(BK174:BR174),"")</f>
        <v/>
      </c>
    </row>
    <row r="175">
      <c r="A175" t="inlineStr">
        <is>
          <t>R144</t>
        </is>
      </c>
      <c r="B175" t="inlineStr">
        <is>
          <t>Yes</t>
        </is>
      </c>
      <c r="C175" t="inlineStr">
        <is>
          <t>Yes</t>
        </is>
      </c>
      <c r="D175" t="inlineStr">
        <is>
          <t>Male</t>
        </is>
      </c>
      <c r="E175" t="inlineStr">
        <is>
          <t>25-34</t>
        </is>
      </c>
      <c r="F175" t="inlineStr">
        <is>
          <t>Diploma/OND/NCE</t>
        </is>
      </c>
      <c r="G175" t="inlineStr">
        <is>
          <t>Digital bank/neobank</t>
        </is>
      </c>
      <c r="H175" t="inlineStr">
        <is>
          <t>Digital Banking/Product</t>
        </is>
      </c>
      <c r="I175" t="inlineStr">
        <is>
          <t>Less than 2</t>
        </is>
      </c>
      <c r="J175" t="inlineStr">
        <is>
          <t>Yes</t>
        </is>
      </c>
      <c r="K175" t="n">
        <v>2</v>
      </c>
      <c r="L175" t="inlineStr">
        <is>
          <t>Yes</t>
        </is>
      </c>
      <c r="M175" t="inlineStr">
        <is>
          <t>Yes</t>
        </is>
      </c>
      <c r="N175" t="n">
        <v>3</v>
      </c>
      <c r="O175" t="n">
        <v>3</v>
      </c>
      <c r="P175" t="n">
        <v>4</v>
      </c>
      <c r="Q175" t="n">
        <v>3</v>
      </c>
      <c r="R175" t="n">
        <v>2</v>
      </c>
      <c r="S175" t="n">
        <v>3</v>
      </c>
      <c r="T175" t="n">
        <v>2</v>
      </c>
      <c r="U175" t="n">
        <v>4</v>
      </c>
      <c r="V175" t="n">
        <v>4</v>
      </c>
      <c r="W175" t="n">
        <v>3</v>
      </c>
      <c r="X175" t="n">
        <v>4</v>
      </c>
      <c r="Y175" t="n">
        <v>4</v>
      </c>
      <c r="Z175" t="n">
        <v>5</v>
      </c>
      <c r="AA175" t="n">
        <v>3</v>
      </c>
      <c r="AB175" t="n">
        <v>3</v>
      </c>
      <c r="AC175" t="n">
        <v>5</v>
      </c>
      <c r="AE175" t="n">
        <v>4</v>
      </c>
      <c r="AF175" t="n">
        <v>2</v>
      </c>
      <c r="AG175" t="n">
        <v>3</v>
      </c>
      <c r="AH175" t="n">
        <v>2</v>
      </c>
      <c r="AI175" t="n">
        <v>4</v>
      </c>
      <c r="AJ175" t="n">
        <v>3</v>
      </c>
      <c r="AK175" t="n">
        <v>2</v>
      </c>
      <c r="AL175" t="n">
        <v>2</v>
      </c>
      <c r="AM175" t="n">
        <v>2</v>
      </c>
      <c r="AN175" t="n">
        <v>5</v>
      </c>
      <c r="AO175" t="n">
        <v>5</v>
      </c>
      <c r="AP175" t="n">
        <v>3</v>
      </c>
      <c r="AQ175" t="n">
        <v>3</v>
      </c>
      <c r="AR175" t="n">
        <v>5</v>
      </c>
      <c r="AS175" t="n">
        <v>5</v>
      </c>
      <c r="AT175" t="n">
        <v>3</v>
      </c>
      <c r="AU175" t="n">
        <v>4</v>
      </c>
      <c r="AV175" t="n">
        <v>4</v>
      </c>
      <c r="AW175" t="n">
        <v>2</v>
      </c>
      <c r="AX175" t="n">
        <v>2</v>
      </c>
      <c r="AY175" t="n">
        <v>3</v>
      </c>
      <c r="AZ175" t="n">
        <v>1</v>
      </c>
      <c r="BA175" t="n">
        <v>3</v>
      </c>
      <c r="BB175" t="n">
        <v>2</v>
      </c>
      <c r="BC175" t="n">
        <v>3</v>
      </c>
      <c r="BD175" t="n">
        <v>3</v>
      </c>
      <c r="BE175" t="n">
        <v>3</v>
      </c>
      <c r="BF175" t="n">
        <v>4</v>
      </c>
      <c r="BG175" t="n">
        <v>2</v>
      </c>
      <c r="BH175" t="n">
        <v>5</v>
      </c>
      <c r="BI175" t="n">
        <v>3</v>
      </c>
      <c r="BJ175" t="n">
        <v>1</v>
      </c>
      <c r="BK175" t="n">
        <v>4</v>
      </c>
      <c r="BL175" t="n">
        <v>4</v>
      </c>
      <c r="BM175" t="n">
        <v>4</v>
      </c>
      <c r="BN175" t="n">
        <v>3</v>
      </c>
      <c r="BO175" t="n">
        <v>4</v>
      </c>
      <c r="BP175" t="n">
        <v>4</v>
      </c>
      <c r="BQ175" t="n">
        <v>4</v>
      </c>
      <c r="BR175" t="n">
        <v>4</v>
      </c>
      <c r="BS175" s="56">
        <f>IF(COUNT(N175:W175)&gt;=8,AVERAGE(N175:W175),"")</f>
        <v/>
      </c>
      <c r="BT175" s="56">
        <f>IF(COUNT(X175:AE175)&gt;=7,AVERAGE(X175:AE175),"")</f>
        <v/>
      </c>
      <c r="BU175" s="56">
        <f>IF(COUNT(AF175:AM175)&gt;=7,AVERAGE(AF175:AM175),"")</f>
        <v/>
      </c>
      <c r="BV175" s="56">
        <f>IF(COUNT(AN175:AV175)&gt;=8,AVERAGE(AN175:AV175),"")</f>
        <v/>
      </c>
      <c r="BW175" s="56">
        <f>IF(COUNT(AW175:BD175)&gt;=7,AVERAGE(AW175:BD175),"")</f>
        <v/>
      </c>
      <c r="BX175" s="56">
        <f>IF(COUNT(BE175:BJ175)&gt;=5,AVERAGE(BE175:BJ175),"")</f>
        <v/>
      </c>
      <c r="BY175" s="56">
        <f>IF(COUNT(BK175:BR175)&gt;=7,AVERAGE(BK175:BR175),"")</f>
        <v/>
      </c>
    </row>
    <row r="176">
      <c r="A176" t="inlineStr">
        <is>
          <t>R145</t>
        </is>
      </c>
      <c r="B176" t="inlineStr">
        <is>
          <t>Yes</t>
        </is>
      </c>
      <c r="C176" t="inlineStr">
        <is>
          <t>Yes</t>
        </is>
      </c>
      <c r="D176" t="inlineStr">
        <is>
          <t>Male</t>
        </is>
      </c>
      <c r="E176" t="inlineStr">
        <is>
          <t>25-34</t>
        </is>
      </c>
      <c r="F176" t="inlineStr">
        <is>
          <t>Master's</t>
        </is>
      </c>
      <c r="G176" t="inlineStr">
        <is>
          <t>Fintech/payment provider</t>
        </is>
      </c>
      <c r="H176" t="inlineStr">
        <is>
          <t>Other</t>
        </is>
      </c>
      <c r="I176" t="inlineStr">
        <is>
          <t>11-15</t>
        </is>
      </c>
      <c r="J176" t="inlineStr">
        <is>
          <t>Yes</t>
        </is>
      </c>
      <c r="K176" t="n">
        <v>2</v>
      </c>
      <c r="L176" t="inlineStr">
        <is>
          <t>No</t>
        </is>
      </c>
      <c r="M176" t="inlineStr">
        <is>
          <t>Yes</t>
        </is>
      </c>
      <c r="N176" t="n">
        <v>3</v>
      </c>
      <c r="O176" t="n">
        <v>4</v>
      </c>
      <c r="P176" t="n">
        <v>3</v>
      </c>
      <c r="Q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3</v>
      </c>
      <c r="X176" t="n">
        <v>4</v>
      </c>
      <c r="Y176" t="n">
        <v>5</v>
      </c>
      <c r="Z176" t="n">
        <v>4</v>
      </c>
      <c r="AA176" t="n">
        <v>2</v>
      </c>
      <c r="AB176" t="n">
        <v>3</v>
      </c>
      <c r="AC176" t="n">
        <v>3</v>
      </c>
      <c r="AD176" t="n">
        <v>4</v>
      </c>
      <c r="AE176" t="n">
        <v>5</v>
      </c>
      <c r="AF176" t="n">
        <v>5</v>
      </c>
      <c r="AG176" t="n">
        <v>5</v>
      </c>
      <c r="AH176" t="n">
        <v>4</v>
      </c>
      <c r="AI176" t="n">
        <v>5</v>
      </c>
      <c r="AJ176" t="n">
        <v>5</v>
      </c>
      <c r="AK176" t="n">
        <v>5</v>
      </c>
      <c r="AL176" t="n">
        <v>5</v>
      </c>
      <c r="AM176" t="n">
        <v>5</v>
      </c>
      <c r="AN176" t="n">
        <v>4</v>
      </c>
      <c r="AO176" t="n">
        <v>3</v>
      </c>
      <c r="AP176" t="n">
        <v>4</v>
      </c>
      <c r="AQ176" t="n">
        <v>3</v>
      </c>
      <c r="AR176" t="n">
        <v>4</v>
      </c>
      <c r="AS176" t="n">
        <v>4</v>
      </c>
      <c r="AT176" t="n">
        <v>4</v>
      </c>
      <c r="AU176" t="n">
        <v>4</v>
      </c>
      <c r="AV176" t="n">
        <v>4</v>
      </c>
      <c r="AW176" t="n">
        <v>5</v>
      </c>
      <c r="AX176" t="n">
        <v>4</v>
      </c>
      <c r="AY176" t="n">
        <v>4</v>
      </c>
      <c r="AZ176" t="n">
        <v>4</v>
      </c>
      <c r="BA176" t="n">
        <v>4</v>
      </c>
      <c r="BB176" t="n">
        <v>5</v>
      </c>
      <c r="BC176" t="n">
        <v>3</v>
      </c>
      <c r="BD176" t="n">
        <v>3</v>
      </c>
      <c r="BE176" t="n">
        <v>3</v>
      </c>
      <c r="BF176" t="n">
        <v>3</v>
      </c>
      <c r="BG176" t="n">
        <v>3</v>
      </c>
      <c r="BH176" t="n">
        <v>4</v>
      </c>
      <c r="BI176" t="n">
        <v>3</v>
      </c>
      <c r="BJ176" t="n">
        <v>2</v>
      </c>
      <c r="BK176" t="n">
        <v>3</v>
      </c>
      <c r="BL176" t="n">
        <v>4</v>
      </c>
      <c r="BM176" t="n">
        <v>4</v>
      </c>
      <c r="BN176" t="n">
        <v>4</v>
      </c>
      <c r="BO176" t="n">
        <v>3</v>
      </c>
      <c r="BP176" t="n">
        <v>3</v>
      </c>
      <c r="BQ176" t="n">
        <v>4</v>
      </c>
      <c r="BR176" t="n">
        <v>3</v>
      </c>
      <c r="BS176" s="56">
        <f>IF(COUNT(N176:W176)&gt;=8,AVERAGE(N176:W176),"")</f>
        <v/>
      </c>
      <c r="BT176" s="56">
        <f>IF(COUNT(X176:AE176)&gt;=7,AVERAGE(X176:AE176),"")</f>
        <v/>
      </c>
      <c r="BU176" s="56">
        <f>IF(COUNT(AF176:AM176)&gt;=7,AVERAGE(AF176:AM176),"")</f>
        <v/>
      </c>
      <c r="BV176" s="56">
        <f>IF(COUNT(AN176:AV176)&gt;=8,AVERAGE(AN176:AV176),"")</f>
        <v/>
      </c>
      <c r="BW176" s="56">
        <f>IF(COUNT(AW176:BD176)&gt;=7,AVERAGE(AW176:BD176),"")</f>
        <v/>
      </c>
      <c r="BX176" s="56">
        <f>IF(COUNT(BE176:BJ176)&gt;=5,AVERAGE(BE176:BJ176),"")</f>
        <v/>
      </c>
      <c r="BY176" s="56">
        <f>IF(COUNT(BK176:BR176)&gt;=7,AVERAGE(BK176:BR176),"")</f>
        <v/>
      </c>
    </row>
    <row r="177">
      <c r="A177" t="inlineStr">
        <is>
          <t>R146</t>
        </is>
      </c>
      <c r="B177" t="inlineStr">
        <is>
          <t>Yes</t>
        </is>
      </c>
      <c r="C177" t="inlineStr">
        <is>
          <t>Yes</t>
        </is>
      </c>
      <c r="D177" t="inlineStr">
        <is>
          <t>Male</t>
        </is>
      </c>
      <c r="E177" t="inlineStr">
        <is>
          <t>25-34</t>
        </is>
      </c>
      <c r="F177" t="inlineStr">
        <is>
          <t>Doctorate</t>
        </is>
      </c>
      <c r="G177" t="inlineStr">
        <is>
          <t>Insurance/investment/other licensed financial institution</t>
        </is>
      </c>
      <c r="H177" t="inlineStr">
        <is>
          <t>Risk/Compliance</t>
        </is>
      </c>
      <c r="I177" t="inlineStr">
        <is>
          <t>Less than 2</t>
        </is>
      </c>
      <c r="J177" t="inlineStr">
        <is>
          <t>Yes</t>
        </is>
      </c>
      <c r="K177" t="n">
        <v>2</v>
      </c>
      <c r="L177" t="inlineStr">
        <is>
          <t>Yes</t>
        </is>
      </c>
      <c r="M177" t="inlineStr">
        <is>
          <t>Yes</t>
        </is>
      </c>
      <c r="N177" t="n">
        <v>2</v>
      </c>
      <c r="O177" t="n">
        <v>3</v>
      </c>
      <c r="P177" t="n">
        <v>4</v>
      </c>
      <c r="Q177" t="n">
        <v>4</v>
      </c>
      <c r="R177" t="n">
        <v>1</v>
      </c>
      <c r="S177" t="n">
        <v>3</v>
      </c>
      <c r="T177" t="n">
        <v>2</v>
      </c>
      <c r="U177" t="n">
        <v>2</v>
      </c>
      <c r="V177" t="n">
        <v>3</v>
      </c>
      <c r="W177" t="n">
        <v>2</v>
      </c>
      <c r="X177" t="n">
        <v>3</v>
      </c>
      <c r="Y177" t="n">
        <v>2</v>
      </c>
      <c r="Z177" t="n">
        <v>2</v>
      </c>
      <c r="AA177" t="n">
        <v>1</v>
      </c>
      <c r="AB177" t="n">
        <v>1</v>
      </c>
      <c r="AC177" t="n">
        <v>2</v>
      </c>
      <c r="AD177" t="n">
        <v>3</v>
      </c>
      <c r="AE177" t="n">
        <v>1</v>
      </c>
      <c r="AF177" t="n">
        <v>1</v>
      </c>
      <c r="AG177" t="n">
        <v>2</v>
      </c>
      <c r="AH177" t="n">
        <v>2</v>
      </c>
      <c r="AI177" t="n">
        <v>2</v>
      </c>
      <c r="AJ177" t="n">
        <v>2</v>
      </c>
      <c r="AK177" t="n">
        <v>2</v>
      </c>
      <c r="AL177" t="n">
        <v>2</v>
      </c>
      <c r="AM177" t="n">
        <v>2</v>
      </c>
      <c r="AN177" t="n">
        <v>3</v>
      </c>
      <c r="AO177" t="n">
        <v>2</v>
      </c>
      <c r="AP177" t="n">
        <v>3</v>
      </c>
      <c r="AQ177" t="n">
        <v>2</v>
      </c>
      <c r="AR177" t="n">
        <v>3</v>
      </c>
      <c r="AS177" t="n">
        <v>2</v>
      </c>
      <c r="AT177" t="n">
        <v>3</v>
      </c>
      <c r="AU177" t="n">
        <v>2</v>
      </c>
      <c r="AV177" t="n">
        <v>2</v>
      </c>
      <c r="AW177" t="n">
        <v>2</v>
      </c>
      <c r="AX177" t="n">
        <v>1</v>
      </c>
      <c r="AY177" t="n">
        <v>1</v>
      </c>
      <c r="AZ177" t="n">
        <v>1</v>
      </c>
      <c r="BA177" t="n">
        <v>3</v>
      </c>
      <c r="BB177" t="n">
        <v>3</v>
      </c>
      <c r="BC177" t="n">
        <v>1</v>
      </c>
      <c r="BD177" t="n">
        <v>1</v>
      </c>
      <c r="BE177" t="n">
        <v>2</v>
      </c>
      <c r="BF177" t="n">
        <v>3</v>
      </c>
      <c r="BG177" t="n">
        <v>2</v>
      </c>
      <c r="BH177" t="n">
        <v>3</v>
      </c>
      <c r="BI177" t="n">
        <v>3</v>
      </c>
      <c r="BJ177" t="n">
        <v>3</v>
      </c>
      <c r="BK177" t="n">
        <v>2</v>
      </c>
      <c r="BL177" t="n">
        <v>3</v>
      </c>
      <c r="BM177" t="n">
        <v>4</v>
      </c>
      <c r="BN177" t="n">
        <v>1</v>
      </c>
      <c r="BO177" t="n">
        <v>3</v>
      </c>
      <c r="BP177" t="n">
        <v>2</v>
      </c>
      <c r="BQ177" t="n">
        <v>4</v>
      </c>
      <c r="BR177" t="n">
        <v>3</v>
      </c>
      <c r="BS177" s="56">
        <f>IF(COUNT(N177:W177)&gt;=8,AVERAGE(N177:W177),"")</f>
        <v/>
      </c>
      <c r="BT177" s="56">
        <f>IF(COUNT(X177:AE177)&gt;=7,AVERAGE(X177:AE177),"")</f>
        <v/>
      </c>
      <c r="BU177" s="56">
        <f>IF(COUNT(AF177:AM177)&gt;=7,AVERAGE(AF177:AM177),"")</f>
        <v/>
      </c>
      <c r="BV177" s="56">
        <f>IF(COUNT(AN177:AV177)&gt;=8,AVERAGE(AN177:AV177),"")</f>
        <v/>
      </c>
      <c r="BW177" s="56">
        <f>IF(COUNT(AW177:BD177)&gt;=7,AVERAGE(AW177:BD177),"")</f>
        <v/>
      </c>
      <c r="BX177" s="56">
        <f>IF(COUNT(BE177:BJ177)&gt;=5,AVERAGE(BE177:BJ177),"")</f>
        <v/>
      </c>
      <c r="BY177" s="56">
        <f>IF(COUNT(BK177:BR177)&gt;=7,AVERAGE(BK177:BR177),"")</f>
        <v/>
      </c>
    </row>
    <row r="178">
      <c r="A178" t="inlineStr">
        <is>
          <t>R147</t>
        </is>
      </c>
      <c r="B178" t="inlineStr">
        <is>
          <t>Yes</t>
        </is>
      </c>
      <c r="C178" t="inlineStr">
        <is>
          <t>Yes</t>
        </is>
      </c>
      <c r="D178" t="inlineStr">
        <is>
          <t>Female</t>
        </is>
      </c>
      <c r="E178" t="inlineStr">
        <is>
          <t>25-34</t>
        </is>
      </c>
      <c r="F178" t="inlineStr">
        <is>
          <t>Master's</t>
        </is>
      </c>
      <c r="G178" t="inlineStr">
        <is>
          <t>Merchant bank</t>
        </is>
      </c>
      <c r="H178" t="inlineStr">
        <is>
          <t>IT/Technology</t>
        </is>
      </c>
      <c r="I178" t="inlineStr">
        <is>
          <t>Less than 2</t>
        </is>
      </c>
      <c r="J178" t="inlineStr">
        <is>
          <t>Yes</t>
        </is>
      </c>
      <c r="K178" t="n">
        <v>3</v>
      </c>
      <c r="L178" t="inlineStr">
        <is>
          <t>Yes</t>
        </is>
      </c>
      <c r="M178" t="inlineStr">
        <is>
          <t>Yes</t>
        </is>
      </c>
      <c r="N178" t="n">
        <v>3</v>
      </c>
      <c r="O178" t="n">
        <v>3</v>
      </c>
      <c r="P178" t="n">
        <v>5</v>
      </c>
      <c r="Q178" t="n">
        <v>3</v>
      </c>
      <c r="R178" t="n">
        <v>4</v>
      </c>
      <c r="S178" t="n">
        <v>3</v>
      </c>
      <c r="T178" t="n">
        <v>4</v>
      </c>
      <c r="U178" t="n">
        <v>4</v>
      </c>
      <c r="V178" t="n">
        <v>4</v>
      </c>
      <c r="W178" t="n">
        <v>4</v>
      </c>
      <c r="Y178" t="n">
        <v>4</v>
      </c>
      <c r="Z178" t="n">
        <v>4</v>
      </c>
      <c r="AA178" t="n">
        <v>2</v>
      </c>
      <c r="AB178" t="n">
        <v>3</v>
      </c>
      <c r="AC178" t="n">
        <v>4</v>
      </c>
      <c r="AD178" t="n">
        <v>4</v>
      </c>
      <c r="AE178" t="n">
        <v>2</v>
      </c>
      <c r="AF178" t="n">
        <v>3</v>
      </c>
      <c r="AG178" t="n">
        <v>4</v>
      </c>
      <c r="AH178" t="n">
        <v>3</v>
      </c>
      <c r="AI178" t="n">
        <v>4</v>
      </c>
      <c r="AJ178" t="n">
        <v>3</v>
      </c>
      <c r="AK178" t="n">
        <v>4</v>
      </c>
      <c r="AL178" t="n">
        <v>3</v>
      </c>
      <c r="AN178" t="n">
        <v>4</v>
      </c>
      <c r="AO178" t="n">
        <v>3</v>
      </c>
      <c r="AP178" t="n">
        <v>3</v>
      </c>
      <c r="AQ178" t="n">
        <v>1</v>
      </c>
      <c r="AR178" t="n">
        <v>4</v>
      </c>
      <c r="AS178" t="n">
        <v>4</v>
      </c>
      <c r="AT178" t="n">
        <v>3</v>
      </c>
      <c r="AU178" t="n">
        <v>3</v>
      </c>
      <c r="AV178" t="n">
        <v>3</v>
      </c>
      <c r="AW178" t="n">
        <v>2</v>
      </c>
      <c r="AX178" t="n">
        <v>2</v>
      </c>
      <c r="AY178" t="n">
        <v>2</v>
      </c>
      <c r="AZ178" t="n">
        <v>2</v>
      </c>
      <c r="BA178" t="n">
        <v>3</v>
      </c>
      <c r="BB178" t="n">
        <v>2</v>
      </c>
      <c r="BC178" t="n">
        <v>3</v>
      </c>
      <c r="BD178" t="n">
        <v>2</v>
      </c>
      <c r="BE178" t="n">
        <v>4</v>
      </c>
      <c r="BF178" t="n">
        <v>5</v>
      </c>
      <c r="BG178" t="n">
        <v>3</v>
      </c>
      <c r="BH178" t="n">
        <v>4</v>
      </c>
      <c r="BI178" t="n">
        <v>4</v>
      </c>
      <c r="BJ178" t="n">
        <v>3</v>
      </c>
      <c r="BK178" t="n">
        <v>2</v>
      </c>
      <c r="BL178" t="n">
        <v>3</v>
      </c>
      <c r="BM178" t="n">
        <v>3</v>
      </c>
      <c r="BN178" t="n">
        <v>3</v>
      </c>
      <c r="BO178" t="n">
        <v>3</v>
      </c>
      <c r="BP178" t="n">
        <v>2</v>
      </c>
      <c r="BQ178" t="n">
        <v>3</v>
      </c>
      <c r="BR178" t="n">
        <v>3</v>
      </c>
      <c r="BS178" s="56">
        <f>IF(COUNT(N178:W178)&gt;=8,AVERAGE(N178:W178),"")</f>
        <v/>
      </c>
      <c r="BT178" s="56">
        <f>IF(COUNT(X178:AE178)&gt;=7,AVERAGE(X178:AE178),"")</f>
        <v/>
      </c>
      <c r="BU178" s="56">
        <f>IF(COUNT(AF178:AM178)&gt;=7,AVERAGE(AF178:AM178),"")</f>
        <v/>
      </c>
      <c r="BV178" s="56">
        <f>IF(COUNT(AN178:AV178)&gt;=8,AVERAGE(AN178:AV178),"")</f>
        <v/>
      </c>
      <c r="BW178" s="56">
        <f>IF(COUNT(AW178:BD178)&gt;=7,AVERAGE(AW178:BD178),"")</f>
        <v/>
      </c>
      <c r="BX178" s="56">
        <f>IF(COUNT(BE178:BJ178)&gt;=5,AVERAGE(BE178:BJ178),"")</f>
        <v/>
      </c>
      <c r="BY178" s="56">
        <f>IF(COUNT(BK178:BR178)&gt;=7,AVERAGE(BK178:BR178),"")</f>
        <v/>
      </c>
    </row>
    <row r="179">
      <c r="A179" t="inlineStr">
        <is>
          <t>R148</t>
        </is>
      </c>
      <c r="B179" t="inlineStr">
        <is>
          <t>Yes</t>
        </is>
      </c>
      <c r="C179" t="inlineStr">
        <is>
          <t>Yes</t>
        </is>
      </c>
      <c r="D179" t="inlineStr">
        <is>
          <t>Male</t>
        </is>
      </c>
      <c r="E179" t="inlineStr">
        <is>
          <t>55 or above</t>
        </is>
      </c>
      <c r="F179" t="inlineStr">
        <is>
          <t>Master's</t>
        </is>
      </c>
      <c r="G179" t="inlineStr">
        <is>
          <t>Commercial bank</t>
        </is>
      </c>
      <c r="H179" t="inlineStr">
        <is>
          <t>Data/Analytics/AI</t>
        </is>
      </c>
      <c r="I179" t="inlineStr">
        <is>
          <t>6-10</t>
        </is>
      </c>
      <c r="J179" t="inlineStr">
        <is>
          <t>Yes</t>
        </is>
      </c>
      <c r="K179" t="n">
        <v>1</v>
      </c>
      <c r="L179" t="inlineStr">
        <is>
          <t>No</t>
        </is>
      </c>
      <c r="M179" t="inlineStr">
        <is>
          <t>Yes</t>
        </is>
      </c>
      <c r="N179" t="n">
        <v>3</v>
      </c>
      <c r="O179" t="n">
        <v>2</v>
      </c>
      <c r="P179" t="n">
        <v>3</v>
      </c>
      <c r="Q179" t="n">
        <v>2</v>
      </c>
      <c r="R179" t="n">
        <v>3</v>
      </c>
      <c r="S179" t="n">
        <v>5</v>
      </c>
      <c r="T179" t="n">
        <v>3</v>
      </c>
      <c r="U179" t="n">
        <v>3</v>
      </c>
      <c r="V179" t="n">
        <v>4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3</v>
      </c>
      <c r="AC179" t="n">
        <v>3</v>
      </c>
      <c r="AD179" t="n">
        <v>3</v>
      </c>
      <c r="AE179" t="n">
        <v>4</v>
      </c>
      <c r="AF179" t="n">
        <v>2</v>
      </c>
      <c r="AG179" t="n">
        <v>5</v>
      </c>
      <c r="AH179" t="n">
        <v>3</v>
      </c>
      <c r="AI179" t="n">
        <v>4</v>
      </c>
      <c r="AJ179" t="n">
        <v>4</v>
      </c>
      <c r="AK179" t="n">
        <v>4</v>
      </c>
      <c r="AL179" t="n">
        <v>5</v>
      </c>
      <c r="AM179" t="n">
        <v>3</v>
      </c>
      <c r="AN179" t="n">
        <v>3</v>
      </c>
      <c r="AO179" t="n">
        <v>1</v>
      </c>
      <c r="AP179" t="n">
        <v>3</v>
      </c>
      <c r="AQ179" t="n">
        <v>2</v>
      </c>
      <c r="AS179" t="n">
        <v>3</v>
      </c>
      <c r="AT179" t="n">
        <v>3</v>
      </c>
      <c r="AU179" t="n">
        <v>3</v>
      </c>
      <c r="AV179" t="n">
        <v>3</v>
      </c>
      <c r="AW179" t="n">
        <v>2</v>
      </c>
      <c r="AX179" t="n">
        <v>2</v>
      </c>
      <c r="AY179" t="n">
        <v>2</v>
      </c>
      <c r="AZ179" t="n">
        <v>3</v>
      </c>
      <c r="BA179" t="n">
        <v>2</v>
      </c>
      <c r="BB179" t="n">
        <v>1</v>
      </c>
      <c r="BC179" t="n">
        <v>3</v>
      </c>
      <c r="BD179" t="n">
        <v>2</v>
      </c>
      <c r="BE179" t="n">
        <v>3</v>
      </c>
      <c r="BF179" t="n">
        <v>4</v>
      </c>
      <c r="BG179" t="n">
        <v>3</v>
      </c>
      <c r="BH179" t="n">
        <v>4</v>
      </c>
      <c r="BI179" t="n">
        <v>3</v>
      </c>
      <c r="BJ179" t="n">
        <v>3</v>
      </c>
      <c r="BK179" t="n">
        <v>4</v>
      </c>
      <c r="BL179" t="n">
        <v>4</v>
      </c>
      <c r="BM179" t="n">
        <v>4</v>
      </c>
      <c r="BN179" t="n">
        <v>3</v>
      </c>
      <c r="BO179" t="n">
        <v>5</v>
      </c>
      <c r="BP179" t="n">
        <v>4</v>
      </c>
      <c r="BQ179" t="n">
        <v>2</v>
      </c>
      <c r="BR179" t="n">
        <v>3</v>
      </c>
      <c r="BS179" s="56">
        <f>IF(COUNT(N179:W179)&gt;=8,AVERAGE(N179:W179),"")</f>
        <v/>
      </c>
      <c r="BT179" s="56">
        <f>IF(COUNT(X179:AE179)&gt;=7,AVERAGE(X179:AE179),"")</f>
        <v/>
      </c>
      <c r="BU179" s="56">
        <f>IF(COUNT(AF179:AM179)&gt;=7,AVERAGE(AF179:AM179),"")</f>
        <v/>
      </c>
      <c r="BV179" s="56">
        <f>IF(COUNT(AN179:AV179)&gt;=8,AVERAGE(AN179:AV179),"")</f>
        <v/>
      </c>
      <c r="BW179" s="56">
        <f>IF(COUNT(AW179:BD179)&gt;=7,AVERAGE(AW179:BD179),"")</f>
        <v/>
      </c>
      <c r="BX179" s="56">
        <f>IF(COUNT(BE179:BJ179)&gt;=5,AVERAGE(BE179:BJ179),"")</f>
        <v/>
      </c>
      <c r="BY179" s="56">
        <f>IF(COUNT(BK179:BR179)&gt;=7,AVERAGE(BK179:BR179),"")</f>
        <v/>
      </c>
    </row>
    <row r="180">
      <c r="A180" t="inlineStr">
        <is>
          <t>R149</t>
        </is>
      </c>
      <c r="B180" t="inlineStr">
        <is>
          <t>Yes</t>
        </is>
      </c>
      <c r="C180" t="inlineStr">
        <is>
          <t>Yes</t>
        </is>
      </c>
      <c r="D180" t="inlineStr">
        <is>
          <t>Male</t>
        </is>
      </c>
      <c r="E180" t="inlineStr">
        <is>
          <t>35-44</t>
        </is>
      </c>
      <c r="F180" t="inlineStr">
        <is>
          <t>Bachelor/HND</t>
        </is>
      </c>
      <c r="G180" t="inlineStr">
        <is>
          <t>Digital bank/neobank</t>
        </is>
      </c>
      <c r="H180" t="inlineStr">
        <is>
          <t>Management/Strategy</t>
        </is>
      </c>
      <c r="I180" t="inlineStr">
        <is>
          <t>2-5</t>
        </is>
      </c>
      <c r="J180" t="inlineStr">
        <is>
          <t>Yes</t>
        </is>
      </c>
      <c r="K180" t="n">
        <v>0</v>
      </c>
      <c r="L180" t="inlineStr">
        <is>
          <t>No</t>
        </is>
      </c>
      <c r="M180" t="inlineStr">
        <is>
          <t>Yes</t>
        </is>
      </c>
      <c r="N180" t="n">
        <v>4</v>
      </c>
      <c r="O180" t="n">
        <v>2</v>
      </c>
      <c r="P180" t="n">
        <v>4</v>
      </c>
      <c r="Q180" t="n">
        <v>3</v>
      </c>
      <c r="R180" t="n">
        <v>4</v>
      </c>
      <c r="S180" t="n">
        <v>4</v>
      </c>
      <c r="T180" t="n">
        <v>4</v>
      </c>
      <c r="U180" t="n">
        <v>3</v>
      </c>
      <c r="V180" t="n">
        <v>4</v>
      </c>
      <c r="W180" t="n">
        <v>4</v>
      </c>
      <c r="X180" t="n">
        <v>2</v>
      </c>
      <c r="Y180" t="n">
        <v>1</v>
      </c>
      <c r="Z180" t="n">
        <v>2</v>
      </c>
      <c r="AA180" t="n">
        <v>2</v>
      </c>
      <c r="AB180" t="n">
        <v>1</v>
      </c>
      <c r="AC180" t="n">
        <v>2</v>
      </c>
      <c r="AD180" t="n">
        <v>2</v>
      </c>
      <c r="AE180" t="n">
        <v>1</v>
      </c>
      <c r="AF180" t="n">
        <v>1</v>
      </c>
      <c r="AH180" t="n">
        <v>3</v>
      </c>
      <c r="AI180" t="n">
        <v>2</v>
      </c>
      <c r="AJ180" t="n">
        <v>2</v>
      </c>
      <c r="AK180" t="n">
        <v>3</v>
      </c>
      <c r="AL180" t="n">
        <v>2</v>
      </c>
      <c r="AM180" t="n">
        <v>2</v>
      </c>
      <c r="AN180" t="n">
        <v>3</v>
      </c>
      <c r="AO180" t="n">
        <v>1</v>
      </c>
      <c r="AP180" t="n">
        <v>3</v>
      </c>
      <c r="AQ180" t="n">
        <v>1</v>
      </c>
      <c r="AR180" t="n">
        <v>2</v>
      </c>
      <c r="AS180" t="n">
        <v>2</v>
      </c>
      <c r="AT180" t="n">
        <v>1</v>
      </c>
      <c r="AU180" t="n">
        <v>2</v>
      </c>
      <c r="AV180" t="n">
        <v>3</v>
      </c>
      <c r="AW180" t="n">
        <v>2</v>
      </c>
      <c r="AX180" t="n">
        <v>2</v>
      </c>
      <c r="AY180" t="n">
        <v>3</v>
      </c>
      <c r="AZ180" t="n">
        <v>1</v>
      </c>
      <c r="BA180" t="n">
        <v>2</v>
      </c>
      <c r="BB180" t="n">
        <v>3</v>
      </c>
      <c r="BC180" t="n">
        <v>2</v>
      </c>
      <c r="BD180" t="n">
        <v>2</v>
      </c>
      <c r="BE180" t="n">
        <v>3</v>
      </c>
      <c r="BF180" t="n">
        <v>3</v>
      </c>
      <c r="BG180" t="n">
        <v>1</v>
      </c>
      <c r="BH180" t="n">
        <v>1</v>
      </c>
      <c r="BI180" t="n">
        <v>1</v>
      </c>
      <c r="BJ180" t="n">
        <v>2</v>
      </c>
      <c r="BK180" t="n">
        <v>4</v>
      </c>
      <c r="BL180" t="n">
        <v>2</v>
      </c>
      <c r="BM180" t="n">
        <v>3</v>
      </c>
      <c r="BN180" t="n">
        <v>3</v>
      </c>
      <c r="BO180" t="n">
        <v>3</v>
      </c>
      <c r="BP180" t="n">
        <v>3</v>
      </c>
      <c r="BQ180" t="n">
        <v>4</v>
      </c>
      <c r="BR180" t="n">
        <v>3</v>
      </c>
      <c r="BS180" s="56">
        <f>IF(COUNT(N180:W180)&gt;=8,AVERAGE(N180:W180),"")</f>
        <v/>
      </c>
      <c r="BT180" s="56">
        <f>IF(COUNT(X180:AE180)&gt;=7,AVERAGE(X180:AE180),"")</f>
        <v/>
      </c>
      <c r="BU180" s="56">
        <f>IF(COUNT(AF180:AM180)&gt;=7,AVERAGE(AF180:AM180),"")</f>
        <v/>
      </c>
      <c r="BV180" s="56">
        <f>IF(COUNT(AN180:AV180)&gt;=8,AVERAGE(AN180:AV180),"")</f>
        <v/>
      </c>
      <c r="BW180" s="56">
        <f>IF(COUNT(AW180:BD180)&gt;=7,AVERAGE(AW180:BD180),"")</f>
        <v/>
      </c>
      <c r="BX180" s="56">
        <f>IF(COUNT(BE180:BJ180)&gt;=5,AVERAGE(BE180:BJ180),"")</f>
        <v/>
      </c>
      <c r="BY180" s="56">
        <f>IF(COUNT(BK180:BR180)&gt;=7,AVERAGE(BK180:BR180),"")</f>
        <v/>
      </c>
    </row>
    <row r="181">
      <c r="A181" t="inlineStr">
        <is>
          <t>R150</t>
        </is>
      </c>
      <c r="B181" t="inlineStr">
        <is>
          <t>Yes</t>
        </is>
      </c>
      <c r="C181" t="inlineStr">
        <is>
          <t>Yes</t>
        </is>
      </c>
      <c r="D181" t="inlineStr">
        <is>
          <t>Female</t>
        </is>
      </c>
      <c r="E181" t="inlineStr">
        <is>
          <t>25-34</t>
        </is>
      </c>
      <c r="F181" t="inlineStr">
        <is>
          <t>Diploma/OND/NCE</t>
        </is>
      </c>
      <c r="G181" t="inlineStr">
        <is>
          <t>Commercial bank</t>
        </is>
      </c>
      <c r="H181" t="inlineStr">
        <is>
          <t>Digital Banking/Product</t>
        </is>
      </c>
      <c r="I181" t="inlineStr">
        <is>
          <t>Less than 2</t>
        </is>
      </c>
      <c r="J181" t="inlineStr">
        <is>
          <t>Yes</t>
        </is>
      </c>
      <c r="K181" t="n">
        <v>2</v>
      </c>
      <c r="L181" t="inlineStr">
        <is>
          <t>No</t>
        </is>
      </c>
      <c r="M181" t="inlineStr">
        <is>
          <t>Yes</t>
        </is>
      </c>
      <c r="N181" t="n">
        <v>2</v>
      </c>
      <c r="P181" t="n">
        <v>2</v>
      </c>
      <c r="Q181" t="n">
        <v>2</v>
      </c>
      <c r="R181" t="n">
        <v>3</v>
      </c>
      <c r="S181" t="n">
        <v>2</v>
      </c>
      <c r="T181" t="n">
        <v>2</v>
      </c>
      <c r="U181" t="n">
        <v>2</v>
      </c>
      <c r="V181" t="n">
        <v>3</v>
      </c>
      <c r="W181" t="n">
        <v>1</v>
      </c>
      <c r="X181" t="n">
        <v>1</v>
      </c>
      <c r="Y181" t="n">
        <v>2</v>
      </c>
      <c r="Z181" t="n">
        <v>2</v>
      </c>
      <c r="AA181" t="n">
        <v>2</v>
      </c>
      <c r="AB181" t="n">
        <v>1</v>
      </c>
      <c r="AC181" t="n">
        <v>2</v>
      </c>
      <c r="AD181" t="n">
        <v>2</v>
      </c>
      <c r="AE181" t="n">
        <v>3</v>
      </c>
      <c r="AF181" t="n">
        <v>2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3</v>
      </c>
      <c r="AO181" t="n">
        <v>3</v>
      </c>
      <c r="AP181" t="n">
        <v>2</v>
      </c>
      <c r="AQ181" t="n">
        <v>2</v>
      </c>
      <c r="AR181" t="n">
        <v>4</v>
      </c>
      <c r="AS181" t="n">
        <v>1</v>
      </c>
      <c r="AT181" t="n">
        <v>3</v>
      </c>
      <c r="AU181" t="n">
        <v>2</v>
      </c>
      <c r="AV181" t="n">
        <v>4</v>
      </c>
      <c r="AW181" t="n">
        <v>3</v>
      </c>
      <c r="AX181" t="n">
        <v>2</v>
      </c>
      <c r="AY181" t="n">
        <v>2</v>
      </c>
      <c r="AZ181" t="n">
        <v>1</v>
      </c>
      <c r="BA181" t="n">
        <v>4</v>
      </c>
      <c r="BB181" t="n">
        <v>2</v>
      </c>
      <c r="BC181" t="n">
        <v>2</v>
      </c>
      <c r="BD181" t="n">
        <v>3</v>
      </c>
      <c r="BE181" t="n">
        <v>2</v>
      </c>
      <c r="BF181" t="n">
        <v>3</v>
      </c>
      <c r="BG181" t="n">
        <v>2</v>
      </c>
      <c r="BH181" t="n">
        <v>3</v>
      </c>
      <c r="BI181" t="n">
        <v>4</v>
      </c>
      <c r="BJ181" t="n">
        <v>2</v>
      </c>
      <c r="BK181" t="n">
        <v>2</v>
      </c>
      <c r="BL181" t="n">
        <v>2</v>
      </c>
      <c r="BM181" t="n">
        <v>2</v>
      </c>
      <c r="BN181" t="n">
        <v>3</v>
      </c>
      <c r="BO181" t="n">
        <v>3</v>
      </c>
      <c r="BP181" t="n">
        <v>3</v>
      </c>
      <c r="BQ181" t="n">
        <v>3</v>
      </c>
      <c r="BR181" t="n">
        <v>2</v>
      </c>
      <c r="BS181" s="56">
        <f>IF(COUNT(N181:W181)&gt;=8,AVERAGE(N181:W181),"")</f>
        <v/>
      </c>
      <c r="BT181" s="56">
        <f>IF(COUNT(X181:AE181)&gt;=7,AVERAGE(X181:AE181),"")</f>
        <v/>
      </c>
      <c r="BU181" s="56">
        <f>IF(COUNT(AF181:AM181)&gt;=7,AVERAGE(AF181:AM181),"")</f>
        <v/>
      </c>
      <c r="BV181" s="56">
        <f>IF(COUNT(AN181:AV181)&gt;=8,AVERAGE(AN181:AV181),"")</f>
        <v/>
      </c>
      <c r="BW181" s="56">
        <f>IF(COUNT(AW181:BD181)&gt;=7,AVERAGE(AW181:BD181),"")</f>
        <v/>
      </c>
      <c r="BX181" s="56">
        <f>IF(COUNT(BE181:BJ181)&gt;=5,AVERAGE(BE181:BJ181),"")</f>
        <v/>
      </c>
      <c r="BY181" s="56">
        <f>IF(COUNT(BK181:BR181)&gt;=7,AVERAGE(BK181:BR181),"")</f>
        <v/>
      </c>
    </row>
    <row r="182">
      <c r="A182" t="inlineStr">
        <is>
          <t>R151</t>
        </is>
      </c>
      <c r="B182" t="inlineStr">
        <is>
          <t>Yes</t>
        </is>
      </c>
      <c r="C182" t="inlineStr">
        <is>
          <t>Yes</t>
        </is>
      </c>
      <c r="D182" t="inlineStr">
        <is>
          <t>Female</t>
        </is>
      </c>
      <c r="E182" t="inlineStr">
        <is>
          <t>35-44</t>
        </is>
      </c>
      <c r="F182" t="inlineStr">
        <is>
          <t>Bachelor/HND</t>
        </is>
      </c>
      <c r="G182" t="inlineStr">
        <is>
          <t>Microfinance bank</t>
        </is>
      </c>
      <c r="H182" t="inlineStr">
        <is>
          <t>Data/Analytics/AI</t>
        </is>
      </c>
      <c r="I182" t="inlineStr">
        <is>
          <t>11-15</t>
        </is>
      </c>
      <c r="J182" t="inlineStr">
        <is>
          <t>Yes</t>
        </is>
      </c>
      <c r="K182" t="n">
        <v>3</v>
      </c>
      <c r="L182" t="inlineStr">
        <is>
          <t>No</t>
        </is>
      </c>
      <c r="M182" t="inlineStr">
        <is>
          <t>Yes</t>
        </is>
      </c>
      <c r="N182" t="n">
        <v>4</v>
      </c>
      <c r="O182" t="n">
        <v>4</v>
      </c>
      <c r="P182" t="n">
        <v>4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4</v>
      </c>
      <c r="W182" t="n">
        <v>4</v>
      </c>
      <c r="X182" t="n">
        <v>3</v>
      </c>
      <c r="Y182" t="n">
        <v>2</v>
      </c>
      <c r="Z182" t="n">
        <v>3</v>
      </c>
      <c r="AA182" t="n">
        <v>1</v>
      </c>
      <c r="AB182" t="n">
        <v>3</v>
      </c>
      <c r="AC182" t="n">
        <v>3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1</v>
      </c>
      <c r="AK182" t="n">
        <v>1</v>
      </c>
      <c r="AL182" t="n">
        <v>3</v>
      </c>
      <c r="AM182" t="n">
        <v>3</v>
      </c>
      <c r="AN182" t="n">
        <v>5</v>
      </c>
      <c r="AO182" t="n">
        <v>4</v>
      </c>
      <c r="AP182" t="n">
        <v>4</v>
      </c>
      <c r="AQ182" t="n">
        <v>4</v>
      </c>
      <c r="AR182" t="n">
        <v>5</v>
      </c>
      <c r="AS182" t="n">
        <v>4</v>
      </c>
      <c r="AT182" t="n">
        <v>4</v>
      </c>
      <c r="AU182" t="n">
        <v>4</v>
      </c>
      <c r="AV182" t="n">
        <v>5</v>
      </c>
      <c r="AW182" t="n">
        <v>2</v>
      </c>
      <c r="AX182" t="n">
        <v>2</v>
      </c>
      <c r="AY182" t="n">
        <v>2</v>
      </c>
      <c r="AZ182" t="n">
        <v>3</v>
      </c>
      <c r="BA182" t="n">
        <v>4</v>
      </c>
      <c r="BB182" t="n">
        <v>3</v>
      </c>
      <c r="BC182" t="n">
        <v>4</v>
      </c>
      <c r="BD182" t="n">
        <v>2</v>
      </c>
      <c r="BE182" t="n">
        <v>2</v>
      </c>
      <c r="BF182" t="n">
        <v>2</v>
      </c>
      <c r="BG182" t="n">
        <v>1</v>
      </c>
      <c r="BH182" t="n">
        <v>2</v>
      </c>
      <c r="BI182" t="n">
        <v>2</v>
      </c>
      <c r="BJ182" t="n">
        <v>2</v>
      </c>
      <c r="BK182" t="n">
        <v>3</v>
      </c>
      <c r="BL182" t="n">
        <v>3</v>
      </c>
      <c r="BM182" t="n">
        <v>3</v>
      </c>
      <c r="BN182" t="n">
        <v>2</v>
      </c>
      <c r="BO182" t="n">
        <v>3</v>
      </c>
      <c r="BP182" t="n">
        <v>4</v>
      </c>
      <c r="BQ182" t="n">
        <v>3</v>
      </c>
      <c r="BR182" t="n">
        <v>3</v>
      </c>
      <c r="BS182" s="56">
        <f>IF(COUNT(N182:W182)&gt;=8,AVERAGE(N182:W182),"")</f>
        <v/>
      </c>
      <c r="BT182" s="56">
        <f>IF(COUNT(X182:AE182)&gt;=7,AVERAGE(X182:AE182),"")</f>
        <v/>
      </c>
      <c r="BU182" s="56">
        <f>IF(COUNT(AF182:AM182)&gt;=7,AVERAGE(AF182:AM182),"")</f>
        <v/>
      </c>
      <c r="BV182" s="56">
        <f>IF(COUNT(AN182:AV182)&gt;=8,AVERAGE(AN182:AV182),"")</f>
        <v/>
      </c>
      <c r="BW182" s="56">
        <f>IF(COUNT(AW182:BD182)&gt;=7,AVERAGE(AW182:BD182),"")</f>
        <v/>
      </c>
      <c r="BX182" s="56">
        <f>IF(COUNT(BE182:BJ182)&gt;=5,AVERAGE(BE182:BJ182),"")</f>
        <v/>
      </c>
      <c r="BY182" s="56">
        <f>IF(COUNT(BK182:BR182)&gt;=7,AVERAGE(BK182:BR182),"")</f>
        <v/>
      </c>
    </row>
    <row r="183">
      <c r="A183" t="inlineStr">
        <is>
          <t>R152</t>
        </is>
      </c>
      <c r="B183" t="inlineStr">
        <is>
          <t>Yes</t>
        </is>
      </c>
      <c r="C183" t="inlineStr">
        <is>
          <t>Yes</t>
        </is>
      </c>
      <c r="D183" t="inlineStr">
        <is>
          <t>Male</t>
        </is>
      </c>
      <c r="E183" t="inlineStr">
        <is>
          <t>35-44</t>
        </is>
      </c>
      <c r="F183" t="inlineStr">
        <is>
          <t>Master's</t>
        </is>
      </c>
      <c r="G183" t="inlineStr">
        <is>
          <t>Fintech/payment provider</t>
        </is>
      </c>
      <c r="H183" t="inlineStr">
        <is>
          <t>Customer Experience/Service</t>
        </is>
      </c>
      <c r="I183" t="inlineStr">
        <is>
          <t>2-5</t>
        </is>
      </c>
      <c r="J183" t="inlineStr">
        <is>
          <t>Yes</t>
        </is>
      </c>
      <c r="K183" t="n">
        <v>0</v>
      </c>
      <c r="L183" t="inlineStr">
        <is>
          <t>No</t>
        </is>
      </c>
      <c r="M183" t="inlineStr">
        <is>
          <t>Yes</t>
        </is>
      </c>
      <c r="N183" t="n">
        <v>4</v>
      </c>
      <c r="O183" t="n">
        <v>4</v>
      </c>
      <c r="P183" t="n">
        <v>5</v>
      </c>
      <c r="Q183" t="n">
        <v>4</v>
      </c>
      <c r="R183" t="n">
        <v>4</v>
      </c>
      <c r="S183" t="n">
        <v>5</v>
      </c>
      <c r="T183" t="n">
        <v>4</v>
      </c>
      <c r="U183" t="n">
        <v>4</v>
      </c>
      <c r="V183" t="n">
        <v>4</v>
      </c>
      <c r="W183" t="n">
        <v>4</v>
      </c>
      <c r="X183" t="n">
        <v>3</v>
      </c>
      <c r="Y183" t="n">
        <v>2</v>
      </c>
      <c r="Z183" t="n">
        <v>3</v>
      </c>
      <c r="AA183" t="n">
        <v>3</v>
      </c>
      <c r="AB183" t="n">
        <v>3</v>
      </c>
      <c r="AC183" t="n">
        <v>3</v>
      </c>
      <c r="AD183" t="n">
        <v>3</v>
      </c>
      <c r="AE183" t="n">
        <v>2</v>
      </c>
      <c r="AF183" t="n">
        <v>1</v>
      </c>
      <c r="AG183" t="n">
        <v>1</v>
      </c>
      <c r="AH183" t="n">
        <v>2</v>
      </c>
      <c r="AI183" t="n">
        <v>3</v>
      </c>
      <c r="AJ183" t="n">
        <v>2</v>
      </c>
      <c r="AK183" t="n">
        <v>2</v>
      </c>
      <c r="AL183" t="n">
        <v>1</v>
      </c>
      <c r="AM183" t="n">
        <v>2</v>
      </c>
      <c r="AN183" t="n">
        <v>4</v>
      </c>
      <c r="AO183" t="n">
        <v>3</v>
      </c>
      <c r="AP183" t="n">
        <v>4</v>
      </c>
      <c r="AQ183" t="n">
        <v>4</v>
      </c>
      <c r="AR183" t="n">
        <v>4</v>
      </c>
      <c r="AS183" t="n">
        <v>5</v>
      </c>
      <c r="AT183" t="n">
        <v>4</v>
      </c>
      <c r="AU183" t="n">
        <v>4</v>
      </c>
      <c r="AV183" t="n">
        <v>3</v>
      </c>
      <c r="AW183" t="n">
        <v>2</v>
      </c>
      <c r="AX183" t="n">
        <v>3</v>
      </c>
      <c r="AY183" t="n">
        <v>3</v>
      </c>
      <c r="AZ183" t="n">
        <v>1</v>
      </c>
      <c r="BA183" t="n">
        <v>2</v>
      </c>
      <c r="BB183" t="n">
        <v>2</v>
      </c>
      <c r="BC183" t="n">
        <v>1</v>
      </c>
      <c r="BD183" t="n">
        <v>2</v>
      </c>
      <c r="BE183" t="n">
        <v>2</v>
      </c>
      <c r="BF183" t="n">
        <v>3</v>
      </c>
      <c r="BG183" t="n">
        <v>2</v>
      </c>
      <c r="BH183" t="n">
        <v>4</v>
      </c>
      <c r="BI183" t="n">
        <v>2</v>
      </c>
      <c r="BJ183" t="n">
        <v>3</v>
      </c>
      <c r="BK183" t="n">
        <v>5</v>
      </c>
      <c r="BL183" t="n">
        <v>3</v>
      </c>
      <c r="BM183" t="n">
        <v>4</v>
      </c>
      <c r="BN183" t="n">
        <v>4</v>
      </c>
      <c r="BO183" t="n">
        <v>3</v>
      </c>
      <c r="BP183" t="n">
        <v>4</v>
      </c>
      <c r="BQ183" t="n">
        <v>4</v>
      </c>
      <c r="BR183" t="n">
        <v>2</v>
      </c>
      <c r="BS183" s="56">
        <f>IF(COUNT(N183:W183)&gt;=8,AVERAGE(N183:W183),"")</f>
        <v/>
      </c>
      <c r="BT183" s="56">
        <f>IF(COUNT(X183:AE183)&gt;=7,AVERAGE(X183:AE183),"")</f>
        <v/>
      </c>
      <c r="BU183" s="56">
        <f>IF(COUNT(AF183:AM183)&gt;=7,AVERAGE(AF183:AM183),"")</f>
        <v/>
      </c>
      <c r="BV183" s="56">
        <f>IF(COUNT(AN183:AV183)&gt;=8,AVERAGE(AN183:AV183),"")</f>
        <v/>
      </c>
      <c r="BW183" s="56">
        <f>IF(COUNT(AW183:BD183)&gt;=7,AVERAGE(AW183:BD183),"")</f>
        <v/>
      </c>
      <c r="BX183" s="56">
        <f>IF(COUNT(BE183:BJ183)&gt;=5,AVERAGE(BE183:BJ183),"")</f>
        <v/>
      </c>
      <c r="BY183" s="56">
        <f>IF(COUNT(BK183:BR183)&gt;=7,AVERAGE(BK183:BR183),"")</f>
        <v/>
      </c>
    </row>
    <row r="184">
      <c r="A184" t="inlineStr">
        <is>
          <t>R153</t>
        </is>
      </c>
      <c r="B184" t="inlineStr">
        <is>
          <t>Yes</t>
        </is>
      </c>
      <c r="C184" t="inlineStr">
        <is>
          <t>Yes</t>
        </is>
      </c>
      <c r="D184" t="inlineStr">
        <is>
          <t>Male</t>
        </is>
      </c>
      <c r="E184" t="inlineStr">
        <is>
          <t>25-34</t>
        </is>
      </c>
      <c r="F184" t="inlineStr">
        <is>
          <t>Postgraduate Diploma</t>
        </is>
      </c>
      <c r="G184" t="inlineStr">
        <is>
          <t>Merchant bank</t>
        </is>
      </c>
      <c r="H184" t="inlineStr">
        <is>
          <t>Data/Analytics/AI</t>
        </is>
      </c>
      <c r="I184" t="inlineStr">
        <is>
          <t>2-5</t>
        </is>
      </c>
      <c r="J184" t="inlineStr">
        <is>
          <t>Yes</t>
        </is>
      </c>
      <c r="K184" t="n">
        <v>0</v>
      </c>
      <c r="L184" t="inlineStr">
        <is>
          <t>No</t>
        </is>
      </c>
      <c r="M184" t="inlineStr">
        <is>
          <t>Yes</t>
        </is>
      </c>
      <c r="N184" t="n">
        <v>4</v>
      </c>
      <c r="O184" t="n">
        <v>4</v>
      </c>
      <c r="P184" t="n">
        <v>4</v>
      </c>
      <c r="Q184" t="n">
        <v>3</v>
      </c>
      <c r="R184" t="n">
        <v>3</v>
      </c>
      <c r="S184" t="n">
        <v>4</v>
      </c>
      <c r="T184" t="n">
        <v>3</v>
      </c>
      <c r="U184" t="n">
        <v>3</v>
      </c>
      <c r="V184" t="n">
        <v>5</v>
      </c>
      <c r="W184" t="n">
        <v>4</v>
      </c>
      <c r="X184" t="n">
        <v>3</v>
      </c>
      <c r="Y184" t="n">
        <v>3</v>
      </c>
      <c r="Z184" t="n">
        <v>3</v>
      </c>
      <c r="AB184" t="n">
        <v>4</v>
      </c>
      <c r="AC184" t="n">
        <v>4</v>
      </c>
      <c r="AD184" t="n">
        <v>4</v>
      </c>
      <c r="AE184" t="n">
        <v>5</v>
      </c>
      <c r="AF184" t="n">
        <v>2</v>
      </c>
      <c r="AG184" t="n">
        <v>2</v>
      </c>
      <c r="AH184" t="n">
        <v>2</v>
      </c>
      <c r="AI184" t="n">
        <v>3</v>
      </c>
      <c r="AJ184" t="n">
        <v>2</v>
      </c>
      <c r="AK184" t="n">
        <v>2</v>
      </c>
      <c r="AL184" t="n">
        <v>3</v>
      </c>
      <c r="AM184" t="n">
        <v>1</v>
      </c>
      <c r="AN184" t="n">
        <v>4</v>
      </c>
      <c r="AO184" t="n">
        <v>2</v>
      </c>
      <c r="AP184" t="n">
        <v>4</v>
      </c>
      <c r="AQ184" t="n">
        <v>2</v>
      </c>
      <c r="AR184" t="n">
        <v>4</v>
      </c>
      <c r="AS184" t="n">
        <v>2</v>
      </c>
      <c r="AT184" t="n">
        <v>3</v>
      </c>
      <c r="AU184" t="n">
        <v>3</v>
      </c>
      <c r="AV184" t="n">
        <v>4</v>
      </c>
      <c r="AW184" t="n">
        <v>4</v>
      </c>
      <c r="AX184" t="n">
        <v>4</v>
      </c>
      <c r="AY184" t="n">
        <v>4</v>
      </c>
      <c r="AZ184" t="n">
        <v>4</v>
      </c>
      <c r="BA184" t="n">
        <v>4</v>
      </c>
      <c r="BB184" t="n">
        <v>4</v>
      </c>
      <c r="BC184" t="n">
        <v>4</v>
      </c>
      <c r="BD184" t="n">
        <v>2</v>
      </c>
      <c r="BE184" t="n">
        <v>3</v>
      </c>
      <c r="BF184" t="n">
        <v>3</v>
      </c>
      <c r="BG184" t="n">
        <v>3</v>
      </c>
      <c r="BI184" t="n">
        <v>3</v>
      </c>
      <c r="BJ184" t="n">
        <v>2</v>
      </c>
      <c r="BK184" t="n">
        <v>1</v>
      </c>
      <c r="BL184" t="n">
        <v>2</v>
      </c>
      <c r="BM184" t="n">
        <v>2</v>
      </c>
      <c r="BN184" t="n">
        <v>1</v>
      </c>
      <c r="BO184" t="n">
        <v>3</v>
      </c>
      <c r="BP184" t="n">
        <v>2</v>
      </c>
      <c r="BQ184" t="n">
        <v>3</v>
      </c>
      <c r="BS184" s="56">
        <f>IF(COUNT(N184:W184)&gt;=8,AVERAGE(N184:W184),"")</f>
        <v/>
      </c>
      <c r="BT184" s="56">
        <f>IF(COUNT(X184:AE184)&gt;=7,AVERAGE(X184:AE184),"")</f>
        <v/>
      </c>
      <c r="BU184" s="56">
        <f>IF(COUNT(AF184:AM184)&gt;=7,AVERAGE(AF184:AM184),"")</f>
        <v/>
      </c>
      <c r="BV184" s="56">
        <f>IF(COUNT(AN184:AV184)&gt;=8,AVERAGE(AN184:AV184),"")</f>
        <v/>
      </c>
      <c r="BW184" s="56">
        <f>IF(COUNT(AW184:BD184)&gt;=7,AVERAGE(AW184:BD184),"")</f>
        <v/>
      </c>
      <c r="BX184" s="56">
        <f>IF(COUNT(BE184:BJ184)&gt;=5,AVERAGE(BE184:BJ184),"")</f>
        <v/>
      </c>
      <c r="BY184" s="56">
        <f>IF(COUNT(BK184:BR184)&gt;=7,AVERAGE(BK184:BR184),"")</f>
        <v/>
      </c>
    </row>
    <row r="185">
      <c r="A185" t="inlineStr">
        <is>
          <t>R154</t>
        </is>
      </c>
      <c r="B185" t="inlineStr">
        <is>
          <t>Yes</t>
        </is>
      </c>
      <c r="C185" t="inlineStr">
        <is>
          <t>Yes</t>
        </is>
      </c>
      <c r="D185" t="inlineStr">
        <is>
          <t>Male</t>
        </is>
      </c>
      <c r="E185" t="inlineStr">
        <is>
          <t>25-34</t>
        </is>
      </c>
      <c r="F185" t="inlineStr">
        <is>
          <t>Master's</t>
        </is>
      </c>
      <c r="G185" t="inlineStr">
        <is>
          <t>Commercial bank</t>
        </is>
      </c>
      <c r="H185" t="inlineStr">
        <is>
          <t>Risk/Compliance</t>
        </is>
      </c>
      <c r="I185" t="inlineStr">
        <is>
          <t>2-5</t>
        </is>
      </c>
      <c r="J185" t="inlineStr">
        <is>
          <t>Yes</t>
        </is>
      </c>
      <c r="K185" t="n">
        <v>2</v>
      </c>
      <c r="L185" t="inlineStr">
        <is>
          <t>Yes</t>
        </is>
      </c>
      <c r="M185" t="inlineStr">
        <is>
          <t>Yes</t>
        </is>
      </c>
      <c r="N185" t="n">
        <v>1</v>
      </c>
      <c r="O185" t="n">
        <v>2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3</v>
      </c>
      <c r="Y185" t="n">
        <v>3</v>
      </c>
      <c r="Z185" t="n">
        <v>3</v>
      </c>
      <c r="AA185" t="n">
        <v>4</v>
      </c>
      <c r="AB185" t="n">
        <v>4</v>
      </c>
      <c r="AC185" t="n">
        <v>4</v>
      </c>
      <c r="AD185" t="n">
        <v>3</v>
      </c>
      <c r="AE185" t="n">
        <v>4</v>
      </c>
      <c r="AF185" t="n">
        <v>5</v>
      </c>
      <c r="AG185" t="n">
        <v>5</v>
      </c>
      <c r="AH185" t="n">
        <v>4</v>
      </c>
      <c r="AI185" t="n">
        <v>5</v>
      </c>
      <c r="AJ185" t="n">
        <v>5</v>
      </c>
      <c r="AK185" t="n">
        <v>4</v>
      </c>
      <c r="AL185" t="n">
        <v>5</v>
      </c>
      <c r="AM185" t="n">
        <v>5</v>
      </c>
      <c r="AN185" t="n">
        <v>4</v>
      </c>
      <c r="AO185" t="n">
        <v>4</v>
      </c>
      <c r="AP185" t="n">
        <v>5</v>
      </c>
      <c r="AQ185" t="n">
        <v>3</v>
      </c>
      <c r="AR185" t="n">
        <v>4</v>
      </c>
      <c r="AS185" t="n">
        <v>4</v>
      </c>
      <c r="AT185" t="n">
        <v>4</v>
      </c>
      <c r="AU185" t="n">
        <v>4</v>
      </c>
      <c r="AV185" t="n">
        <v>4</v>
      </c>
      <c r="AW185" t="n">
        <v>3</v>
      </c>
      <c r="AX185" t="n">
        <v>4</v>
      </c>
      <c r="AY185" t="n">
        <v>3</v>
      </c>
      <c r="AZ185" t="n">
        <v>3</v>
      </c>
      <c r="BA185" t="n">
        <v>5</v>
      </c>
      <c r="BB185" t="n">
        <v>3</v>
      </c>
      <c r="BC185" t="n">
        <v>3</v>
      </c>
      <c r="BD185" t="n">
        <v>2</v>
      </c>
      <c r="BE185" t="n">
        <v>3</v>
      </c>
      <c r="BF185" t="n">
        <v>4</v>
      </c>
      <c r="BG185" t="n">
        <v>2</v>
      </c>
      <c r="BH185" t="n">
        <v>3</v>
      </c>
      <c r="BJ185" t="n">
        <v>4</v>
      </c>
      <c r="BK185" t="n">
        <v>3</v>
      </c>
      <c r="BL185" t="n">
        <v>3</v>
      </c>
      <c r="BM185" t="n">
        <v>4</v>
      </c>
      <c r="BN185" t="n">
        <v>4</v>
      </c>
      <c r="BO185" t="n">
        <v>3</v>
      </c>
      <c r="BP185" t="n">
        <v>2</v>
      </c>
      <c r="BQ185" t="n">
        <v>4</v>
      </c>
      <c r="BR185" t="n">
        <v>3</v>
      </c>
      <c r="BS185" s="56">
        <f>IF(COUNT(N185:W185)&gt;=8,AVERAGE(N185:W185),"")</f>
        <v/>
      </c>
      <c r="BT185" s="56">
        <f>IF(COUNT(X185:AE185)&gt;=7,AVERAGE(X185:AE185),"")</f>
        <v/>
      </c>
      <c r="BU185" s="56">
        <f>IF(COUNT(AF185:AM185)&gt;=7,AVERAGE(AF185:AM185),"")</f>
        <v/>
      </c>
      <c r="BV185" s="56">
        <f>IF(COUNT(AN185:AV185)&gt;=8,AVERAGE(AN185:AV185),"")</f>
        <v/>
      </c>
      <c r="BW185" s="56">
        <f>IF(COUNT(AW185:BD185)&gt;=7,AVERAGE(AW185:BD185),"")</f>
        <v/>
      </c>
      <c r="BX185" s="56">
        <f>IF(COUNT(BE185:BJ185)&gt;=5,AVERAGE(BE185:BJ185),"")</f>
        <v/>
      </c>
      <c r="BY185" s="56">
        <f>IF(COUNT(BK185:BR185)&gt;=7,AVERAGE(BK185:BR185),"")</f>
        <v/>
      </c>
    </row>
    <row r="186">
      <c r="A186" t="inlineStr">
        <is>
          <t>R155</t>
        </is>
      </c>
      <c r="B186" t="inlineStr">
        <is>
          <t>Yes</t>
        </is>
      </c>
      <c r="C186" t="inlineStr">
        <is>
          <t>Yes</t>
        </is>
      </c>
      <c r="D186" t="inlineStr">
        <is>
          <t>Male</t>
        </is>
      </c>
      <c r="E186" t="inlineStr">
        <is>
          <t>25-34</t>
        </is>
      </c>
      <c r="F186" t="inlineStr">
        <is>
          <t>Bachelor/HND</t>
        </is>
      </c>
      <c r="G186" t="inlineStr">
        <is>
          <t>Commercial bank</t>
        </is>
      </c>
      <c r="H186" t="inlineStr">
        <is>
          <t>Management/Strategy</t>
        </is>
      </c>
      <c r="I186" t="inlineStr">
        <is>
          <t>6-10</t>
        </is>
      </c>
      <c r="J186" t="inlineStr">
        <is>
          <t>Yes</t>
        </is>
      </c>
      <c r="K186" t="n">
        <v>2</v>
      </c>
      <c r="L186" t="inlineStr">
        <is>
          <t>Yes</t>
        </is>
      </c>
      <c r="M186" t="inlineStr">
        <is>
          <t>Yes</t>
        </is>
      </c>
      <c r="N186" t="n">
        <v>3</v>
      </c>
      <c r="O186" t="n">
        <v>3</v>
      </c>
      <c r="P186" t="n">
        <v>3</v>
      </c>
      <c r="Q186" t="n">
        <v>1</v>
      </c>
      <c r="R186" t="n">
        <v>2</v>
      </c>
      <c r="S186" t="n">
        <v>1</v>
      </c>
      <c r="T186" t="n">
        <v>2</v>
      </c>
      <c r="U186" t="n">
        <v>3</v>
      </c>
      <c r="V186" t="n">
        <v>2</v>
      </c>
      <c r="W186" t="n">
        <v>3</v>
      </c>
      <c r="X186" t="n">
        <v>4</v>
      </c>
      <c r="Y186" t="n">
        <v>3</v>
      </c>
      <c r="Z186" t="n">
        <v>5</v>
      </c>
      <c r="AA186" t="n">
        <v>4</v>
      </c>
      <c r="AB186" t="n">
        <v>4</v>
      </c>
      <c r="AC186" t="n">
        <v>4</v>
      </c>
      <c r="AD186" t="n">
        <v>2</v>
      </c>
      <c r="AF186" t="n">
        <v>4</v>
      </c>
      <c r="AG186" t="n">
        <v>5</v>
      </c>
      <c r="AH186" t="n">
        <v>4</v>
      </c>
      <c r="AI186" t="n">
        <v>5</v>
      </c>
      <c r="AJ186" t="n">
        <v>3</v>
      </c>
      <c r="AK186" t="n">
        <v>4</v>
      </c>
      <c r="AL186" t="n">
        <v>5</v>
      </c>
      <c r="AM186" t="n">
        <v>4</v>
      </c>
      <c r="AN186" t="n">
        <v>3</v>
      </c>
      <c r="AO186" t="n">
        <v>3</v>
      </c>
      <c r="AP186" t="n">
        <v>4</v>
      </c>
      <c r="AQ186" t="n">
        <v>3</v>
      </c>
      <c r="AR186" t="n">
        <v>3</v>
      </c>
      <c r="AS186" t="n">
        <v>3</v>
      </c>
      <c r="AT186" t="n">
        <v>3</v>
      </c>
      <c r="AU186" t="n">
        <v>3</v>
      </c>
      <c r="AV186" t="n">
        <v>4</v>
      </c>
      <c r="AW186" t="n">
        <v>5</v>
      </c>
      <c r="AX186" t="n">
        <v>3</v>
      </c>
      <c r="AY186" t="n">
        <v>5</v>
      </c>
      <c r="BA186" t="n">
        <v>5</v>
      </c>
      <c r="BB186" t="n">
        <v>5</v>
      </c>
      <c r="BC186" t="n">
        <v>4</v>
      </c>
      <c r="BD186" t="n">
        <v>5</v>
      </c>
      <c r="BE186" t="n">
        <v>2</v>
      </c>
      <c r="BF186" t="n">
        <v>3</v>
      </c>
      <c r="BG186" t="n">
        <v>3</v>
      </c>
      <c r="BH186" t="n">
        <v>5</v>
      </c>
      <c r="BI186" t="n">
        <v>2</v>
      </c>
      <c r="BJ186" t="n">
        <v>3</v>
      </c>
      <c r="BK186" t="n">
        <v>3</v>
      </c>
      <c r="BL186" t="n">
        <v>3</v>
      </c>
      <c r="BM186" t="n">
        <v>3</v>
      </c>
      <c r="BN186" t="n">
        <v>3</v>
      </c>
      <c r="BO186" t="n">
        <v>3</v>
      </c>
      <c r="BP186" t="n">
        <v>3</v>
      </c>
      <c r="BQ186" t="n">
        <v>3</v>
      </c>
      <c r="BR186" t="n">
        <v>2</v>
      </c>
      <c r="BS186" s="56">
        <f>IF(COUNT(N186:W186)&gt;=8,AVERAGE(N186:W186),"")</f>
        <v/>
      </c>
      <c r="BT186" s="56">
        <f>IF(COUNT(X186:AE186)&gt;=7,AVERAGE(X186:AE186),"")</f>
        <v/>
      </c>
      <c r="BU186" s="56">
        <f>IF(COUNT(AF186:AM186)&gt;=7,AVERAGE(AF186:AM186),"")</f>
        <v/>
      </c>
      <c r="BV186" s="56">
        <f>IF(COUNT(AN186:AV186)&gt;=8,AVERAGE(AN186:AV186),"")</f>
        <v/>
      </c>
      <c r="BW186" s="56">
        <f>IF(COUNT(AW186:BD186)&gt;=7,AVERAGE(AW186:BD186),"")</f>
        <v/>
      </c>
      <c r="BX186" s="56">
        <f>IF(COUNT(BE186:BJ186)&gt;=5,AVERAGE(BE186:BJ186),"")</f>
        <v/>
      </c>
      <c r="BY186" s="56">
        <f>IF(COUNT(BK186:BR186)&gt;=7,AVERAGE(BK186:BR186),"")</f>
        <v/>
      </c>
    </row>
    <row r="187">
      <c r="A187" t="inlineStr">
        <is>
          <t>R156</t>
        </is>
      </c>
      <c r="B187" t="inlineStr">
        <is>
          <t>Yes</t>
        </is>
      </c>
      <c r="C187" t="inlineStr">
        <is>
          <t>Yes</t>
        </is>
      </c>
      <c r="D187" t="inlineStr">
        <is>
          <t>Female</t>
        </is>
      </c>
      <c r="E187" t="inlineStr">
        <is>
          <t>35-44</t>
        </is>
      </c>
      <c r="F187" t="inlineStr">
        <is>
          <t>Diploma/OND/NCE</t>
        </is>
      </c>
      <c r="G187" t="inlineStr">
        <is>
          <t>Insurance/investment/other licensed financial institution</t>
        </is>
      </c>
      <c r="H187" t="inlineStr">
        <is>
          <t>Other</t>
        </is>
      </c>
      <c r="I187" t="inlineStr">
        <is>
          <t>6-10</t>
        </is>
      </c>
      <c r="J187" t="inlineStr">
        <is>
          <t>Yes</t>
        </is>
      </c>
      <c r="K187" t="n">
        <v>3</v>
      </c>
      <c r="L187" t="inlineStr">
        <is>
          <t>Yes</t>
        </is>
      </c>
      <c r="M187" t="inlineStr">
        <is>
          <t>Yes</t>
        </is>
      </c>
      <c r="N187" t="n">
        <v>3</v>
      </c>
      <c r="O187" t="n">
        <v>3</v>
      </c>
      <c r="P187" t="n">
        <v>2</v>
      </c>
      <c r="Q187" t="n">
        <v>2</v>
      </c>
      <c r="R187" t="n">
        <v>3</v>
      </c>
      <c r="S187" t="n">
        <v>4</v>
      </c>
      <c r="T187" t="n">
        <v>2</v>
      </c>
      <c r="U187" t="n">
        <v>2</v>
      </c>
      <c r="V187" t="n">
        <v>3</v>
      </c>
      <c r="W187" t="n">
        <v>4</v>
      </c>
      <c r="X187" t="n">
        <v>5</v>
      </c>
      <c r="Y187" t="n">
        <v>4</v>
      </c>
      <c r="Z187" t="n">
        <v>4</v>
      </c>
      <c r="AA187" t="n">
        <v>3</v>
      </c>
      <c r="AB187" t="n">
        <v>4</v>
      </c>
      <c r="AC187" t="n">
        <v>3</v>
      </c>
      <c r="AD187" t="n">
        <v>4</v>
      </c>
      <c r="AE187" t="n">
        <v>4</v>
      </c>
      <c r="AF187" t="n">
        <v>3</v>
      </c>
      <c r="AG187" t="n">
        <v>2</v>
      </c>
      <c r="AH187" t="n">
        <v>2</v>
      </c>
      <c r="AI187" t="n">
        <v>2</v>
      </c>
      <c r="AJ187" t="n">
        <v>2</v>
      </c>
      <c r="AL187" t="n">
        <v>4</v>
      </c>
      <c r="AM187" t="n">
        <v>3</v>
      </c>
      <c r="AN187" t="n">
        <v>5</v>
      </c>
      <c r="AP187" t="n">
        <v>5</v>
      </c>
      <c r="AQ187" t="n">
        <v>3</v>
      </c>
      <c r="AR187" t="n">
        <v>4</v>
      </c>
      <c r="AS187" t="n">
        <v>5</v>
      </c>
      <c r="AT187" t="n">
        <v>5</v>
      </c>
      <c r="AU187" t="n">
        <v>4</v>
      </c>
      <c r="AV187" t="n">
        <v>5</v>
      </c>
      <c r="AW187" t="n">
        <v>3</v>
      </c>
      <c r="AX187" t="n">
        <v>3</v>
      </c>
      <c r="AY187" t="n">
        <v>3</v>
      </c>
      <c r="AZ187" t="n">
        <v>4</v>
      </c>
      <c r="BA187" t="n">
        <v>3</v>
      </c>
      <c r="BB187" t="n">
        <v>3</v>
      </c>
      <c r="BC187" t="n">
        <v>3</v>
      </c>
      <c r="BD187" t="n">
        <v>2</v>
      </c>
      <c r="BE187" t="n">
        <v>3</v>
      </c>
      <c r="BF187" t="n">
        <v>5</v>
      </c>
      <c r="BG187" t="n">
        <v>3</v>
      </c>
      <c r="BH187" t="n">
        <v>4</v>
      </c>
      <c r="BI187" t="n">
        <v>4</v>
      </c>
      <c r="BJ187" t="n">
        <v>2</v>
      </c>
      <c r="BK187" t="n">
        <v>3</v>
      </c>
      <c r="BL187" t="n">
        <v>3</v>
      </c>
      <c r="BM187" t="n">
        <v>4</v>
      </c>
      <c r="BN187" t="n">
        <v>4</v>
      </c>
      <c r="BO187" t="n">
        <v>3</v>
      </c>
      <c r="BP187" t="n">
        <v>4</v>
      </c>
      <c r="BQ187" t="n">
        <v>4</v>
      </c>
      <c r="BR187" t="n">
        <v>4</v>
      </c>
      <c r="BS187" s="56">
        <f>IF(COUNT(N187:W187)&gt;=8,AVERAGE(N187:W187),"")</f>
        <v/>
      </c>
      <c r="BT187" s="56">
        <f>IF(COUNT(X187:AE187)&gt;=7,AVERAGE(X187:AE187),"")</f>
        <v/>
      </c>
      <c r="BU187" s="56">
        <f>IF(COUNT(AF187:AM187)&gt;=7,AVERAGE(AF187:AM187),"")</f>
        <v/>
      </c>
      <c r="BV187" s="56">
        <f>IF(COUNT(AN187:AV187)&gt;=8,AVERAGE(AN187:AV187),"")</f>
        <v/>
      </c>
      <c r="BW187" s="56">
        <f>IF(COUNT(AW187:BD187)&gt;=7,AVERAGE(AW187:BD187),"")</f>
        <v/>
      </c>
      <c r="BX187" s="56">
        <f>IF(COUNT(BE187:BJ187)&gt;=5,AVERAGE(BE187:BJ187),"")</f>
        <v/>
      </c>
      <c r="BY187" s="56">
        <f>IF(COUNT(BK187:BR187)&gt;=7,AVERAGE(BK187:BR187),"")</f>
        <v/>
      </c>
    </row>
    <row r="188">
      <c r="A188" t="inlineStr">
        <is>
          <t>R157</t>
        </is>
      </c>
      <c r="B188" t="inlineStr">
        <is>
          <t>Yes</t>
        </is>
      </c>
      <c r="C188" t="inlineStr">
        <is>
          <t>Yes</t>
        </is>
      </c>
      <c r="D188" t="inlineStr">
        <is>
          <t>Female</t>
        </is>
      </c>
      <c r="E188" t="inlineStr">
        <is>
          <t>45-54</t>
        </is>
      </c>
      <c r="F188" t="inlineStr">
        <is>
          <t>Other</t>
        </is>
      </c>
      <c r="G188" t="inlineStr">
        <is>
          <t>Commercial bank</t>
        </is>
      </c>
      <c r="H188" t="inlineStr">
        <is>
          <t>IT/Technology</t>
        </is>
      </c>
      <c r="I188" t="inlineStr">
        <is>
          <t>Less than 2</t>
        </is>
      </c>
      <c r="J188" t="inlineStr">
        <is>
          <t>Yes</t>
        </is>
      </c>
      <c r="K188" t="n">
        <v>1</v>
      </c>
      <c r="L188" t="inlineStr">
        <is>
          <t>Do not know</t>
        </is>
      </c>
      <c r="M188" t="inlineStr">
        <is>
          <t>Yes</t>
        </is>
      </c>
      <c r="N188" t="n">
        <v>4</v>
      </c>
      <c r="O188" t="n">
        <v>2</v>
      </c>
      <c r="P188" t="n">
        <v>3</v>
      </c>
      <c r="Q188" t="n">
        <v>3</v>
      </c>
      <c r="R188" t="n">
        <v>2</v>
      </c>
      <c r="S188" t="n">
        <v>3</v>
      </c>
      <c r="T188" t="n">
        <v>1</v>
      </c>
      <c r="U188" t="n">
        <v>3</v>
      </c>
      <c r="V188" t="n">
        <v>2</v>
      </c>
      <c r="W188" t="n">
        <v>2</v>
      </c>
      <c r="X188" t="n">
        <v>3</v>
      </c>
      <c r="Y188" t="n">
        <v>3</v>
      </c>
      <c r="Z188" t="n">
        <v>5</v>
      </c>
      <c r="AA188" t="n">
        <v>3</v>
      </c>
      <c r="AB188" t="n">
        <v>3</v>
      </c>
      <c r="AC188" t="n">
        <v>4</v>
      </c>
      <c r="AD188" t="n">
        <v>3</v>
      </c>
      <c r="AE188" t="n">
        <v>3</v>
      </c>
      <c r="AF188" t="n">
        <v>3</v>
      </c>
      <c r="AG188" t="n">
        <v>4</v>
      </c>
      <c r="AH188" t="n">
        <v>3</v>
      </c>
      <c r="AI188" t="n">
        <v>4</v>
      </c>
      <c r="AJ188" t="n">
        <v>3</v>
      </c>
      <c r="AK188" t="n">
        <v>4</v>
      </c>
      <c r="AL188" t="n">
        <v>3</v>
      </c>
      <c r="AM188" t="n">
        <v>4</v>
      </c>
      <c r="AN188" t="n">
        <v>3</v>
      </c>
      <c r="AO188" t="n">
        <v>4</v>
      </c>
      <c r="AP188" t="n">
        <v>4</v>
      </c>
      <c r="AQ188" t="n">
        <v>4</v>
      </c>
      <c r="AS188" t="n">
        <v>3</v>
      </c>
      <c r="AT188" t="n">
        <v>4</v>
      </c>
      <c r="AU188" t="n">
        <v>2</v>
      </c>
      <c r="AV188" t="n">
        <v>3</v>
      </c>
      <c r="AW188" t="n">
        <v>2</v>
      </c>
      <c r="AX188" t="n">
        <v>3</v>
      </c>
      <c r="AY188" t="n">
        <v>3</v>
      </c>
      <c r="AZ188" t="n">
        <v>3</v>
      </c>
      <c r="BA188" t="n">
        <v>4</v>
      </c>
      <c r="BB188" t="n">
        <v>3</v>
      </c>
      <c r="BC188" t="n">
        <v>4</v>
      </c>
      <c r="BD188" t="n">
        <v>3</v>
      </c>
      <c r="BE188" t="n">
        <v>3</v>
      </c>
      <c r="BF188" t="n">
        <v>3</v>
      </c>
      <c r="BG188" t="n">
        <v>1</v>
      </c>
      <c r="BH188" t="n">
        <v>4</v>
      </c>
      <c r="BI188" t="n">
        <v>2</v>
      </c>
      <c r="BJ188" t="n">
        <v>3</v>
      </c>
      <c r="BK188" t="n">
        <v>2</v>
      </c>
      <c r="BL188" t="n">
        <v>3</v>
      </c>
      <c r="BM188" t="n">
        <v>4</v>
      </c>
      <c r="BN188" t="n">
        <v>3</v>
      </c>
      <c r="BO188" t="n">
        <v>3</v>
      </c>
      <c r="BP188" t="n">
        <v>2</v>
      </c>
      <c r="BQ188" t="n">
        <v>4</v>
      </c>
      <c r="BR188" t="n">
        <v>2</v>
      </c>
      <c r="BS188" s="56">
        <f>IF(COUNT(N188:W188)&gt;=8,AVERAGE(N188:W188),"")</f>
        <v/>
      </c>
      <c r="BT188" s="56">
        <f>IF(COUNT(X188:AE188)&gt;=7,AVERAGE(X188:AE188),"")</f>
        <v/>
      </c>
      <c r="BU188" s="56">
        <f>IF(COUNT(AF188:AM188)&gt;=7,AVERAGE(AF188:AM188),"")</f>
        <v/>
      </c>
      <c r="BV188" s="56">
        <f>IF(COUNT(AN188:AV188)&gt;=8,AVERAGE(AN188:AV188),"")</f>
        <v/>
      </c>
      <c r="BW188" s="56">
        <f>IF(COUNT(AW188:BD188)&gt;=7,AVERAGE(AW188:BD188),"")</f>
        <v/>
      </c>
      <c r="BX188" s="56">
        <f>IF(COUNT(BE188:BJ188)&gt;=5,AVERAGE(BE188:BJ188),"")</f>
        <v/>
      </c>
      <c r="BY188" s="56">
        <f>IF(COUNT(BK188:BR188)&gt;=7,AVERAGE(BK188:BR188),"")</f>
        <v/>
      </c>
    </row>
    <row r="189">
      <c r="A189" t="inlineStr">
        <is>
          <t>R158</t>
        </is>
      </c>
      <c r="B189" t="inlineStr">
        <is>
          <t>Yes</t>
        </is>
      </c>
      <c r="C189" t="inlineStr">
        <is>
          <t>Yes</t>
        </is>
      </c>
      <c r="D189" t="inlineStr">
        <is>
          <t>Female</t>
        </is>
      </c>
      <c r="E189" t="inlineStr">
        <is>
          <t>35-44</t>
        </is>
      </c>
      <c r="F189" t="inlineStr">
        <is>
          <t>Bachelor/HND</t>
        </is>
      </c>
      <c r="G189" t="inlineStr">
        <is>
          <t>Fintech/payment provider</t>
        </is>
      </c>
      <c r="H189" t="inlineStr">
        <is>
          <t>Customer Experience/Service</t>
        </is>
      </c>
      <c r="I189" t="inlineStr">
        <is>
          <t>2-5</t>
        </is>
      </c>
      <c r="J189" t="inlineStr">
        <is>
          <t>Yes</t>
        </is>
      </c>
      <c r="K189" t="n">
        <v>1</v>
      </c>
      <c r="L189" t="inlineStr">
        <is>
          <t>Do not know</t>
        </is>
      </c>
      <c r="M189" t="inlineStr">
        <is>
          <t>Yes</t>
        </is>
      </c>
      <c r="N189" t="n">
        <v>4</v>
      </c>
      <c r="O189" t="n">
        <v>3</v>
      </c>
      <c r="P189" t="n">
        <v>4</v>
      </c>
      <c r="Q189" t="n">
        <v>3</v>
      </c>
      <c r="R189" t="n">
        <v>4</v>
      </c>
      <c r="S189" t="n">
        <v>3</v>
      </c>
      <c r="T189" t="n">
        <v>3</v>
      </c>
      <c r="U189" t="n">
        <v>4</v>
      </c>
      <c r="V189" t="n">
        <v>4</v>
      </c>
      <c r="W189" t="n">
        <v>4</v>
      </c>
      <c r="X189" t="n">
        <v>2</v>
      </c>
      <c r="Y189" t="n">
        <v>3</v>
      </c>
      <c r="Z189" t="n">
        <v>4</v>
      </c>
      <c r="AA189" t="n">
        <v>2</v>
      </c>
      <c r="AB189" t="n">
        <v>3</v>
      </c>
      <c r="AC189" t="n">
        <v>2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5</v>
      </c>
      <c r="AJ189" t="n">
        <v>2</v>
      </c>
      <c r="AK189" t="n">
        <v>3</v>
      </c>
      <c r="AL189" t="n">
        <v>2</v>
      </c>
      <c r="AM189" t="n">
        <v>4</v>
      </c>
      <c r="AN189" t="n">
        <v>2</v>
      </c>
      <c r="AO189" t="n">
        <v>2</v>
      </c>
      <c r="AP189" t="n">
        <v>2</v>
      </c>
      <c r="AQ189" t="n">
        <v>1</v>
      </c>
      <c r="AR189" t="n">
        <v>2</v>
      </c>
      <c r="AS189" t="n">
        <v>3</v>
      </c>
      <c r="AT189" t="n">
        <v>2</v>
      </c>
      <c r="AU189" t="n">
        <v>2</v>
      </c>
      <c r="AV189" t="n">
        <v>3</v>
      </c>
      <c r="AW189" t="n">
        <v>4</v>
      </c>
      <c r="AX189" t="n">
        <v>3</v>
      </c>
      <c r="AY189" t="n">
        <v>4</v>
      </c>
      <c r="AZ189" t="n">
        <v>3</v>
      </c>
      <c r="BA189" t="n">
        <v>4</v>
      </c>
      <c r="BB189" t="n">
        <v>3</v>
      </c>
      <c r="BC189" t="n">
        <v>1</v>
      </c>
      <c r="BD189" t="n">
        <v>4</v>
      </c>
      <c r="BE189" t="n">
        <v>3</v>
      </c>
      <c r="BF189" t="n">
        <v>4</v>
      </c>
      <c r="BG189" t="n">
        <v>2</v>
      </c>
      <c r="BH189" t="n">
        <v>4</v>
      </c>
      <c r="BI189" t="n">
        <v>3</v>
      </c>
      <c r="BJ189" t="n">
        <v>2</v>
      </c>
      <c r="BK189" t="n">
        <v>3</v>
      </c>
      <c r="BL189" t="n">
        <v>2</v>
      </c>
      <c r="BM189" t="n">
        <v>4</v>
      </c>
      <c r="BN189" t="n">
        <v>3</v>
      </c>
      <c r="BO189" t="n">
        <v>3</v>
      </c>
      <c r="BP189" t="n">
        <v>3</v>
      </c>
      <c r="BQ189" t="n">
        <v>3</v>
      </c>
      <c r="BR189" t="n">
        <v>3</v>
      </c>
      <c r="BS189" s="56">
        <f>IF(COUNT(N189:W189)&gt;=8,AVERAGE(N189:W189),"")</f>
        <v/>
      </c>
      <c r="BT189" s="56">
        <f>IF(COUNT(X189:AE189)&gt;=7,AVERAGE(X189:AE189),"")</f>
        <v/>
      </c>
      <c r="BU189" s="56">
        <f>IF(COUNT(AF189:AM189)&gt;=7,AVERAGE(AF189:AM189),"")</f>
        <v/>
      </c>
      <c r="BV189" s="56">
        <f>IF(COUNT(AN189:AV189)&gt;=8,AVERAGE(AN189:AV189),"")</f>
        <v/>
      </c>
      <c r="BW189" s="56">
        <f>IF(COUNT(AW189:BD189)&gt;=7,AVERAGE(AW189:BD189),"")</f>
        <v/>
      </c>
      <c r="BX189" s="56">
        <f>IF(COUNT(BE189:BJ189)&gt;=5,AVERAGE(BE189:BJ189),"")</f>
        <v/>
      </c>
      <c r="BY189" s="56">
        <f>IF(COUNT(BK189:BR189)&gt;=7,AVERAGE(BK189:BR189),"")</f>
        <v/>
      </c>
    </row>
    <row r="190">
      <c r="A190" t="inlineStr">
        <is>
          <t>R159</t>
        </is>
      </c>
      <c r="B190" t="inlineStr">
        <is>
          <t>Yes</t>
        </is>
      </c>
      <c r="C190" t="inlineStr">
        <is>
          <t>Yes</t>
        </is>
      </c>
      <c r="D190" t="inlineStr">
        <is>
          <t>Female</t>
        </is>
      </c>
      <c r="E190" t="inlineStr">
        <is>
          <t>25-34</t>
        </is>
      </c>
      <c r="F190" t="inlineStr">
        <is>
          <t>Bachelor/HND</t>
        </is>
      </c>
      <c r="G190" t="inlineStr">
        <is>
          <t>Commercial bank</t>
        </is>
      </c>
      <c r="H190" t="inlineStr">
        <is>
          <t>Management/Strategy</t>
        </is>
      </c>
      <c r="I190" t="inlineStr">
        <is>
          <t>Less than 2</t>
        </is>
      </c>
      <c r="J190" t="inlineStr">
        <is>
          <t>Yes</t>
        </is>
      </c>
      <c r="K190" t="n">
        <v>3</v>
      </c>
      <c r="L190" t="inlineStr">
        <is>
          <t>Yes</t>
        </is>
      </c>
      <c r="M190" t="inlineStr">
        <is>
          <t>Yes</t>
        </is>
      </c>
      <c r="N190" t="n">
        <v>5</v>
      </c>
      <c r="O190" t="n">
        <v>5</v>
      </c>
      <c r="P190" t="n">
        <v>4</v>
      </c>
      <c r="Q190" t="n">
        <v>5</v>
      </c>
      <c r="R190" t="n">
        <v>5</v>
      </c>
      <c r="S190" t="n">
        <v>5</v>
      </c>
      <c r="T190" t="n">
        <v>4</v>
      </c>
      <c r="U190" t="n">
        <v>5</v>
      </c>
      <c r="V190" t="n">
        <v>5</v>
      </c>
      <c r="W190" t="n">
        <v>4</v>
      </c>
      <c r="X190" t="n">
        <v>3</v>
      </c>
      <c r="Y190" t="n">
        <v>3</v>
      </c>
      <c r="Z190" t="n">
        <v>3</v>
      </c>
      <c r="AA190" t="n">
        <v>2</v>
      </c>
      <c r="AC190" t="n">
        <v>2</v>
      </c>
      <c r="AD190" t="n">
        <v>4</v>
      </c>
      <c r="AE190" t="n">
        <v>2</v>
      </c>
      <c r="AF190" t="n">
        <v>4</v>
      </c>
      <c r="AG190" t="n">
        <v>3</v>
      </c>
      <c r="AH190" t="n">
        <v>2</v>
      </c>
      <c r="AI190" t="n">
        <v>5</v>
      </c>
      <c r="AJ190" t="n">
        <v>3</v>
      </c>
      <c r="AK190" t="n">
        <v>4</v>
      </c>
      <c r="AL190" t="n">
        <v>4</v>
      </c>
      <c r="AM190" t="n">
        <v>3</v>
      </c>
      <c r="AN190" t="n">
        <v>5</v>
      </c>
      <c r="AO190" t="n">
        <v>4</v>
      </c>
      <c r="AP190" t="n">
        <v>3</v>
      </c>
      <c r="AQ190" t="n">
        <v>3</v>
      </c>
      <c r="AR190" t="n">
        <v>3</v>
      </c>
      <c r="AS190" t="n">
        <v>4</v>
      </c>
      <c r="AT190" t="n">
        <v>4</v>
      </c>
      <c r="AU190" t="n">
        <v>3</v>
      </c>
      <c r="AV190" t="n">
        <v>4</v>
      </c>
      <c r="AW190" t="n">
        <v>3</v>
      </c>
      <c r="AX190" t="n">
        <v>4</v>
      </c>
      <c r="AY190" t="n">
        <v>4</v>
      </c>
      <c r="AZ190" t="n">
        <v>3</v>
      </c>
      <c r="BB190" t="n">
        <v>4</v>
      </c>
      <c r="BC190" t="n">
        <v>3</v>
      </c>
      <c r="BD190" t="n">
        <v>4</v>
      </c>
      <c r="BE190" t="n">
        <v>3</v>
      </c>
      <c r="BF190" t="n">
        <v>4</v>
      </c>
      <c r="BG190" t="n">
        <v>3</v>
      </c>
      <c r="BH190" t="n">
        <v>4</v>
      </c>
      <c r="BI190" t="n">
        <v>3</v>
      </c>
      <c r="BJ190" t="n">
        <v>3</v>
      </c>
      <c r="BK190" t="n">
        <v>3</v>
      </c>
      <c r="BM190" t="n">
        <v>3</v>
      </c>
      <c r="BN190" t="n">
        <v>3</v>
      </c>
      <c r="BO190" t="n">
        <v>4</v>
      </c>
      <c r="BP190" t="n">
        <v>4</v>
      </c>
      <c r="BQ190" t="n">
        <v>4</v>
      </c>
      <c r="BR190" t="n">
        <v>3</v>
      </c>
      <c r="BS190" s="56">
        <f>IF(COUNT(N190:W190)&gt;=8,AVERAGE(N190:W190),"")</f>
        <v/>
      </c>
      <c r="BT190" s="56">
        <f>IF(COUNT(X190:AE190)&gt;=7,AVERAGE(X190:AE190),"")</f>
        <v/>
      </c>
      <c r="BU190" s="56">
        <f>IF(COUNT(AF190:AM190)&gt;=7,AVERAGE(AF190:AM190),"")</f>
        <v/>
      </c>
      <c r="BV190" s="56">
        <f>IF(COUNT(AN190:AV190)&gt;=8,AVERAGE(AN190:AV190),"")</f>
        <v/>
      </c>
      <c r="BW190" s="56">
        <f>IF(COUNT(AW190:BD190)&gt;=7,AVERAGE(AW190:BD190),"")</f>
        <v/>
      </c>
      <c r="BX190" s="56">
        <f>IF(COUNT(BE190:BJ190)&gt;=5,AVERAGE(BE190:BJ190),"")</f>
        <v/>
      </c>
      <c r="BY190" s="56">
        <f>IF(COUNT(BK190:BR190)&gt;=7,AVERAGE(BK190:BR190),"")</f>
        <v/>
      </c>
    </row>
    <row r="191">
      <c r="A191" t="inlineStr">
        <is>
          <t>R160</t>
        </is>
      </c>
      <c r="B191" t="inlineStr">
        <is>
          <t>Yes</t>
        </is>
      </c>
      <c r="C191" t="inlineStr">
        <is>
          <t>Yes</t>
        </is>
      </c>
      <c r="D191" t="inlineStr">
        <is>
          <t>Male</t>
        </is>
      </c>
      <c r="E191" t="inlineStr">
        <is>
          <t>45-54</t>
        </is>
      </c>
      <c r="F191" t="inlineStr">
        <is>
          <t>Other</t>
        </is>
      </c>
      <c r="G191" t="inlineStr">
        <is>
          <t>Microfinance bank</t>
        </is>
      </c>
      <c r="H191" t="inlineStr">
        <is>
          <t>Management/Strategy</t>
        </is>
      </c>
      <c r="I191" t="inlineStr">
        <is>
          <t>11-15</t>
        </is>
      </c>
      <c r="J191" t="inlineStr">
        <is>
          <t>Yes</t>
        </is>
      </c>
      <c r="K191" t="n">
        <v>2</v>
      </c>
      <c r="L191" t="inlineStr">
        <is>
          <t>No</t>
        </is>
      </c>
      <c r="M191" t="inlineStr">
        <is>
          <t>Yes</t>
        </is>
      </c>
      <c r="N191" t="n">
        <v>3</v>
      </c>
      <c r="O191" t="n">
        <v>1</v>
      </c>
      <c r="P191" t="n">
        <v>2</v>
      </c>
      <c r="Q191" t="n">
        <v>2</v>
      </c>
      <c r="R191" t="n">
        <v>1</v>
      </c>
      <c r="S191" t="n">
        <v>3</v>
      </c>
      <c r="T191" t="n">
        <v>2</v>
      </c>
      <c r="U191" t="n">
        <v>2</v>
      </c>
      <c r="V191" t="n">
        <v>2</v>
      </c>
      <c r="W191" t="n">
        <v>2</v>
      </c>
      <c r="X191" t="n">
        <v>3</v>
      </c>
      <c r="Y191" t="n">
        <v>2</v>
      </c>
      <c r="Z191" t="n">
        <v>3</v>
      </c>
      <c r="AA191" t="n">
        <v>2</v>
      </c>
      <c r="AB191" t="n">
        <v>2</v>
      </c>
      <c r="AC191" t="n">
        <v>3</v>
      </c>
      <c r="AD191" t="n">
        <v>2</v>
      </c>
      <c r="AE191" t="n">
        <v>2</v>
      </c>
      <c r="AF191" t="n">
        <v>3</v>
      </c>
      <c r="AG191" t="n">
        <v>2</v>
      </c>
      <c r="AH191" t="n">
        <v>3</v>
      </c>
      <c r="AI191" t="n">
        <v>3</v>
      </c>
      <c r="AJ191" t="n">
        <v>2</v>
      </c>
      <c r="AK191" t="n">
        <v>4</v>
      </c>
      <c r="AL191" t="n">
        <v>2</v>
      </c>
      <c r="AM191" t="n">
        <v>3</v>
      </c>
      <c r="AN191" t="n">
        <v>4</v>
      </c>
      <c r="AO191" t="n">
        <v>2</v>
      </c>
      <c r="AP191" t="n">
        <v>3</v>
      </c>
      <c r="AQ191" t="n">
        <v>2</v>
      </c>
      <c r="AR191" t="n">
        <v>3</v>
      </c>
      <c r="AS191" t="n">
        <v>1</v>
      </c>
      <c r="AT191" t="n">
        <v>3</v>
      </c>
      <c r="AU191" t="n">
        <v>2</v>
      </c>
      <c r="AV191" t="n">
        <v>3</v>
      </c>
      <c r="AW191" t="n">
        <v>3</v>
      </c>
      <c r="AX191" t="n">
        <v>2</v>
      </c>
      <c r="AY191" t="n">
        <v>2</v>
      </c>
      <c r="AZ191" t="n">
        <v>2</v>
      </c>
      <c r="BB191" t="n">
        <v>2</v>
      </c>
      <c r="BC191" t="n">
        <v>2</v>
      </c>
      <c r="BD191" t="n">
        <v>1</v>
      </c>
      <c r="BE191" t="n">
        <v>3</v>
      </c>
      <c r="BF191" t="n">
        <v>3</v>
      </c>
      <c r="BG191" t="n">
        <v>3</v>
      </c>
      <c r="BH191" t="n">
        <v>4</v>
      </c>
      <c r="BI191" t="n">
        <v>3</v>
      </c>
      <c r="BJ191" t="n">
        <v>3</v>
      </c>
      <c r="BK191" t="n">
        <v>5</v>
      </c>
      <c r="BL191" t="n">
        <v>3</v>
      </c>
      <c r="BM191" t="n">
        <v>4</v>
      </c>
      <c r="BN191" t="n">
        <v>3</v>
      </c>
      <c r="BO191" t="n">
        <v>4</v>
      </c>
      <c r="BP191" t="n">
        <v>3</v>
      </c>
      <c r="BQ191" t="n">
        <v>3</v>
      </c>
      <c r="BR191" t="n">
        <v>2</v>
      </c>
      <c r="BS191" s="56">
        <f>IF(COUNT(N191:W191)&gt;=8,AVERAGE(N191:W191),"")</f>
        <v/>
      </c>
      <c r="BT191" s="56">
        <f>IF(COUNT(X191:AE191)&gt;=7,AVERAGE(X191:AE191),"")</f>
        <v/>
      </c>
      <c r="BU191" s="56">
        <f>IF(COUNT(AF191:AM191)&gt;=7,AVERAGE(AF191:AM191),"")</f>
        <v/>
      </c>
      <c r="BV191" s="56">
        <f>IF(COUNT(AN191:AV191)&gt;=8,AVERAGE(AN191:AV191),"")</f>
        <v/>
      </c>
      <c r="BW191" s="56">
        <f>IF(COUNT(AW191:BD191)&gt;=7,AVERAGE(AW191:BD191),"")</f>
        <v/>
      </c>
      <c r="BX191" s="56">
        <f>IF(COUNT(BE191:BJ191)&gt;=5,AVERAGE(BE191:BJ191),"")</f>
        <v/>
      </c>
      <c r="BY191" s="56">
        <f>IF(COUNT(BK191:BR191)&gt;=7,AVERAGE(BK191:BR191),"")</f>
        <v/>
      </c>
    </row>
    <row r="192">
      <c r="A192" t="inlineStr">
        <is>
          <t>R161</t>
        </is>
      </c>
      <c r="B192" t="inlineStr">
        <is>
          <t>Yes</t>
        </is>
      </c>
      <c r="C192" t="inlineStr">
        <is>
          <t>Yes</t>
        </is>
      </c>
      <c r="D192" t="inlineStr">
        <is>
          <t>Female</t>
        </is>
      </c>
      <c r="E192" t="inlineStr">
        <is>
          <t>35-44</t>
        </is>
      </c>
      <c r="F192" t="inlineStr">
        <is>
          <t>Diploma/OND/NCE</t>
        </is>
      </c>
      <c r="G192" t="inlineStr">
        <is>
          <t>Commercial bank</t>
        </is>
      </c>
      <c r="H192" t="inlineStr">
        <is>
          <t>IT/Technology</t>
        </is>
      </c>
      <c r="I192" t="inlineStr">
        <is>
          <t>6-10</t>
        </is>
      </c>
      <c r="J192" t="inlineStr">
        <is>
          <t>Yes</t>
        </is>
      </c>
      <c r="K192" t="n">
        <v>3</v>
      </c>
      <c r="L192" t="inlineStr">
        <is>
          <t>Yes</t>
        </is>
      </c>
      <c r="M192" t="inlineStr">
        <is>
          <t>Yes</t>
        </is>
      </c>
      <c r="N192" t="n">
        <v>3</v>
      </c>
      <c r="O192" t="n">
        <v>4</v>
      </c>
      <c r="P192" t="n">
        <v>3</v>
      </c>
      <c r="Q192" t="n">
        <v>3</v>
      </c>
      <c r="R192" t="n">
        <v>3</v>
      </c>
      <c r="S192" t="n">
        <v>4</v>
      </c>
      <c r="T192" t="n">
        <v>2</v>
      </c>
      <c r="U192" t="n">
        <v>3</v>
      </c>
      <c r="V192" t="n">
        <v>4</v>
      </c>
      <c r="W192" t="n">
        <v>3</v>
      </c>
      <c r="X192" t="n">
        <v>3</v>
      </c>
      <c r="Y192" t="n">
        <v>3</v>
      </c>
      <c r="Z192" t="n">
        <v>4</v>
      </c>
      <c r="AA192" t="n">
        <v>3</v>
      </c>
      <c r="AB192" t="n">
        <v>3</v>
      </c>
      <c r="AC192" t="n">
        <v>3</v>
      </c>
      <c r="AD192" t="n">
        <v>3</v>
      </c>
      <c r="AE192" t="n">
        <v>3</v>
      </c>
      <c r="AF192" t="n">
        <v>3</v>
      </c>
      <c r="AG192" t="n">
        <v>3</v>
      </c>
      <c r="AH192" t="n">
        <v>3</v>
      </c>
      <c r="AI192" t="n">
        <v>5</v>
      </c>
      <c r="AJ192" t="n">
        <v>4</v>
      </c>
      <c r="AK192" t="n">
        <v>4</v>
      </c>
      <c r="AL192" t="n">
        <v>3</v>
      </c>
      <c r="AM192" t="n">
        <v>3</v>
      </c>
      <c r="AN192" t="n">
        <v>2</v>
      </c>
      <c r="AO192" t="n">
        <v>3</v>
      </c>
      <c r="AP192" t="n">
        <v>2</v>
      </c>
      <c r="AQ192" t="n">
        <v>2</v>
      </c>
      <c r="AR192" t="n">
        <v>4</v>
      </c>
      <c r="AS192" t="n">
        <v>2</v>
      </c>
      <c r="AT192" t="n">
        <v>2</v>
      </c>
      <c r="AU192" t="n">
        <v>2</v>
      </c>
      <c r="AV192" t="n">
        <v>4</v>
      </c>
      <c r="AW192" t="n">
        <v>3</v>
      </c>
      <c r="AX192" t="n">
        <v>3</v>
      </c>
      <c r="AY192" t="n">
        <v>4</v>
      </c>
      <c r="AZ192" t="n">
        <v>3</v>
      </c>
      <c r="BA192" t="n">
        <v>3</v>
      </c>
      <c r="BB192" t="n">
        <v>4</v>
      </c>
      <c r="BC192" t="n">
        <v>3</v>
      </c>
      <c r="BD192" t="n">
        <v>3</v>
      </c>
      <c r="BE192" t="n">
        <v>3</v>
      </c>
      <c r="BF192" t="n">
        <v>4</v>
      </c>
      <c r="BG192" t="n">
        <v>3</v>
      </c>
      <c r="BH192" t="n">
        <v>5</v>
      </c>
      <c r="BI192" t="n">
        <v>5</v>
      </c>
      <c r="BJ192" t="n">
        <v>4</v>
      </c>
      <c r="BK192" t="n">
        <v>4</v>
      </c>
      <c r="BL192" t="n">
        <v>3</v>
      </c>
      <c r="BM192" t="n">
        <v>4</v>
      </c>
      <c r="BN192" t="n">
        <v>4</v>
      </c>
      <c r="BO192" t="n">
        <v>5</v>
      </c>
      <c r="BP192" t="n">
        <v>5</v>
      </c>
      <c r="BQ192" t="n">
        <v>4</v>
      </c>
      <c r="BR192" t="n">
        <v>4</v>
      </c>
      <c r="BS192" s="56">
        <f>IF(COUNT(N192:W192)&gt;=8,AVERAGE(N192:W192),"")</f>
        <v/>
      </c>
      <c r="BT192" s="56">
        <f>IF(COUNT(X192:AE192)&gt;=7,AVERAGE(X192:AE192),"")</f>
        <v/>
      </c>
      <c r="BU192" s="56">
        <f>IF(COUNT(AF192:AM192)&gt;=7,AVERAGE(AF192:AM192),"")</f>
        <v/>
      </c>
      <c r="BV192" s="56">
        <f>IF(COUNT(AN192:AV192)&gt;=8,AVERAGE(AN192:AV192),"")</f>
        <v/>
      </c>
      <c r="BW192" s="56">
        <f>IF(COUNT(AW192:BD192)&gt;=7,AVERAGE(AW192:BD192),"")</f>
        <v/>
      </c>
      <c r="BX192" s="56">
        <f>IF(COUNT(BE192:BJ192)&gt;=5,AVERAGE(BE192:BJ192),"")</f>
        <v/>
      </c>
      <c r="BY192" s="56">
        <f>IF(COUNT(BK192:BR192)&gt;=7,AVERAGE(BK192:BR192),"")</f>
        <v/>
      </c>
    </row>
    <row r="193">
      <c r="A193" t="inlineStr">
        <is>
          <t>R162</t>
        </is>
      </c>
      <c r="B193" t="inlineStr">
        <is>
          <t>Yes</t>
        </is>
      </c>
      <c r="C193" t="inlineStr">
        <is>
          <t>Yes</t>
        </is>
      </c>
      <c r="D193" t="inlineStr">
        <is>
          <t>Female</t>
        </is>
      </c>
      <c r="E193" t="inlineStr">
        <is>
          <t>45-54</t>
        </is>
      </c>
      <c r="F193" t="inlineStr">
        <is>
          <t>Bachelor/HND</t>
        </is>
      </c>
      <c r="G193" t="inlineStr">
        <is>
          <t>Fintech/payment provider</t>
        </is>
      </c>
      <c r="H193" t="inlineStr">
        <is>
          <t>Relationship/Marketing</t>
        </is>
      </c>
      <c r="I193" t="inlineStr">
        <is>
          <t>6-10</t>
        </is>
      </c>
      <c r="J193" t="inlineStr">
        <is>
          <t>Yes</t>
        </is>
      </c>
      <c r="K193" t="n">
        <v>0</v>
      </c>
      <c r="L193" t="inlineStr">
        <is>
          <t>Do not know</t>
        </is>
      </c>
      <c r="M193" t="inlineStr">
        <is>
          <t>Yes</t>
        </is>
      </c>
      <c r="N193" t="n">
        <v>2</v>
      </c>
      <c r="O193" t="n">
        <v>3</v>
      </c>
      <c r="P193" t="n">
        <v>3</v>
      </c>
      <c r="Q193" t="n">
        <v>1</v>
      </c>
      <c r="R193" t="n">
        <v>1</v>
      </c>
      <c r="S193" t="n">
        <v>3</v>
      </c>
      <c r="T193" t="n">
        <v>2</v>
      </c>
      <c r="U193" t="n">
        <v>2</v>
      </c>
      <c r="V193" t="n">
        <v>3</v>
      </c>
      <c r="W193" t="n">
        <v>1</v>
      </c>
      <c r="X193" t="n">
        <v>3</v>
      </c>
      <c r="Y193" t="n">
        <v>3</v>
      </c>
      <c r="Z193" t="n">
        <v>5</v>
      </c>
      <c r="AA193" t="n">
        <v>4</v>
      </c>
      <c r="AB193" t="n">
        <v>3</v>
      </c>
      <c r="AC193" t="n">
        <v>3</v>
      </c>
      <c r="AD193" t="n">
        <v>3</v>
      </c>
      <c r="AE193" t="n">
        <v>3</v>
      </c>
      <c r="AF193" t="n">
        <v>3</v>
      </c>
      <c r="AG193" t="n">
        <v>4</v>
      </c>
      <c r="AH193" t="n">
        <v>3</v>
      </c>
      <c r="AI193" t="n">
        <v>4</v>
      </c>
      <c r="AK193" t="n">
        <v>3</v>
      </c>
      <c r="AL193" t="n">
        <v>2</v>
      </c>
      <c r="AM193" t="n">
        <v>2</v>
      </c>
      <c r="AN193" t="n">
        <v>3</v>
      </c>
      <c r="AO193" t="n">
        <v>3</v>
      </c>
      <c r="AP193" t="n">
        <v>4</v>
      </c>
      <c r="AQ193" t="n">
        <v>3</v>
      </c>
      <c r="AR193" t="n">
        <v>2</v>
      </c>
      <c r="AS193" t="n">
        <v>2</v>
      </c>
      <c r="AT193" t="n">
        <v>3</v>
      </c>
      <c r="AU193" t="n">
        <v>3</v>
      </c>
      <c r="AV193" t="n">
        <v>3</v>
      </c>
      <c r="AW193" t="n">
        <v>4</v>
      </c>
      <c r="AX193" t="n">
        <v>2</v>
      </c>
      <c r="AY193" t="n">
        <v>3</v>
      </c>
      <c r="AZ193" t="n">
        <v>2</v>
      </c>
      <c r="BA193" t="n">
        <v>3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3</v>
      </c>
      <c r="BH193" t="n">
        <v>3</v>
      </c>
      <c r="BI193" t="n">
        <v>3</v>
      </c>
      <c r="BJ193" t="n">
        <v>3</v>
      </c>
      <c r="BK193" t="n">
        <v>4</v>
      </c>
      <c r="BL193" t="n">
        <v>2</v>
      </c>
      <c r="BM193" t="n">
        <v>3</v>
      </c>
      <c r="BN193" t="n">
        <v>1</v>
      </c>
      <c r="BO193" t="n">
        <v>3</v>
      </c>
      <c r="BP193" t="n">
        <v>4</v>
      </c>
      <c r="BQ193" t="n">
        <v>3</v>
      </c>
      <c r="BR193" t="n">
        <v>2</v>
      </c>
      <c r="BS193" s="56">
        <f>IF(COUNT(N193:W193)&gt;=8,AVERAGE(N193:W193),"")</f>
        <v/>
      </c>
      <c r="BT193" s="56">
        <f>IF(COUNT(X193:AE193)&gt;=7,AVERAGE(X193:AE193),"")</f>
        <v/>
      </c>
      <c r="BU193" s="56">
        <f>IF(COUNT(AF193:AM193)&gt;=7,AVERAGE(AF193:AM193),"")</f>
        <v/>
      </c>
      <c r="BV193" s="56">
        <f>IF(COUNT(AN193:AV193)&gt;=8,AVERAGE(AN193:AV193),"")</f>
        <v/>
      </c>
      <c r="BW193" s="56">
        <f>IF(COUNT(AW193:BD193)&gt;=7,AVERAGE(AW193:BD193),"")</f>
        <v/>
      </c>
      <c r="BX193" s="56">
        <f>IF(COUNT(BE193:BJ193)&gt;=5,AVERAGE(BE193:BJ193),"")</f>
        <v/>
      </c>
      <c r="BY193" s="56">
        <f>IF(COUNT(BK193:BR193)&gt;=7,AVERAGE(BK193:BR193),"")</f>
        <v/>
      </c>
    </row>
    <row r="194">
      <c r="A194" t="inlineStr">
        <is>
          <t>R163</t>
        </is>
      </c>
      <c r="B194" t="inlineStr">
        <is>
          <t>Yes</t>
        </is>
      </c>
      <c r="C194" t="inlineStr">
        <is>
          <t>Yes</t>
        </is>
      </c>
      <c r="D194" t="inlineStr">
        <is>
          <t>Male</t>
        </is>
      </c>
      <c r="E194" t="inlineStr">
        <is>
          <t>25-34</t>
        </is>
      </c>
      <c r="F194" t="inlineStr">
        <is>
          <t>Master's</t>
        </is>
      </c>
      <c r="G194" t="inlineStr">
        <is>
          <t>Commercial bank</t>
        </is>
      </c>
      <c r="H194" t="inlineStr">
        <is>
          <t>IT/Technology</t>
        </is>
      </c>
      <c r="I194" t="inlineStr">
        <is>
          <t>2-5</t>
        </is>
      </c>
      <c r="J194" t="inlineStr">
        <is>
          <t>Yes</t>
        </is>
      </c>
      <c r="K194" t="n">
        <v>0</v>
      </c>
      <c r="L194" t="inlineStr">
        <is>
          <t>No</t>
        </is>
      </c>
      <c r="M194" t="inlineStr">
        <is>
          <t>Yes</t>
        </is>
      </c>
      <c r="N194" t="n">
        <v>1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1</v>
      </c>
      <c r="U194" t="n">
        <v>2</v>
      </c>
      <c r="V194" t="n">
        <v>2</v>
      </c>
      <c r="X194" t="n">
        <v>4</v>
      </c>
      <c r="Y194" t="n">
        <v>4</v>
      </c>
      <c r="Z194" t="n">
        <v>3</v>
      </c>
      <c r="AA194" t="n">
        <v>2</v>
      </c>
      <c r="AB194" t="n">
        <v>4</v>
      </c>
      <c r="AC194" t="n">
        <v>3</v>
      </c>
      <c r="AD194" t="n">
        <v>3</v>
      </c>
      <c r="AE194" t="n">
        <v>3</v>
      </c>
      <c r="AF194" t="n">
        <v>2</v>
      </c>
      <c r="AG194" t="n">
        <v>3</v>
      </c>
      <c r="AH194" t="n">
        <v>2</v>
      </c>
      <c r="AI194" t="n">
        <v>2</v>
      </c>
      <c r="AK194" t="n">
        <v>2</v>
      </c>
      <c r="AL194" t="n">
        <v>2</v>
      </c>
      <c r="AM194" t="n">
        <v>3</v>
      </c>
      <c r="AN194" t="n">
        <v>4</v>
      </c>
      <c r="AO194" t="n">
        <v>4</v>
      </c>
      <c r="AP194" t="n">
        <v>3</v>
      </c>
      <c r="AR194" t="n">
        <v>4</v>
      </c>
      <c r="AS194" t="n">
        <v>4</v>
      </c>
      <c r="AT194" t="n">
        <v>3</v>
      </c>
      <c r="AU194" t="n">
        <v>3</v>
      </c>
      <c r="AV194" t="n">
        <v>4</v>
      </c>
      <c r="AW194" t="n">
        <v>3</v>
      </c>
      <c r="AX194" t="n">
        <v>2</v>
      </c>
      <c r="AY194" t="n">
        <v>2</v>
      </c>
      <c r="AZ194" t="n">
        <v>3</v>
      </c>
      <c r="BA194" t="n">
        <v>3</v>
      </c>
      <c r="BB194" t="n">
        <v>3</v>
      </c>
      <c r="BC194" t="n">
        <v>3</v>
      </c>
      <c r="BD194" t="n">
        <v>2</v>
      </c>
      <c r="BE194" t="n">
        <v>3</v>
      </c>
      <c r="BF194" t="n">
        <v>2</v>
      </c>
      <c r="BG194" t="n">
        <v>1</v>
      </c>
      <c r="BH194" t="n">
        <v>2</v>
      </c>
      <c r="BI194" t="n">
        <v>2</v>
      </c>
      <c r="BJ194" t="n">
        <v>3</v>
      </c>
      <c r="BK194" t="n">
        <v>3</v>
      </c>
      <c r="BL194" t="n">
        <v>2</v>
      </c>
      <c r="BM194" t="n">
        <v>3</v>
      </c>
      <c r="BN194" t="n">
        <v>3</v>
      </c>
      <c r="BO194" t="n">
        <v>3</v>
      </c>
      <c r="BP194" t="n">
        <v>4</v>
      </c>
      <c r="BQ194" t="n">
        <v>3</v>
      </c>
      <c r="BR194" t="n">
        <v>3</v>
      </c>
      <c r="BS194" s="56">
        <f>IF(COUNT(N194:W194)&gt;=8,AVERAGE(N194:W194),"")</f>
        <v/>
      </c>
      <c r="BT194" s="56">
        <f>IF(COUNT(X194:AE194)&gt;=7,AVERAGE(X194:AE194),"")</f>
        <v/>
      </c>
      <c r="BU194" s="56">
        <f>IF(COUNT(AF194:AM194)&gt;=7,AVERAGE(AF194:AM194),"")</f>
        <v/>
      </c>
      <c r="BV194" s="56">
        <f>IF(COUNT(AN194:AV194)&gt;=8,AVERAGE(AN194:AV194),"")</f>
        <v/>
      </c>
      <c r="BW194" s="56">
        <f>IF(COUNT(AW194:BD194)&gt;=7,AVERAGE(AW194:BD194),"")</f>
        <v/>
      </c>
      <c r="BX194" s="56">
        <f>IF(COUNT(BE194:BJ194)&gt;=5,AVERAGE(BE194:BJ194),"")</f>
        <v/>
      </c>
      <c r="BY194" s="56">
        <f>IF(COUNT(BK194:BR194)&gt;=7,AVERAGE(BK194:BR194),"")</f>
        <v/>
      </c>
    </row>
    <row r="195">
      <c r="A195" t="inlineStr">
        <is>
          <t>R164</t>
        </is>
      </c>
      <c r="B195" t="inlineStr">
        <is>
          <t>Yes</t>
        </is>
      </c>
      <c r="C195" t="inlineStr">
        <is>
          <t>Yes</t>
        </is>
      </c>
      <c r="D195" t="inlineStr">
        <is>
          <t>Male</t>
        </is>
      </c>
      <c r="E195" t="inlineStr">
        <is>
          <t>25-34</t>
        </is>
      </c>
      <c r="F195" t="inlineStr">
        <is>
          <t>Diploma/OND/NCE</t>
        </is>
      </c>
      <c r="G195" t="inlineStr">
        <is>
          <t>Digital bank/neobank</t>
        </is>
      </c>
      <c r="H195" t="inlineStr">
        <is>
          <t>Management/Strategy</t>
        </is>
      </c>
      <c r="I195" t="inlineStr">
        <is>
          <t>6-10</t>
        </is>
      </c>
      <c r="J195" t="inlineStr">
        <is>
          <t>Yes</t>
        </is>
      </c>
      <c r="K195" t="n">
        <v>1</v>
      </c>
      <c r="L195" t="inlineStr">
        <is>
          <t>No</t>
        </is>
      </c>
      <c r="M195" t="inlineStr">
        <is>
          <t>Yes</t>
        </is>
      </c>
      <c r="N195" t="n">
        <v>4</v>
      </c>
      <c r="O195" t="n">
        <v>4</v>
      </c>
      <c r="P195" t="n">
        <v>4</v>
      </c>
      <c r="Q195" t="n">
        <v>4</v>
      </c>
      <c r="R195" t="n">
        <v>5</v>
      </c>
      <c r="S195" t="n">
        <v>3</v>
      </c>
      <c r="T195" t="n">
        <v>3</v>
      </c>
      <c r="U195" t="n">
        <v>3</v>
      </c>
      <c r="V195" t="n">
        <v>4</v>
      </c>
      <c r="W195" t="n">
        <v>4</v>
      </c>
      <c r="X195" t="n">
        <v>4</v>
      </c>
      <c r="Y195" t="n">
        <v>1</v>
      </c>
      <c r="Z195" t="n">
        <v>2</v>
      </c>
      <c r="AA195" t="n">
        <v>2</v>
      </c>
      <c r="AB195" t="n">
        <v>1</v>
      </c>
      <c r="AC195" t="n">
        <v>2</v>
      </c>
      <c r="AD195" t="n">
        <v>3</v>
      </c>
      <c r="AE195" t="n">
        <v>1</v>
      </c>
      <c r="AF195" t="n">
        <v>3</v>
      </c>
      <c r="AG195" t="n">
        <v>3</v>
      </c>
      <c r="AH195" t="n">
        <v>2</v>
      </c>
      <c r="AI195" t="n">
        <v>4</v>
      </c>
      <c r="AJ195" t="n">
        <v>2</v>
      </c>
      <c r="AK195" t="n">
        <v>3</v>
      </c>
      <c r="AL195" t="n">
        <v>3</v>
      </c>
      <c r="AM195" t="n">
        <v>3</v>
      </c>
      <c r="AN195" t="n">
        <v>4</v>
      </c>
      <c r="AO195" t="n">
        <v>4</v>
      </c>
      <c r="AP195" t="n">
        <v>3</v>
      </c>
      <c r="AQ195" t="n">
        <v>3</v>
      </c>
      <c r="AR195" t="n">
        <v>4</v>
      </c>
      <c r="AS195" t="n">
        <v>3</v>
      </c>
      <c r="AT195" t="n">
        <v>4</v>
      </c>
      <c r="AU195" t="n">
        <v>3</v>
      </c>
      <c r="AV195" t="n">
        <v>3</v>
      </c>
      <c r="AW195" t="n">
        <v>4</v>
      </c>
      <c r="AX195" t="n">
        <v>3</v>
      </c>
      <c r="AY195" t="n">
        <v>3</v>
      </c>
      <c r="AZ195" t="n">
        <v>3</v>
      </c>
      <c r="BA195" t="n">
        <v>3</v>
      </c>
      <c r="BB195" t="n">
        <v>3</v>
      </c>
      <c r="BC195" t="n">
        <v>4</v>
      </c>
      <c r="BD195" t="n">
        <v>3</v>
      </c>
      <c r="BE195" t="n">
        <v>3</v>
      </c>
      <c r="BF195" t="n">
        <v>3</v>
      </c>
      <c r="BG195" t="n">
        <v>2</v>
      </c>
      <c r="BH195" t="n">
        <v>4</v>
      </c>
      <c r="BI195" t="n">
        <v>4</v>
      </c>
      <c r="BJ195" t="n">
        <v>4</v>
      </c>
      <c r="BK195" t="n">
        <v>4</v>
      </c>
      <c r="BL195" t="n">
        <v>3</v>
      </c>
      <c r="BM195" t="n">
        <v>4</v>
      </c>
      <c r="BN195" t="n">
        <v>4</v>
      </c>
      <c r="BO195" t="n">
        <v>3</v>
      </c>
      <c r="BP195" t="n">
        <v>3</v>
      </c>
      <c r="BQ195" t="n">
        <v>5</v>
      </c>
      <c r="BR195" t="n">
        <v>4</v>
      </c>
      <c r="BS195" s="56">
        <f>IF(COUNT(N195:W195)&gt;=8,AVERAGE(N195:W195),"")</f>
        <v/>
      </c>
      <c r="BT195" s="56">
        <f>IF(COUNT(X195:AE195)&gt;=7,AVERAGE(X195:AE195),"")</f>
        <v/>
      </c>
      <c r="BU195" s="56">
        <f>IF(COUNT(AF195:AM195)&gt;=7,AVERAGE(AF195:AM195),"")</f>
        <v/>
      </c>
      <c r="BV195" s="56">
        <f>IF(COUNT(AN195:AV195)&gt;=8,AVERAGE(AN195:AV195),"")</f>
        <v/>
      </c>
      <c r="BW195" s="56">
        <f>IF(COUNT(AW195:BD195)&gt;=7,AVERAGE(AW195:BD195),"")</f>
        <v/>
      </c>
      <c r="BX195" s="56">
        <f>IF(COUNT(BE195:BJ195)&gt;=5,AVERAGE(BE195:BJ195),"")</f>
        <v/>
      </c>
      <c r="BY195" s="56">
        <f>IF(COUNT(BK195:BR195)&gt;=7,AVERAGE(BK195:BR195),"")</f>
        <v/>
      </c>
    </row>
    <row r="196">
      <c r="A196" t="inlineStr">
        <is>
          <t>R165</t>
        </is>
      </c>
      <c r="B196" t="inlineStr">
        <is>
          <t>Yes</t>
        </is>
      </c>
      <c r="C196" t="inlineStr">
        <is>
          <t>Yes</t>
        </is>
      </c>
      <c r="D196" t="inlineStr">
        <is>
          <t>Female</t>
        </is>
      </c>
      <c r="E196" t="inlineStr">
        <is>
          <t>25-34</t>
        </is>
      </c>
      <c r="F196" t="inlineStr">
        <is>
          <t>Postgraduate Diploma</t>
        </is>
      </c>
      <c r="G196" t="inlineStr">
        <is>
          <t>Insurance/investment/other licensed financial institution</t>
        </is>
      </c>
      <c r="H196" t="inlineStr">
        <is>
          <t>Relationship/Marketing</t>
        </is>
      </c>
      <c r="I196" t="inlineStr">
        <is>
          <t>2-5</t>
        </is>
      </c>
      <c r="J196" t="inlineStr">
        <is>
          <t>Yes</t>
        </is>
      </c>
      <c r="K196" t="n">
        <v>3</v>
      </c>
      <c r="L196" t="inlineStr">
        <is>
          <t>Yes</t>
        </is>
      </c>
      <c r="M196" t="inlineStr">
        <is>
          <t>Yes</t>
        </is>
      </c>
      <c r="N196" t="n">
        <v>5</v>
      </c>
      <c r="O196" t="n">
        <v>2</v>
      </c>
      <c r="P196" t="n">
        <v>4</v>
      </c>
      <c r="Q196" t="n">
        <v>2</v>
      </c>
      <c r="R196" t="n">
        <v>2</v>
      </c>
      <c r="S196" t="n">
        <v>3</v>
      </c>
      <c r="T196" t="n">
        <v>2</v>
      </c>
      <c r="V196" t="n">
        <v>4</v>
      </c>
      <c r="W196" t="n">
        <v>3</v>
      </c>
      <c r="X196" t="n">
        <v>3</v>
      </c>
      <c r="Y196" t="n">
        <v>1</v>
      </c>
      <c r="Z196" t="n">
        <v>4</v>
      </c>
      <c r="AA196" t="n">
        <v>2</v>
      </c>
      <c r="AB196" t="n">
        <v>2</v>
      </c>
      <c r="AC196" t="n">
        <v>3</v>
      </c>
      <c r="AD196" t="n">
        <v>3</v>
      </c>
      <c r="AE196" t="n">
        <v>3</v>
      </c>
      <c r="AF196" t="n">
        <v>2</v>
      </c>
      <c r="AG196" t="n">
        <v>3</v>
      </c>
      <c r="AH196" t="n">
        <v>2</v>
      </c>
      <c r="AI196" t="n">
        <v>4</v>
      </c>
      <c r="AJ196" t="n">
        <v>4</v>
      </c>
      <c r="AK196" t="n">
        <v>4</v>
      </c>
      <c r="AL196" t="n">
        <v>4</v>
      </c>
      <c r="AM196" t="n">
        <v>3</v>
      </c>
      <c r="AN196" t="n">
        <v>2</v>
      </c>
      <c r="AO196" t="n">
        <v>2</v>
      </c>
      <c r="AP196" t="n">
        <v>2</v>
      </c>
      <c r="AQ196" t="n">
        <v>2</v>
      </c>
      <c r="AR196" t="n">
        <v>3</v>
      </c>
      <c r="AS196" t="n">
        <v>2</v>
      </c>
      <c r="AT196" t="n">
        <v>3</v>
      </c>
      <c r="AU196" t="n">
        <v>2</v>
      </c>
      <c r="AV196" t="n">
        <v>3</v>
      </c>
      <c r="AW196" t="n">
        <v>4</v>
      </c>
      <c r="AX196" t="n">
        <v>3</v>
      </c>
      <c r="AY196" t="n">
        <v>3</v>
      </c>
      <c r="AZ196" t="n">
        <v>3</v>
      </c>
      <c r="BA196" t="n">
        <v>4</v>
      </c>
      <c r="BB196" t="n">
        <v>5</v>
      </c>
      <c r="BC196" t="n">
        <v>4</v>
      </c>
      <c r="BD196" t="n">
        <v>3</v>
      </c>
      <c r="BE196" t="n">
        <v>3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1</v>
      </c>
      <c r="BM196" t="n">
        <v>3</v>
      </c>
      <c r="BN196" t="n">
        <v>3</v>
      </c>
      <c r="BQ196" t="n">
        <v>3</v>
      </c>
      <c r="BR196" t="n">
        <v>2</v>
      </c>
      <c r="BS196" s="56">
        <f>IF(COUNT(N196:W196)&gt;=8,AVERAGE(N196:W196),"")</f>
        <v/>
      </c>
      <c r="BT196" s="56">
        <f>IF(COUNT(X196:AE196)&gt;=7,AVERAGE(X196:AE196),"")</f>
        <v/>
      </c>
      <c r="BU196" s="56">
        <f>IF(COUNT(AF196:AM196)&gt;=7,AVERAGE(AF196:AM196),"")</f>
        <v/>
      </c>
      <c r="BV196" s="56">
        <f>IF(COUNT(AN196:AV196)&gt;=8,AVERAGE(AN196:AV196),"")</f>
        <v/>
      </c>
      <c r="BW196" s="56">
        <f>IF(COUNT(AW196:BD196)&gt;=7,AVERAGE(AW196:BD196),"")</f>
        <v/>
      </c>
      <c r="BX196" s="56">
        <f>IF(COUNT(BE196:BJ196)&gt;=5,AVERAGE(BE196:BJ196),"")</f>
        <v/>
      </c>
      <c r="BY196" s="56">
        <f>IF(COUNT(BK196:BR196)&gt;=7,AVERAGE(BK196:BR196),"")</f>
        <v/>
      </c>
    </row>
    <row r="197">
      <c r="A197" t="inlineStr">
        <is>
          <t>R166</t>
        </is>
      </c>
      <c r="B197" t="inlineStr">
        <is>
          <t>Yes</t>
        </is>
      </c>
      <c r="C197" t="inlineStr">
        <is>
          <t>Yes</t>
        </is>
      </c>
      <c r="D197" t="inlineStr">
        <is>
          <t>Male</t>
        </is>
      </c>
      <c r="E197" t="inlineStr">
        <is>
          <t>35-44</t>
        </is>
      </c>
      <c r="F197" t="inlineStr">
        <is>
          <t>Postgraduate Diploma</t>
        </is>
      </c>
      <c r="G197" t="inlineStr">
        <is>
          <t>Merchant bank</t>
        </is>
      </c>
      <c r="H197" t="inlineStr">
        <is>
          <t>Customer Experience/Service</t>
        </is>
      </c>
      <c r="I197" t="inlineStr">
        <is>
          <t>6-10</t>
        </is>
      </c>
      <c r="J197" t="inlineStr">
        <is>
          <t>Yes</t>
        </is>
      </c>
      <c r="K197" t="n">
        <v>3</v>
      </c>
      <c r="L197" t="inlineStr">
        <is>
          <t>Yes</t>
        </is>
      </c>
      <c r="M197" t="inlineStr">
        <is>
          <t>Yes</t>
        </is>
      </c>
      <c r="N197" t="n">
        <v>3</v>
      </c>
      <c r="O197" t="n">
        <v>4</v>
      </c>
      <c r="P197" t="n">
        <v>5</v>
      </c>
      <c r="Q197" t="n">
        <v>2</v>
      </c>
      <c r="R197" t="n">
        <v>4</v>
      </c>
      <c r="S197" t="n">
        <v>3</v>
      </c>
      <c r="T197" t="n">
        <v>3</v>
      </c>
      <c r="U197" t="n">
        <v>4</v>
      </c>
      <c r="V197" t="n">
        <v>3</v>
      </c>
      <c r="W197" t="n">
        <v>3</v>
      </c>
      <c r="X197" t="n">
        <v>3</v>
      </c>
      <c r="Y197" t="n">
        <v>3</v>
      </c>
      <c r="Z197" t="n">
        <v>4</v>
      </c>
      <c r="AA197" t="n">
        <v>2</v>
      </c>
      <c r="AB197" t="n">
        <v>3</v>
      </c>
      <c r="AC197" t="n">
        <v>3</v>
      </c>
      <c r="AD197" t="n">
        <v>3</v>
      </c>
      <c r="AE197" t="n">
        <v>3</v>
      </c>
      <c r="AF197" t="n">
        <v>2</v>
      </c>
      <c r="AG197" t="n">
        <v>3</v>
      </c>
      <c r="AH197" t="n">
        <v>2</v>
      </c>
      <c r="AI197" t="n">
        <v>3</v>
      </c>
      <c r="AJ197" t="n">
        <v>2</v>
      </c>
      <c r="AK197" t="n">
        <v>3</v>
      </c>
      <c r="AL197" t="n">
        <v>3</v>
      </c>
      <c r="AM197" t="n">
        <v>3</v>
      </c>
      <c r="AN197" t="n">
        <v>3</v>
      </c>
      <c r="AO197" t="n">
        <v>2</v>
      </c>
      <c r="AP197" t="n">
        <v>3</v>
      </c>
      <c r="AQ197" t="n">
        <v>2</v>
      </c>
      <c r="AR197" t="n">
        <v>4</v>
      </c>
      <c r="AS197" t="n">
        <v>4</v>
      </c>
      <c r="AT197" t="n">
        <v>2</v>
      </c>
      <c r="AU197" t="n">
        <v>2</v>
      </c>
      <c r="AV197" t="n">
        <v>3</v>
      </c>
      <c r="AW197" t="n">
        <v>3</v>
      </c>
      <c r="AX197" t="n">
        <v>2</v>
      </c>
      <c r="AY197" t="n">
        <v>3</v>
      </c>
      <c r="AZ197" t="n">
        <v>1</v>
      </c>
      <c r="BA197" t="n">
        <v>2</v>
      </c>
      <c r="BB197" t="n">
        <v>3</v>
      </c>
      <c r="BC197" t="n">
        <v>4</v>
      </c>
      <c r="BD197" t="n">
        <v>1</v>
      </c>
      <c r="BE197" t="n">
        <v>3</v>
      </c>
      <c r="BF197" t="n">
        <v>4</v>
      </c>
      <c r="BG197" t="n">
        <v>2</v>
      </c>
      <c r="BH197" t="n">
        <v>4</v>
      </c>
      <c r="BI197" t="n">
        <v>4</v>
      </c>
      <c r="BJ197" t="n">
        <v>2</v>
      </c>
      <c r="BK197" t="n">
        <v>4</v>
      </c>
      <c r="BL197" t="n">
        <v>2</v>
      </c>
      <c r="BM197" t="n">
        <v>1</v>
      </c>
      <c r="BN197" t="n">
        <v>4</v>
      </c>
      <c r="BO197" t="n">
        <v>3</v>
      </c>
      <c r="BP197" t="n">
        <v>3</v>
      </c>
      <c r="BQ197" t="n">
        <v>3</v>
      </c>
      <c r="BS197" s="56">
        <f>IF(COUNT(N197:W197)&gt;=8,AVERAGE(N197:W197),"")</f>
        <v/>
      </c>
      <c r="BT197" s="56">
        <f>IF(COUNT(X197:AE197)&gt;=7,AVERAGE(X197:AE197),"")</f>
        <v/>
      </c>
      <c r="BU197" s="56">
        <f>IF(COUNT(AF197:AM197)&gt;=7,AVERAGE(AF197:AM197),"")</f>
        <v/>
      </c>
      <c r="BV197" s="56">
        <f>IF(COUNT(AN197:AV197)&gt;=8,AVERAGE(AN197:AV197),"")</f>
        <v/>
      </c>
      <c r="BW197" s="56">
        <f>IF(COUNT(AW197:BD197)&gt;=7,AVERAGE(AW197:BD197),"")</f>
        <v/>
      </c>
      <c r="BX197" s="56">
        <f>IF(COUNT(BE197:BJ197)&gt;=5,AVERAGE(BE197:BJ197),"")</f>
        <v/>
      </c>
      <c r="BY197" s="56">
        <f>IF(COUNT(BK197:BR197)&gt;=7,AVERAGE(BK197:BR197),"")</f>
        <v/>
      </c>
    </row>
    <row r="198">
      <c r="A198" t="inlineStr">
        <is>
          <t>R167</t>
        </is>
      </c>
      <c r="B198" t="inlineStr">
        <is>
          <t>Yes</t>
        </is>
      </c>
      <c r="C198" t="inlineStr">
        <is>
          <t>Yes</t>
        </is>
      </c>
      <c r="D198" t="inlineStr">
        <is>
          <t>Male</t>
        </is>
      </c>
      <c r="E198" t="inlineStr">
        <is>
          <t>18-24</t>
        </is>
      </c>
      <c r="F198" t="inlineStr">
        <is>
          <t>Master's</t>
        </is>
      </c>
      <c r="G198" t="inlineStr">
        <is>
          <t>Commercial bank</t>
        </is>
      </c>
      <c r="H198" t="inlineStr">
        <is>
          <t>Digital Banking/Product</t>
        </is>
      </c>
      <c r="I198" t="inlineStr">
        <is>
          <t>Less than 2</t>
        </is>
      </c>
      <c r="J198" t="inlineStr">
        <is>
          <t>Yes</t>
        </is>
      </c>
      <c r="K198" t="n">
        <v>4</v>
      </c>
      <c r="L198" t="inlineStr">
        <is>
          <t>No</t>
        </is>
      </c>
      <c r="M198" t="inlineStr">
        <is>
          <t>Yes</t>
        </is>
      </c>
      <c r="N198" t="n">
        <v>4</v>
      </c>
      <c r="O198" t="n">
        <v>3</v>
      </c>
      <c r="P198" t="n">
        <v>3</v>
      </c>
      <c r="Q198" t="n">
        <v>4</v>
      </c>
      <c r="R198" t="n">
        <v>3</v>
      </c>
      <c r="S198" t="n">
        <v>2</v>
      </c>
      <c r="T198" t="n">
        <v>3</v>
      </c>
      <c r="U198" t="n">
        <v>2</v>
      </c>
      <c r="V198" t="n">
        <v>4</v>
      </c>
      <c r="W198" t="n">
        <v>3</v>
      </c>
      <c r="X198" t="n">
        <v>3</v>
      </c>
      <c r="Y198" t="n">
        <v>2</v>
      </c>
      <c r="Z198" t="n">
        <v>3</v>
      </c>
      <c r="AA198" t="n">
        <v>3</v>
      </c>
      <c r="AB198" t="n">
        <v>2</v>
      </c>
      <c r="AC198" t="n">
        <v>4</v>
      </c>
      <c r="AD198" t="n">
        <v>3</v>
      </c>
      <c r="AE198" t="n">
        <v>3</v>
      </c>
      <c r="AF198" t="n">
        <v>3</v>
      </c>
      <c r="AG198" t="n">
        <v>4</v>
      </c>
      <c r="AH198" t="n">
        <v>3</v>
      </c>
      <c r="AI198" t="n">
        <v>3</v>
      </c>
      <c r="AJ198" t="n">
        <v>3</v>
      </c>
      <c r="AK198" t="n">
        <v>4</v>
      </c>
      <c r="AL198" t="n">
        <v>3</v>
      </c>
      <c r="AM198" t="n">
        <v>5</v>
      </c>
      <c r="AN198" t="n">
        <v>3</v>
      </c>
      <c r="AO198" t="n">
        <v>3</v>
      </c>
      <c r="AQ198" t="n">
        <v>4</v>
      </c>
      <c r="AR198" t="n">
        <v>4</v>
      </c>
      <c r="AS198" t="n">
        <v>4</v>
      </c>
      <c r="AT198" t="n">
        <v>5</v>
      </c>
      <c r="AU198" t="n">
        <v>5</v>
      </c>
      <c r="AV198" t="n">
        <v>4</v>
      </c>
      <c r="AW198" t="n">
        <v>4</v>
      </c>
      <c r="AX198" t="n">
        <v>3</v>
      </c>
      <c r="AY198" t="n">
        <v>3</v>
      </c>
      <c r="AZ198" t="n">
        <v>3</v>
      </c>
      <c r="BA198" t="n">
        <v>3</v>
      </c>
      <c r="BB198" t="n">
        <v>3</v>
      </c>
      <c r="BC198" t="n">
        <v>3</v>
      </c>
      <c r="BD198" t="n">
        <v>2</v>
      </c>
      <c r="BE198" t="n">
        <v>2</v>
      </c>
      <c r="BF198" t="n">
        <v>3</v>
      </c>
      <c r="BG198" t="n">
        <v>2</v>
      </c>
      <c r="BH198" t="n">
        <v>3</v>
      </c>
      <c r="BI198" t="n">
        <v>2</v>
      </c>
      <c r="BJ198" t="n">
        <v>2</v>
      </c>
      <c r="BK198" t="n">
        <v>2</v>
      </c>
      <c r="BL198" t="n">
        <v>2</v>
      </c>
      <c r="BM198" t="n">
        <v>2</v>
      </c>
      <c r="BN198" t="n">
        <v>1</v>
      </c>
      <c r="BO198" t="n">
        <v>3</v>
      </c>
      <c r="BP198" t="n">
        <v>1</v>
      </c>
      <c r="BQ198" t="n">
        <v>3</v>
      </c>
      <c r="BR198" t="n">
        <v>2</v>
      </c>
      <c r="BS198" s="56">
        <f>IF(COUNT(N198:W198)&gt;=8,AVERAGE(N198:W198),"")</f>
        <v/>
      </c>
      <c r="BT198" s="56">
        <f>IF(COUNT(X198:AE198)&gt;=7,AVERAGE(X198:AE198),"")</f>
        <v/>
      </c>
      <c r="BU198" s="56">
        <f>IF(COUNT(AF198:AM198)&gt;=7,AVERAGE(AF198:AM198),"")</f>
        <v/>
      </c>
      <c r="BV198" s="56">
        <f>IF(COUNT(AN198:AV198)&gt;=8,AVERAGE(AN198:AV198),"")</f>
        <v/>
      </c>
      <c r="BW198" s="56">
        <f>IF(COUNT(AW198:BD198)&gt;=7,AVERAGE(AW198:BD198),"")</f>
        <v/>
      </c>
      <c r="BX198" s="56">
        <f>IF(COUNT(BE198:BJ198)&gt;=5,AVERAGE(BE198:BJ198),"")</f>
        <v/>
      </c>
      <c r="BY198" s="56">
        <f>IF(COUNT(BK198:BR198)&gt;=7,AVERAGE(BK198:BR198),"")</f>
        <v/>
      </c>
    </row>
    <row r="199">
      <c r="A199" t="inlineStr">
        <is>
          <t>R168</t>
        </is>
      </c>
      <c r="B199" t="inlineStr">
        <is>
          <t>Yes</t>
        </is>
      </c>
      <c r="C199" t="inlineStr">
        <is>
          <t>Yes</t>
        </is>
      </c>
      <c r="D199" t="inlineStr">
        <is>
          <t>Male</t>
        </is>
      </c>
      <c r="E199" t="inlineStr">
        <is>
          <t>35-44</t>
        </is>
      </c>
      <c r="F199" t="inlineStr">
        <is>
          <t>Bachelor/HND</t>
        </is>
      </c>
      <c r="G199" t="inlineStr">
        <is>
          <t>Commercial bank</t>
        </is>
      </c>
      <c r="H199" t="inlineStr">
        <is>
          <t>IT/Technology</t>
        </is>
      </c>
      <c r="I199" t="inlineStr">
        <is>
          <t>2-5</t>
        </is>
      </c>
      <c r="J199" t="inlineStr">
        <is>
          <t>Yes</t>
        </is>
      </c>
      <c r="K199" t="n">
        <v>1</v>
      </c>
      <c r="L199" t="inlineStr">
        <is>
          <t>Yes</t>
        </is>
      </c>
      <c r="M199" t="inlineStr">
        <is>
          <t>Yes</t>
        </is>
      </c>
      <c r="N199" t="n">
        <v>4</v>
      </c>
      <c r="O199" t="n">
        <v>4</v>
      </c>
      <c r="P199" t="n">
        <v>4</v>
      </c>
      <c r="Q199" t="n">
        <v>2</v>
      </c>
      <c r="S199" t="n">
        <v>3</v>
      </c>
      <c r="T199" t="n">
        <v>1</v>
      </c>
      <c r="U199" t="n">
        <v>4</v>
      </c>
      <c r="V199" t="n">
        <v>3</v>
      </c>
      <c r="W199" t="n">
        <v>2</v>
      </c>
      <c r="X199" t="n">
        <v>2</v>
      </c>
      <c r="Y199" t="n">
        <v>1</v>
      </c>
      <c r="Z199" t="n">
        <v>1</v>
      </c>
      <c r="AA199" t="n">
        <v>1</v>
      </c>
      <c r="AB199" t="n">
        <v>2</v>
      </c>
      <c r="AC199" t="n">
        <v>3</v>
      </c>
      <c r="AD199" t="n">
        <v>3</v>
      </c>
      <c r="AE199" t="n">
        <v>2</v>
      </c>
      <c r="AF199" t="n">
        <v>2</v>
      </c>
      <c r="AG199" t="n">
        <v>4</v>
      </c>
      <c r="AH199" t="n">
        <v>3</v>
      </c>
      <c r="AI199" t="n">
        <v>3</v>
      </c>
      <c r="AJ199" t="n">
        <v>3</v>
      </c>
      <c r="AK199" t="n">
        <v>4</v>
      </c>
      <c r="AL199" t="n">
        <v>2</v>
      </c>
      <c r="AM199" t="n">
        <v>4</v>
      </c>
      <c r="AN199" t="n">
        <v>4</v>
      </c>
      <c r="AO199" t="n">
        <v>2</v>
      </c>
      <c r="AP199" t="n">
        <v>3</v>
      </c>
      <c r="AQ199" t="n">
        <v>3</v>
      </c>
      <c r="AR199" t="n">
        <v>1</v>
      </c>
      <c r="AS199" t="n">
        <v>3</v>
      </c>
      <c r="AT199" t="n">
        <v>3</v>
      </c>
      <c r="AU199" t="n">
        <v>3</v>
      </c>
      <c r="AW199" t="n">
        <v>3</v>
      </c>
      <c r="AX199" t="n">
        <v>3</v>
      </c>
      <c r="AY199" t="n">
        <v>4</v>
      </c>
      <c r="AZ199" t="n">
        <v>2</v>
      </c>
      <c r="BA199" t="n">
        <v>3</v>
      </c>
      <c r="BB199" t="n">
        <v>2</v>
      </c>
      <c r="BC199" t="n">
        <v>3</v>
      </c>
      <c r="BD199" t="n">
        <v>4</v>
      </c>
      <c r="BE199" t="n">
        <v>2</v>
      </c>
      <c r="BF199" t="n">
        <v>3</v>
      </c>
      <c r="BG199" t="n">
        <v>3</v>
      </c>
      <c r="BH199" t="n">
        <v>2</v>
      </c>
      <c r="BI199" t="n">
        <v>4</v>
      </c>
      <c r="BJ199" t="n">
        <v>3</v>
      </c>
      <c r="BK199" t="n">
        <v>3</v>
      </c>
      <c r="BL199" t="n">
        <v>2</v>
      </c>
      <c r="BM199" t="n">
        <v>3</v>
      </c>
      <c r="BN199" t="n">
        <v>2</v>
      </c>
      <c r="BO199" t="n">
        <v>2</v>
      </c>
      <c r="BP199" t="n">
        <v>3</v>
      </c>
      <c r="BQ199" t="n">
        <v>3</v>
      </c>
      <c r="BR199" t="n">
        <v>2</v>
      </c>
      <c r="BS199" s="56">
        <f>IF(COUNT(N199:W199)&gt;=8,AVERAGE(N199:W199),"")</f>
        <v/>
      </c>
      <c r="BT199" s="56">
        <f>IF(COUNT(X199:AE199)&gt;=7,AVERAGE(X199:AE199),"")</f>
        <v/>
      </c>
      <c r="BU199" s="56">
        <f>IF(COUNT(AF199:AM199)&gt;=7,AVERAGE(AF199:AM199),"")</f>
        <v/>
      </c>
      <c r="BV199" s="56">
        <f>IF(COUNT(AN199:AV199)&gt;=8,AVERAGE(AN199:AV199),"")</f>
        <v/>
      </c>
      <c r="BW199" s="56">
        <f>IF(COUNT(AW199:BD199)&gt;=7,AVERAGE(AW199:BD199),"")</f>
        <v/>
      </c>
      <c r="BX199" s="56">
        <f>IF(COUNT(BE199:BJ199)&gt;=5,AVERAGE(BE199:BJ199),"")</f>
        <v/>
      </c>
      <c r="BY199" s="56">
        <f>IF(COUNT(BK199:BR199)&gt;=7,AVERAGE(BK199:BR199),"")</f>
        <v/>
      </c>
    </row>
    <row r="200">
      <c r="A200" t="inlineStr">
        <is>
          <t>R169</t>
        </is>
      </c>
      <c r="B200" t="inlineStr">
        <is>
          <t>Yes</t>
        </is>
      </c>
      <c r="C200" t="inlineStr">
        <is>
          <t>Yes</t>
        </is>
      </c>
      <c r="D200" t="inlineStr">
        <is>
          <t>Male</t>
        </is>
      </c>
      <c r="E200" t="inlineStr">
        <is>
          <t>25-34</t>
        </is>
      </c>
      <c r="F200" t="inlineStr">
        <is>
          <t>Master's</t>
        </is>
      </c>
      <c r="G200" t="inlineStr">
        <is>
          <t>Fintech/payment provider</t>
        </is>
      </c>
      <c r="H200" t="inlineStr">
        <is>
          <t>Other</t>
        </is>
      </c>
      <c r="I200" t="inlineStr">
        <is>
          <t>Less than 2</t>
        </is>
      </c>
      <c r="J200" t="inlineStr">
        <is>
          <t>Yes</t>
        </is>
      </c>
      <c r="K200" t="n">
        <v>3</v>
      </c>
      <c r="L200" t="inlineStr">
        <is>
          <t>Yes</t>
        </is>
      </c>
      <c r="M200" t="inlineStr">
        <is>
          <t>Yes</t>
        </is>
      </c>
      <c r="N200" t="n">
        <v>3</v>
      </c>
      <c r="O200" t="n">
        <v>1</v>
      </c>
      <c r="P200" t="n">
        <v>4</v>
      </c>
      <c r="Q200" t="n">
        <v>3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4</v>
      </c>
      <c r="Y200" t="n">
        <v>4</v>
      </c>
      <c r="Z200" t="n">
        <v>4</v>
      </c>
      <c r="AA200" t="n">
        <v>3</v>
      </c>
      <c r="AB200" t="n">
        <v>3</v>
      </c>
      <c r="AC200" t="n">
        <v>3</v>
      </c>
      <c r="AD200" t="n">
        <v>5</v>
      </c>
      <c r="AE200" t="n">
        <v>4</v>
      </c>
      <c r="AF200" t="n">
        <v>1</v>
      </c>
      <c r="AG200" t="n">
        <v>3</v>
      </c>
      <c r="AH200" t="n">
        <v>2</v>
      </c>
      <c r="AI200" t="n">
        <v>2</v>
      </c>
      <c r="AJ200" t="n">
        <v>2</v>
      </c>
      <c r="AK200" t="n">
        <v>4</v>
      </c>
      <c r="AL200" t="n">
        <v>3</v>
      </c>
      <c r="AM200" t="n">
        <v>3</v>
      </c>
      <c r="AN200" t="n">
        <v>4</v>
      </c>
      <c r="AO200" t="n">
        <v>4</v>
      </c>
      <c r="AP200" t="n">
        <v>4</v>
      </c>
      <c r="AQ200" t="n">
        <v>3</v>
      </c>
      <c r="AR200" t="n">
        <v>4</v>
      </c>
      <c r="AS200" t="n">
        <v>5</v>
      </c>
      <c r="AT200" t="n">
        <v>5</v>
      </c>
      <c r="AU200" t="n">
        <v>3</v>
      </c>
      <c r="AV200" t="n">
        <v>4</v>
      </c>
      <c r="AW200" t="n">
        <v>4</v>
      </c>
      <c r="AX200" t="n">
        <v>3</v>
      </c>
      <c r="AY200" t="n">
        <v>3</v>
      </c>
      <c r="AZ200" t="n">
        <v>2</v>
      </c>
      <c r="BA200" t="n">
        <v>4</v>
      </c>
      <c r="BB200" t="n">
        <v>3</v>
      </c>
      <c r="BC200" t="n">
        <v>3</v>
      </c>
      <c r="BD200" t="n">
        <v>5</v>
      </c>
      <c r="BE200" t="n">
        <v>4</v>
      </c>
      <c r="BF200" t="n">
        <v>4</v>
      </c>
      <c r="BG200" t="n">
        <v>4</v>
      </c>
      <c r="BH200" t="n">
        <v>2</v>
      </c>
      <c r="BI200" t="n">
        <v>5</v>
      </c>
      <c r="BJ200" t="n">
        <v>4</v>
      </c>
      <c r="BK200" t="n">
        <v>3</v>
      </c>
      <c r="BL200" t="n">
        <v>2</v>
      </c>
      <c r="BM200" t="n">
        <v>3</v>
      </c>
      <c r="BN200" t="n">
        <v>3</v>
      </c>
      <c r="BO200" t="n">
        <v>4</v>
      </c>
      <c r="BP200" t="n">
        <v>3</v>
      </c>
      <c r="BQ200" t="n">
        <v>3</v>
      </c>
      <c r="BR200" t="n">
        <v>2</v>
      </c>
      <c r="BS200" s="56">
        <f>IF(COUNT(N200:W200)&gt;=8,AVERAGE(N200:W200),"")</f>
        <v/>
      </c>
      <c r="BT200" s="56">
        <f>IF(COUNT(X200:AE200)&gt;=7,AVERAGE(X200:AE200),"")</f>
        <v/>
      </c>
      <c r="BU200" s="56">
        <f>IF(COUNT(AF200:AM200)&gt;=7,AVERAGE(AF200:AM200),"")</f>
        <v/>
      </c>
      <c r="BV200" s="56">
        <f>IF(COUNT(AN200:AV200)&gt;=8,AVERAGE(AN200:AV200),"")</f>
        <v/>
      </c>
      <c r="BW200" s="56">
        <f>IF(COUNT(AW200:BD200)&gt;=7,AVERAGE(AW200:BD200),"")</f>
        <v/>
      </c>
      <c r="BX200" s="56">
        <f>IF(COUNT(BE200:BJ200)&gt;=5,AVERAGE(BE200:BJ200),"")</f>
        <v/>
      </c>
      <c r="BY200" s="56">
        <f>IF(COUNT(BK200:BR200)&gt;=7,AVERAGE(BK200:BR200),"")</f>
        <v/>
      </c>
    </row>
    <row r="201">
      <c r="A201" t="inlineStr">
        <is>
          <t>R170</t>
        </is>
      </c>
      <c r="B201" t="inlineStr">
        <is>
          <t>Yes</t>
        </is>
      </c>
      <c r="C201" t="inlineStr">
        <is>
          <t>Yes</t>
        </is>
      </c>
      <c r="D201" t="inlineStr">
        <is>
          <t>Male</t>
        </is>
      </c>
      <c r="E201" t="inlineStr">
        <is>
          <t>25-34</t>
        </is>
      </c>
      <c r="F201" t="inlineStr">
        <is>
          <t>Bachelor/HND</t>
        </is>
      </c>
      <c r="G201" t="inlineStr">
        <is>
          <t>Digital bank/neobank</t>
        </is>
      </c>
      <c r="H201" t="inlineStr">
        <is>
          <t>IT/Technology</t>
        </is>
      </c>
      <c r="I201" t="inlineStr">
        <is>
          <t>11-15</t>
        </is>
      </c>
      <c r="J201" t="inlineStr">
        <is>
          <t>Yes</t>
        </is>
      </c>
      <c r="K201" t="n">
        <v>1</v>
      </c>
      <c r="L201" t="inlineStr">
        <is>
          <t>Yes</t>
        </is>
      </c>
      <c r="M201" t="inlineStr">
        <is>
          <t>Yes</t>
        </is>
      </c>
      <c r="N201" t="n">
        <v>3</v>
      </c>
      <c r="O201" t="n">
        <v>3</v>
      </c>
      <c r="P201" t="n">
        <v>4</v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3</v>
      </c>
      <c r="W201" t="n">
        <v>3</v>
      </c>
      <c r="X201" t="n">
        <v>2</v>
      </c>
      <c r="Y201" t="n">
        <v>2</v>
      </c>
      <c r="Z201" t="n">
        <v>3</v>
      </c>
      <c r="AA201" t="n">
        <v>3</v>
      </c>
      <c r="AB201" t="n">
        <v>3</v>
      </c>
      <c r="AC201" t="n">
        <v>2</v>
      </c>
      <c r="AD201" t="n">
        <v>3</v>
      </c>
      <c r="AE201" t="n">
        <v>3</v>
      </c>
      <c r="AF201" t="n">
        <v>2</v>
      </c>
      <c r="AG201" t="n">
        <v>3</v>
      </c>
      <c r="AH201" t="n">
        <v>3</v>
      </c>
      <c r="AI201" t="n">
        <v>3</v>
      </c>
      <c r="AJ201" t="n">
        <v>5</v>
      </c>
      <c r="AK201" t="n">
        <v>3</v>
      </c>
      <c r="AL201" t="n">
        <v>3</v>
      </c>
      <c r="AM201" t="n">
        <v>4</v>
      </c>
      <c r="AN201" t="n">
        <v>2</v>
      </c>
      <c r="AO201" t="n">
        <v>1</v>
      </c>
      <c r="AP201" t="n">
        <v>2</v>
      </c>
      <c r="AR201" t="n">
        <v>1</v>
      </c>
      <c r="AS201" t="n">
        <v>1</v>
      </c>
      <c r="AT201" t="n">
        <v>1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1</v>
      </c>
      <c r="BA201" t="n">
        <v>2</v>
      </c>
      <c r="BB201" t="n">
        <v>1</v>
      </c>
      <c r="BC201" t="n">
        <v>1</v>
      </c>
      <c r="BD201" t="n">
        <v>1</v>
      </c>
      <c r="BE201" t="n">
        <v>2</v>
      </c>
      <c r="BF201" t="n">
        <v>3</v>
      </c>
      <c r="BG201" t="n">
        <v>1</v>
      </c>
      <c r="BH201" t="n">
        <v>2</v>
      </c>
      <c r="BI201" t="n">
        <v>2</v>
      </c>
      <c r="BJ201" t="n">
        <v>2</v>
      </c>
      <c r="BL201" t="n">
        <v>2</v>
      </c>
      <c r="BM201" t="n">
        <v>4</v>
      </c>
      <c r="BN201" t="n">
        <v>4</v>
      </c>
      <c r="BO201" t="n">
        <v>4</v>
      </c>
      <c r="BP201" t="n">
        <v>4</v>
      </c>
      <c r="BQ201" t="n">
        <v>3</v>
      </c>
      <c r="BR201" t="n">
        <v>4</v>
      </c>
      <c r="BS201" s="56">
        <f>IF(COUNT(N201:W201)&gt;=8,AVERAGE(N201:W201),"")</f>
        <v/>
      </c>
      <c r="BT201" s="56">
        <f>IF(COUNT(X201:AE201)&gt;=7,AVERAGE(X201:AE201),"")</f>
        <v/>
      </c>
      <c r="BU201" s="56">
        <f>IF(COUNT(AF201:AM201)&gt;=7,AVERAGE(AF201:AM201),"")</f>
        <v/>
      </c>
      <c r="BV201" s="56">
        <f>IF(COUNT(AN201:AV201)&gt;=8,AVERAGE(AN201:AV201),"")</f>
        <v/>
      </c>
      <c r="BW201" s="56">
        <f>IF(COUNT(AW201:BD201)&gt;=7,AVERAGE(AW201:BD201),"")</f>
        <v/>
      </c>
      <c r="BX201" s="56">
        <f>IF(COUNT(BE201:BJ201)&gt;=5,AVERAGE(BE201:BJ201),"")</f>
        <v/>
      </c>
      <c r="BY201" s="56">
        <f>IF(COUNT(BK201:BR201)&gt;=7,AVERAGE(BK201:BR201),"")</f>
        <v/>
      </c>
    </row>
    <row r="202">
      <c r="A202" t="inlineStr">
        <is>
          <t>R171</t>
        </is>
      </c>
      <c r="B202" t="inlineStr">
        <is>
          <t>Yes</t>
        </is>
      </c>
      <c r="C202" t="inlineStr">
        <is>
          <t>Yes</t>
        </is>
      </c>
      <c r="D202" t="inlineStr">
        <is>
          <t>Female</t>
        </is>
      </c>
      <c r="E202" t="inlineStr">
        <is>
          <t>45-54</t>
        </is>
      </c>
      <c r="F202" t="inlineStr">
        <is>
          <t>Master's</t>
        </is>
      </c>
      <c r="G202" t="inlineStr">
        <is>
          <t>Commercial bank</t>
        </is>
      </c>
      <c r="H202" t="inlineStr">
        <is>
          <t>Data/Analytics/AI</t>
        </is>
      </c>
      <c r="I202" t="inlineStr">
        <is>
          <t>6-10</t>
        </is>
      </c>
      <c r="J202" t="inlineStr">
        <is>
          <t>Yes</t>
        </is>
      </c>
      <c r="K202" t="n">
        <v>3</v>
      </c>
      <c r="L202" t="inlineStr">
        <is>
          <t>Yes</t>
        </is>
      </c>
      <c r="M202" t="inlineStr">
        <is>
          <t>Yes</t>
        </is>
      </c>
      <c r="N202" t="n">
        <v>3</v>
      </c>
      <c r="O202" t="n">
        <v>4</v>
      </c>
      <c r="P202" t="n">
        <v>3</v>
      </c>
      <c r="Q202" t="n">
        <v>3</v>
      </c>
      <c r="R202" t="n">
        <v>2</v>
      </c>
      <c r="S202" t="n">
        <v>3</v>
      </c>
      <c r="T202" t="n">
        <v>2</v>
      </c>
      <c r="U202" t="n">
        <v>3</v>
      </c>
      <c r="V202" t="n">
        <v>4</v>
      </c>
      <c r="W202" t="n">
        <v>4</v>
      </c>
      <c r="X202" t="n">
        <v>2</v>
      </c>
      <c r="Y202" t="n">
        <v>2</v>
      </c>
      <c r="Z202" t="n">
        <v>3</v>
      </c>
      <c r="AA202" t="n">
        <v>2</v>
      </c>
      <c r="AB202" t="n">
        <v>3</v>
      </c>
      <c r="AC202" t="n">
        <v>2</v>
      </c>
      <c r="AD202" t="n">
        <v>2</v>
      </c>
      <c r="AE202" t="n">
        <v>1</v>
      </c>
      <c r="AF202" t="n">
        <v>3</v>
      </c>
      <c r="AH202" t="n">
        <v>3</v>
      </c>
      <c r="AI202" t="n">
        <v>3</v>
      </c>
      <c r="AJ202" t="n">
        <v>2</v>
      </c>
      <c r="AK202" t="n">
        <v>2</v>
      </c>
      <c r="AL202" t="n">
        <v>3</v>
      </c>
      <c r="AM202" t="n">
        <v>2</v>
      </c>
      <c r="AN202" t="n">
        <v>3</v>
      </c>
      <c r="AO202" t="n">
        <v>2</v>
      </c>
      <c r="AP202" t="n">
        <v>2</v>
      </c>
      <c r="AQ202" t="n">
        <v>2</v>
      </c>
      <c r="AR202" t="n">
        <v>3</v>
      </c>
      <c r="AS202" t="n">
        <v>2</v>
      </c>
      <c r="AT202" t="n">
        <v>3</v>
      </c>
      <c r="AU202" t="n">
        <v>2</v>
      </c>
      <c r="AV202" t="n">
        <v>2</v>
      </c>
      <c r="AW202" t="n">
        <v>2</v>
      </c>
      <c r="AX202" t="n">
        <v>3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3</v>
      </c>
      <c r="BF202" t="n">
        <v>3</v>
      </c>
      <c r="BG202" t="n">
        <v>3</v>
      </c>
      <c r="BH202" t="n">
        <v>5</v>
      </c>
      <c r="BI202" t="n">
        <v>5</v>
      </c>
      <c r="BJ202" t="n">
        <v>3</v>
      </c>
      <c r="BK202" t="n">
        <v>4</v>
      </c>
      <c r="BL202" t="n">
        <v>2</v>
      </c>
      <c r="BM202" t="n">
        <v>3</v>
      </c>
      <c r="BN202" t="n">
        <v>3</v>
      </c>
      <c r="BO202" t="n">
        <v>4</v>
      </c>
      <c r="BP202" t="n">
        <v>3</v>
      </c>
      <c r="BQ202" t="n">
        <v>4</v>
      </c>
      <c r="BR202" t="n">
        <v>2</v>
      </c>
      <c r="BS202" s="56">
        <f>IF(COUNT(N202:W202)&gt;=8,AVERAGE(N202:W202),"")</f>
        <v/>
      </c>
      <c r="BT202" s="56">
        <f>IF(COUNT(X202:AE202)&gt;=7,AVERAGE(X202:AE202),"")</f>
        <v/>
      </c>
      <c r="BU202" s="56">
        <f>IF(COUNT(AF202:AM202)&gt;=7,AVERAGE(AF202:AM202),"")</f>
        <v/>
      </c>
      <c r="BV202" s="56">
        <f>IF(COUNT(AN202:AV202)&gt;=8,AVERAGE(AN202:AV202),"")</f>
        <v/>
      </c>
      <c r="BW202" s="56">
        <f>IF(COUNT(AW202:BD202)&gt;=7,AVERAGE(AW202:BD202),"")</f>
        <v/>
      </c>
      <c r="BX202" s="56">
        <f>IF(COUNT(BE202:BJ202)&gt;=5,AVERAGE(BE202:BJ202),"")</f>
        <v/>
      </c>
      <c r="BY202" s="56">
        <f>IF(COUNT(BK202:BR202)&gt;=7,AVERAGE(BK202:BR202),"")</f>
        <v/>
      </c>
    </row>
    <row r="203">
      <c r="A203" t="inlineStr">
        <is>
          <t>R172</t>
        </is>
      </c>
      <c r="B203" t="inlineStr">
        <is>
          <t>Yes</t>
        </is>
      </c>
      <c r="C203" t="inlineStr">
        <is>
          <t>Yes</t>
        </is>
      </c>
      <c r="D203" t="inlineStr">
        <is>
          <t>Male</t>
        </is>
      </c>
      <c r="E203" t="inlineStr">
        <is>
          <t>45-54</t>
        </is>
      </c>
      <c r="F203" t="inlineStr">
        <is>
          <t>Bachelor/HND</t>
        </is>
      </c>
      <c r="G203" t="inlineStr">
        <is>
          <t>Commercial bank</t>
        </is>
      </c>
      <c r="H203" t="inlineStr">
        <is>
          <t>Relationship/Marketing</t>
        </is>
      </c>
      <c r="I203" t="inlineStr">
        <is>
          <t>6-10</t>
        </is>
      </c>
      <c r="J203" t="inlineStr">
        <is>
          <t>Yes</t>
        </is>
      </c>
      <c r="K203" t="n">
        <v>1</v>
      </c>
      <c r="L203" t="inlineStr">
        <is>
          <t>No</t>
        </is>
      </c>
      <c r="M203" t="inlineStr">
        <is>
          <t>Yes</t>
        </is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3</v>
      </c>
      <c r="T203" t="n">
        <v>2</v>
      </c>
      <c r="U203" t="n">
        <v>3</v>
      </c>
      <c r="V203" t="n">
        <v>3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3</v>
      </c>
      <c r="AC203" t="n">
        <v>3</v>
      </c>
      <c r="AD203" t="n">
        <v>3</v>
      </c>
      <c r="AE203" t="n">
        <v>2</v>
      </c>
      <c r="AF203" t="n">
        <v>2</v>
      </c>
      <c r="AG203" t="n">
        <v>3</v>
      </c>
      <c r="AH203" t="n">
        <v>3</v>
      </c>
      <c r="AI203" t="n">
        <v>4</v>
      </c>
      <c r="AJ203" t="n">
        <v>2</v>
      </c>
      <c r="AK203" t="n">
        <v>3</v>
      </c>
      <c r="AL203" t="n">
        <v>4</v>
      </c>
      <c r="AM203" t="n">
        <v>3</v>
      </c>
      <c r="AN203" t="n">
        <v>4</v>
      </c>
      <c r="AP203" t="n">
        <v>3</v>
      </c>
      <c r="AQ203" t="n">
        <v>2</v>
      </c>
      <c r="AR203" t="n">
        <v>4</v>
      </c>
      <c r="AS203" t="n">
        <v>2</v>
      </c>
      <c r="AT203" t="n">
        <v>4</v>
      </c>
      <c r="AU203" t="n">
        <v>2</v>
      </c>
      <c r="AV203" t="n">
        <v>3</v>
      </c>
      <c r="AW203" t="n">
        <v>3</v>
      </c>
      <c r="AX203" t="n">
        <v>3</v>
      </c>
      <c r="AY203" t="n">
        <v>2</v>
      </c>
      <c r="AZ203" t="n">
        <v>2</v>
      </c>
      <c r="BA203" t="n">
        <v>3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2</v>
      </c>
      <c r="BH203" t="n">
        <v>2</v>
      </c>
      <c r="BI203" t="n">
        <v>2</v>
      </c>
      <c r="BJ203" t="n">
        <v>2</v>
      </c>
      <c r="BK203" t="n">
        <v>4</v>
      </c>
      <c r="BM203" t="n">
        <v>3</v>
      </c>
      <c r="BN203" t="n">
        <v>3</v>
      </c>
      <c r="BO203" t="n">
        <v>2</v>
      </c>
      <c r="BP203" t="n">
        <v>3</v>
      </c>
      <c r="BQ203" t="n">
        <v>4</v>
      </c>
      <c r="BR203" t="n">
        <v>2</v>
      </c>
      <c r="BS203" s="56">
        <f>IF(COUNT(N203:W203)&gt;=8,AVERAGE(N203:W203),"")</f>
        <v/>
      </c>
      <c r="BT203" s="56">
        <f>IF(COUNT(X203:AE203)&gt;=7,AVERAGE(X203:AE203),"")</f>
        <v/>
      </c>
      <c r="BU203" s="56">
        <f>IF(COUNT(AF203:AM203)&gt;=7,AVERAGE(AF203:AM203),"")</f>
        <v/>
      </c>
      <c r="BV203" s="56">
        <f>IF(COUNT(AN203:AV203)&gt;=8,AVERAGE(AN203:AV203),"")</f>
        <v/>
      </c>
      <c r="BW203" s="56">
        <f>IF(COUNT(AW203:BD203)&gt;=7,AVERAGE(AW203:BD203),"")</f>
        <v/>
      </c>
      <c r="BX203" s="56">
        <f>IF(COUNT(BE203:BJ203)&gt;=5,AVERAGE(BE203:BJ203),"")</f>
        <v/>
      </c>
      <c r="BY203" s="56">
        <f>IF(COUNT(BK203:BR203)&gt;=7,AVERAGE(BK203:BR203),"")</f>
        <v/>
      </c>
    </row>
    <row r="204">
      <c r="A204" t="inlineStr">
        <is>
          <t>R173</t>
        </is>
      </c>
      <c r="B204" t="inlineStr">
        <is>
          <t>Yes</t>
        </is>
      </c>
      <c r="C204" t="inlineStr">
        <is>
          <t>Yes</t>
        </is>
      </c>
      <c r="D204" t="inlineStr">
        <is>
          <t>Male</t>
        </is>
      </c>
      <c r="E204" t="inlineStr">
        <is>
          <t>35-44</t>
        </is>
      </c>
      <c r="F204" t="inlineStr">
        <is>
          <t>Master's</t>
        </is>
      </c>
      <c r="G204" t="inlineStr">
        <is>
          <t>Fintech/payment provider</t>
        </is>
      </c>
      <c r="H204" t="inlineStr">
        <is>
          <t>Management/Strategy</t>
        </is>
      </c>
      <c r="I204" t="inlineStr">
        <is>
          <t>Less than 2</t>
        </is>
      </c>
      <c r="J204" t="inlineStr">
        <is>
          <t>Yes</t>
        </is>
      </c>
      <c r="K204" t="n">
        <v>3</v>
      </c>
      <c r="L204" t="inlineStr">
        <is>
          <t>Yes</t>
        </is>
      </c>
      <c r="M204" t="inlineStr">
        <is>
          <t>Yes</t>
        </is>
      </c>
      <c r="N204" t="n">
        <v>3</v>
      </c>
      <c r="O204" t="n">
        <v>2</v>
      </c>
      <c r="P204" t="n">
        <v>4</v>
      </c>
      <c r="Q204" t="n">
        <v>2</v>
      </c>
      <c r="R204" t="n">
        <v>4</v>
      </c>
      <c r="S204" t="n">
        <v>3</v>
      </c>
      <c r="T204" t="n">
        <v>3</v>
      </c>
      <c r="U204" t="n">
        <v>2</v>
      </c>
      <c r="V204" t="n">
        <v>3</v>
      </c>
      <c r="W204" t="n">
        <v>4</v>
      </c>
      <c r="X204" t="n">
        <v>4</v>
      </c>
      <c r="Y204" t="n">
        <v>3</v>
      </c>
      <c r="Z204" t="n">
        <v>4</v>
      </c>
      <c r="AA204" t="n">
        <v>2</v>
      </c>
      <c r="AB204" t="n">
        <v>3</v>
      </c>
      <c r="AC204" t="n">
        <v>3</v>
      </c>
      <c r="AD204" t="n">
        <v>4</v>
      </c>
      <c r="AE204" t="n">
        <v>2</v>
      </c>
      <c r="AF204" t="n">
        <v>2</v>
      </c>
      <c r="AG204" t="n">
        <v>4</v>
      </c>
      <c r="AH204" t="n">
        <v>2</v>
      </c>
      <c r="AI204" t="n">
        <v>2</v>
      </c>
      <c r="AJ204" t="n">
        <v>3</v>
      </c>
      <c r="AK204" t="n">
        <v>4</v>
      </c>
      <c r="AL204" t="n">
        <v>3</v>
      </c>
      <c r="AM204" t="n">
        <v>3</v>
      </c>
      <c r="AN204" t="n">
        <v>4</v>
      </c>
      <c r="AO204" t="n">
        <v>3</v>
      </c>
      <c r="AP204" t="n">
        <v>5</v>
      </c>
      <c r="AQ204" t="n">
        <v>3</v>
      </c>
      <c r="AR204" t="n">
        <v>3</v>
      </c>
      <c r="AS204" t="n">
        <v>3</v>
      </c>
      <c r="AT204" t="n">
        <v>4</v>
      </c>
      <c r="AU204" t="n">
        <v>4</v>
      </c>
      <c r="AV204" t="n">
        <v>3</v>
      </c>
      <c r="AW204" t="n">
        <v>4</v>
      </c>
      <c r="AX204" t="n">
        <v>4</v>
      </c>
      <c r="AY204" t="n">
        <v>4</v>
      </c>
      <c r="AZ204" t="n">
        <v>3</v>
      </c>
      <c r="BA204" t="n">
        <v>4</v>
      </c>
      <c r="BB204" t="n">
        <v>3</v>
      </c>
      <c r="BC204" t="n">
        <v>5</v>
      </c>
      <c r="BD204" t="n">
        <v>3</v>
      </c>
      <c r="BE204" t="n">
        <v>4</v>
      </c>
      <c r="BF204" t="n">
        <v>3</v>
      </c>
      <c r="BG204" t="n">
        <v>4</v>
      </c>
      <c r="BH204" t="n">
        <v>4</v>
      </c>
      <c r="BI204" t="n">
        <v>4</v>
      </c>
      <c r="BJ204" t="n">
        <v>4</v>
      </c>
      <c r="BK204" t="n">
        <v>5</v>
      </c>
      <c r="BL204" t="n">
        <v>4</v>
      </c>
      <c r="BM204" t="n">
        <v>5</v>
      </c>
      <c r="BN204" t="n">
        <v>4</v>
      </c>
      <c r="BO204" t="n">
        <v>4</v>
      </c>
      <c r="BP204" t="n">
        <v>5</v>
      </c>
      <c r="BQ204" t="n">
        <v>5</v>
      </c>
      <c r="BR204" t="n">
        <v>4</v>
      </c>
      <c r="BS204" s="56">
        <f>IF(COUNT(N204:W204)&gt;=8,AVERAGE(N204:W204),"")</f>
        <v/>
      </c>
      <c r="BT204" s="56">
        <f>IF(COUNT(X204:AE204)&gt;=7,AVERAGE(X204:AE204),"")</f>
        <v/>
      </c>
      <c r="BU204" s="56">
        <f>IF(COUNT(AF204:AM204)&gt;=7,AVERAGE(AF204:AM204),"")</f>
        <v/>
      </c>
      <c r="BV204" s="56">
        <f>IF(COUNT(AN204:AV204)&gt;=8,AVERAGE(AN204:AV204),"")</f>
        <v/>
      </c>
      <c r="BW204" s="56">
        <f>IF(COUNT(AW204:BD204)&gt;=7,AVERAGE(AW204:BD204),"")</f>
        <v/>
      </c>
      <c r="BX204" s="56">
        <f>IF(COUNT(BE204:BJ204)&gt;=5,AVERAGE(BE204:BJ204),"")</f>
        <v/>
      </c>
      <c r="BY204" s="56">
        <f>IF(COUNT(BK204:BR204)&gt;=7,AVERAGE(BK204:BR204),"")</f>
        <v/>
      </c>
    </row>
    <row r="205">
      <c r="A205" t="inlineStr">
        <is>
          <t>R174</t>
        </is>
      </c>
      <c r="B205" t="inlineStr">
        <is>
          <t>Yes</t>
        </is>
      </c>
      <c r="C205" t="inlineStr">
        <is>
          <t>Yes</t>
        </is>
      </c>
      <c r="D205" t="inlineStr">
        <is>
          <t>Female</t>
        </is>
      </c>
      <c r="E205" t="inlineStr">
        <is>
          <t>25-34</t>
        </is>
      </c>
      <c r="F205" t="inlineStr">
        <is>
          <t>Postgraduate Diploma</t>
        </is>
      </c>
      <c r="G205" t="inlineStr">
        <is>
          <t>Digital bank/neobank</t>
        </is>
      </c>
      <c r="H205" t="inlineStr">
        <is>
          <t>Digital Banking/Product</t>
        </is>
      </c>
      <c r="I205" t="inlineStr">
        <is>
          <t>11-15</t>
        </is>
      </c>
      <c r="J205" t="inlineStr">
        <is>
          <t>Yes</t>
        </is>
      </c>
      <c r="K205" t="n">
        <v>0</v>
      </c>
      <c r="L205" t="inlineStr">
        <is>
          <t>No</t>
        </is>
      </c>
      <c r="M205" t="inlineStr">
        <is>
          <t>Yes</t>
        </is>
      </c>
      <c r="N205" t="n">
        <v>4</v>
      </c>
      <c r="O205" t="n">
        <v>3</v>
      </c>
      <c r="P205" t="n">
        <v>2</v>
      </c>
      <c r="Q205" t="n">
        <v>2</v>
      </c>
      <c r="R205" t="n">
        <v>3</v>
      </c>
      <c r="S205" t="n">
        <v>2</v>
      </c>
      <c r="T205" t="n">
        <v>2</v>
      </c>
      <c r="U205" t="n">
        <v>2</v>
      </c>
      <c r="V205" t="n">
        <v>4</v>
      </c>
      <c r="W205" t="n">
        <v>2</v>
      </c>
      <c r="X205" t="n">
        <v>1</v>
      </c>
      <c r="Y205" t="n">
        <v>1</v>
      </c>
      <c r="Z205" t="n">
        <v>2</v>
      </c>
      <c r="AA205" t="n">
        <v>1</v>
      </c>
      <c r="AB205" t="n">
        <v>1</v>
      </c>
      <c r="AC205" t="n">
        <v>3</v>
      </c>
      <c r="AD205" t="n">
        <v>2</v>
      </c>
      <c r="AE205" t="n">
        <v>1</v>
      </c>
      <c r="AF205" t="n">
        <v>2</v>
      </c>
      <c r="AG205" t="n">
        <v>3</v>
      </c>
      <c r="AH205" t="n">
        <v>2</v>
      </c>
      <c r="AI205" t="n">
        <v>3</v>
      </c>
      <c r="AJ205" t="n">
        <v>2</v>
      </c>
      <c r="AK205" t="n">
        <v>2</v>
      </c>
      <c r="AL205" t="n">
        <v>2</v>
      </c>
      <c r="AM205" t="n">
        <v>2</v>
      </c>
      <c r="AN205" t="n">
        <v>3</v>
      </c>
      <c r="AO205" t="n">
        <v>3</v>
      </c>
      <c r="AP205" t="n">
        <v>3</v>
      </c>
      <c r="AQ205" t="n">
        <v>1</v>
      </c>
      <c r="AR205" t="n">
        <v>3</v>
      </c>
      <c r="AS205" t="n">
        <v>2</v>
      </c>
      <c r="AT205" t="n">
        <v>1</v>
      </c>
      <c r="AU205" t="n">
        <v>3</v>
      </c>
      <c r="AV205" t="n">
        <v>2</v>
      </c>
      <c r="AW205" t="n">
        <v>1</v>
      </c>
      <c r="AX205" t="n">
        <v>2</v>
      </c>
      <c r="AY205" t="n">
        <v>2</v>
      </c>
      <c r="AZ205" t="n">
        <v>2</v>
      </c>
      <c r="BA205" t="n">
        <v>3</v>
      </c>
      <c r="BB205" t="n">
        <v>2</v>
      </c>
      <c r="BC205" t="n">
        <v>1</v>
      </c>
      <c r="BD205" t="n">
        <v>2</v>
      </c>
      <c r="BE205" t="n">
        <v>1</v>
      </c>
      <c r="BF205" t="n">
        <v>2</v>
      </c>
      <c r="BG205" t="n">
        <v>2</v>
      </c>
      <c r="BH205" t="n">
        <v>2</v>
      </c>
      <c r="BI205" t="n">
        <v>2</v>
      </c>
      <c r="BJ205" t="n">
        <v>2</v>
      </c>
      <c r="BK205" t="n">
        <v>5</v>
      </c>
      <c r="BL205" t="n">
        <v>4</v>
      </c>
      <c r="BM205" t="n">
        <v>4</v>
      </c>
      <c r="BN205" t="n">
        <v>3</v>
      </c>
      <c r="BO205" t="n">
        <v>4</v>
      </c>
      <c r="BP205" t="n">
        <v>4</v>
      </c>
      <c r="BQ205" t="n">
        <v>5</v>
      </c>
      <c r="BR205" t="n">
        <v>4</v>
      </c>
      <c r="BS205" s="56">
        <f>IF(COUNT(N205:W205)&gt;=8,AVERAGE(N205:W205),"")</f>
        <v/>
      </c>
      <c r="BT205" s="56">
        <f>IF(COUNT(X205:AE205)&gt;=7,AVERAGE(X205:AE205),"")</f>
        <v/>
      </c>
      <c r="BU205" s="56">
        <f>IF(COUNT(AF205:AM205)&gt;=7,AVERAGE(AF205:AM205),"")</f>
        <v/>
      </c>
      <c r="BV205" s="56">
        <f>IF(COUNT(AN205:AV205)&gt;=8,AVERAGE(AN205:AV205),"")</f>
        <v/>
      </c>
      <c r="BW205" s="56">
        <f>IF(COUNT(AW205:BD205)&gt;=7,AVERAGE(AW205:BD205),"")</f>
        <v/>
      </c>
      <c r="BX205" s="56">
        <f>IF(COUNT(BE205:BJ205)&gt;=5,AVERAGE(BE205:BJ205),"")</f>
        <v/>
      </c>
      <c r="BY205" s="56">
        <f>IF(COUNT(BK205:BR205)&gt;=7,AVERAGE(BK205:BR205),"")</f>
        <v/>
      </c>
    </row>
    <row r="206">
      <c r="A206" t="inlineStr">
        <is>
          <t>R175</t>
        </is>
      </c>
      <c r="B206" t="inlineStr">
        <is>
          <t>Yes</t>
        </is>
      </c>
      <c r="C206" t="inlineStr">
        <is>
          <t>Yes</t>
        </is>
      </c>
      <c r="D206" t="inlineStr">
        <is>
          <t>Male</t>
        </is>
      </c>
      <c r="E206" t="inlineStr">
        <is>
          <t>55 or above</t>
        </is>
      </c>
      <c r="F206" t="inlineStr">
        <is>
          <t>Master's</t>
        </is>
      </c>
      <c r="G206" t="inlineStr">
        <is>
          <t>Commercial bank</t>
        </is>
      </c>
      <c r="H206" t="inlineStr">
        <is>
          <t>IT/Technology</t>
        </is>
      </c>
      <c r="I206" t="inlineStr">
        <is>
          <t>6-10</t>
        </is>
      </c>
      <c r="J206" t="inlineStr">
        <is>
          <t>Yes</t>
        </is>
      </c>
      <c r="K206" t="n">
        <v>1</v>
      </c>
      <c r="L206" t="inlineStr">
        <is>
          <t>No</t>
        </is>
      </c>
      <c r="M206" t="inlineStr">
        <is>
          <t>Yes</t>
        </is>
      </c>
      <c r="N206" t="n">
        <v>3</v>
      </c>
      <c r="O206" t="n">
        <v>4</v>
      </c>
      <c r="P206" t="n">
        <v>4</v>
      </c>
      <c r="Q206" t="n">
        <v>2</v>
      </c>
      <c r="R206" t="n">
        <v>3</v>
      </c>
      <c r="S206" t="n">
        <v>4</v>
      </c>
      <c r="T206" t="n">
        <v>3</v>
      </c>
      <c r="U206" t="n">
        <v>3</v>
      </c>
      <c r="V206" t="n">
        <v>3</v>
      </c>
      <c r="W206" t="n">
        <v>3</v>
      </c>
      <c r="X206" t="n">
        <v>3</v>
      </c>
      <c r="Y206" t="n">
        <v>4</v>
      </c>
      <c r="Z206" t="n">
        <v>4</v>
      </c>
      <c r="AA206" t="n">
        <v>3</v>
      </c>
      <c r="AB206" t="n">
        <v>4</v>
      </c>
      <c r="AC206" t="n">
        <v>4</v>
      </c>
      <c r="AD206" t="n">
        <v>3</v>
      </c>
      <c r="AE206" t="n">
        <v>3</v>
      </c>
      <c r="AF206" t="n">
        <v>3</v>
      </c>
      <c r="AH206" t="n">
        <v>2</v>
      </c>
      <c r="AI206" t="n">
        <v>3</v>
      </c>
      <c r="AJ206" t="n">
        <v>2</v>
      </c>
      <c r="AK206" t="n">
        <v>4</v>
      </c>
      <c r="AL206" t="n">
        <v>3</v>
      </c>
      <c r="AM206" t="n">
        <v>1</v>
      </c>
      <c r="AO206" t="n">
        <v>3</v>
      </c>
      <c r="AP206" t="n">
        <v>4</v>
      </c>
      <c r="AQ206" t="n">
        <v>2</v>
      </c>
      <c r="AR206" t="n">
        <v>3</v>
      </c>
      <c r="AS206" t="n">
        <v>4</v>
      </c>
      <c r="AT206" t="n">
        <v>3</v>
      </c>
      <c r="AU206" t="n">
        <v>3</v>
      </c>
      <c r="AV206" t="n">
        <v>3</v>
      </c>
      <c r="AW206" t="n">
        <v>3</v>
      </c>
      <c r="AX206" t="n">
        <v>2</v>
      </c>
      <c r="AY206" t="n">
        <v>3</v>
      </c>
      <c r="AZ206" t="n">
        <v>3</v>
      </c>
      <c r="BA206" t="n">
        <v>4</v>
      </c>
      <c r="BB206" t="n">
        <v>4</v>
      </c>
      <c r="BC206" t="n">
        <v>4</v>
      </c>
      <c r="BD206" t="n">
        <v>2</v>
      </c>
      <c r="BE206" t="n">
        <v>3</v>
      </c>
      <c r="BF206" t="n">
        <v>3</v>
      </c>
      <c r="BG206" t="n">
        <v>1</v>
      </c>
      <c r="BH206" t="n">
        <v>3</v>
      </c>
      <c r="BI206" t="n">
        <v>3</v>
      </c>
      <c r="BJ206" t="n">
        <v>2</v>
      </c>
      <c r="BK206" t="n">
        <v>3</v>
      </c>
      <c r="BL206" t="n">
        <v>3</v>
      </c>
      <c r="BM206" t="n">
        <v>3</v>
      </c>
      <c r="BN206" t="n">
        <v>1</v>
      </c>
      <c r="BO206" t="n">
        <v>2</v>
      </c>
      <c r="BP206" t="n">
        <v>3</v>
      </c>
      <c r="BQ206" t="n">
        <v>2</v>
      </c>
      <c r="BR206" t="n">
        <v>2</v>
      </c>
      <c r="BS206" s="56">
        <f>IF(COUNT(N206:W206)&gt;=8,AVERAGE(N206:W206),"")</f>
        <v/>
      </c>
      <c r="BT206" s="56">
        <f>IF(COUNT(X206:AE206)&gt;=7,AVERAGE(X206:AE206),"")</f>
        <v/>
      </c>
      <c r="BU206" s="56">
        <f>IF(COUNT(AF206:AM206)&gt;=7,AVERAGE(AF206:AM206),"")</f>
        <v/>
      </c>
      <c r="BV206" s="56">
        <f>IF(COUNT(AN206:AV206)&gt;=8,AVERAGE(AN206:AV206),"")</f>
        <v/>
      </c>
      <c r="BW206" s="56">
        <f>IF(COUNT(AW206:BD206)&gt;=7,AVERAGE(AW206:BD206),"")</f>
        <v/>
      </c>
      <c r="BX206" s="56">
        <f>IF(COUNT(BE206:BJ206)&gt;=5,AVERAGE(BE206:BJ206),"")</f>
        <v/>
      </c>
      <c r="BY206" s="56">
        <f>IF(COUNT(BK206:BR206)&gt;=7,AVERAGE(BK206:BR206),"")</f>
        <v/>
      </c>
    </row>
    <row r="207">
      <c r="A207" t="inlineStr">
        <is>
          <t>R176</t>
        </is>
      </c>
      <c r="B207" t="inlineStr">
        <is>
          <t>Yes</t>
        </is>
      </c>
      <c r="C207" t="inlineStr">
        <is>
          <t>Yes</t>
        </is>
      </c>
      <c r="D207" t="inlineStr">
        <is>
          <t>Male</t>
        </is>
      </c>
      <c r="E207" t="inlineStr">
        <is>
          <t>25-34</t>
        </is>
      </c>
      <c r="F207" t="inlineStr">
        <is>
          <t>Postgraduate Diploma</t>
        </is>
      </c>
      <c r="G207" t="inlineStr">
        <is>
          <t>Commercial bank</t>
        </is>
      </c>
      <c r="H207" t="inlineStr">
        <is>
          <t>Customer Experience/Service</t>
        </is>
      </c>
      <c r="I207" t="inlineStr">
        <is>
          <t>6-10</t>
        </is>
      </c>
      <c r="J207" t="inlineStr">
        <is>
          <t>Yes</t>
        </is>
      </c>
      <c r="K207" t="n">
        <v>0</v>
      </c>
      <c r="L207" t="inlineStr">
        <is>
          <t>Yes</t>
        </is>
      </c>
      <c r="M207" t="inlineStr">
        <is>
          <t>Yes</t>
        </is>
      </c>
      <c r="O207" t="n">
        <v>3</v>
      </c>
      <c r="P207" t="n">
        <v>4</v>
      </c>
      <c r="Q207" t="n">
        <v>2</v>
      </c>
      <c r="R207" t="n">
        <v>3</v>
      </c>
      <c r="S207" t="n">
        <v>4</v>
      </c>
      <c r="T207" t="n">
        <v>3</v>
      </c>
      <c r="U207" t="n">
        <v>3</v>
      </c>
      <c r="V207" t="n">
        <v>4</v>
      </c>
      <c r="W207" t="n">
        <v>3</v>
      </c>
      <c r="X207" t="n">
        <v>3</v>
      </c>
      <c r="Y207" t="n">
        <v>3</v>
      </c>
      <c r="Z207" t="n">
        <v>3</v>
      </c>
      <c r="AA207" t="n">
        <v>2</v>
      </c>
      <c r="AB207" t="n">
        <v>3</v>
      </c>
      <c r="AC207" t="n">
        <v>3</v>
      </c>
      <c r="AD207" t="n">
        <v>4</v>
      </c>
      <c r="AE207" t="n">
        <v>2</v>
      </c>
      <c r="AF207" t="n">
        <v>3</v>
      </c>
      <c r="AG207" t="n">
        <v>3</v>
      </c>
      <c r="AH207" t="n">
        <v>2</v>
      </c>
      <c r="AI207" t="n">
        <v>4</v>
      </c>
      <c r="AJ207" t="n">
        <v>3</v>
      </c>
      <c r="AK207" t="n">
        <v>3</v>
      </c>
      <c r="AL207" t="n">
        <v>3</v>
      </c>
      <c r="AM207" t="n">
        <v>2</v>
      </c>
      <c r="AN207" t="n">
        <v>3</v>
      </c>
      <c r="AO207" t="n">
        <v>2</v>
      </c>
      <c r="AP207" t="n">
        <v>1</v>
      </c>
      <c r="AQ207" t="n">
        <v>3</v>
      </c>
      <c r="AR207" t="n">
        <v>2</v>
      </c>
      <c r="AS207" t="n">
        <v>2</v>
      </c>
      <c r="AT207" t="n">
        <v>4</v>
      </c>
      <c r="AU207" t="n">
        <v>4</v>
      </c>
      <c r="AV207" t="n">
        <v>3</v>
      </c>
      <c r="AW207" t="n">
        <v>5</v>
      </c>
      <c r="AX207" t="n">
        <v>2</v>
      </c>
      <c r="AY207" t="n">
        <v>3</v>
      </c>
      <c r="AZ207" t="n">
        <v>3</v>
      </c>
      <c r="BA207" t="n">
        <v>4</v>
      </c>
      <c r="BB207" t="n">
        <v>3</v>
      </c>
      <c r="BC207" t="n">
        <v>4</v>
      </c>
      <c r="BD207" t="n">
        <v>3</v>
      </c>
      <c r="BE207" t="n">
        <v>2</v>
      </c>
      <c r="BF207" t="n">
        <v>2</v>
      </c>
      <c r="BG207" t="n">
        <v>2</v>
      </c>
      <c r="BH207" t="n">
        <v>4</v>
      </c>
      <c r="BI207" t="n">
        <v>2</v>
      </c>
      <c r="BJ207" t="n">
        <v>2</v>
      </c>
      <c r="BK207" t="n">
        <v>3</v>
      </c>
      <c r="BL207" t="n">
        <v>4</v>
      </c>
      <c r="BM207" t="n">
        <v>4</v>
      </c>
      <c r="BN207" t="n">
        <v>2</v>
      </c>
      <c r="BO207" t="n">
        <v>2</v>
      </c>
      <c r="BP207" t="n">
        <v>2</v>
      </c>
      <c r="BQ207" t="n">
        <v>4</v>
      </c>
      <c r="BR207" t="n">
        <v>2</v>
      </c>
      <c r="BS207" s="56">
        <f>IF(COUNT(N207:W207)&gt;=8,AVERAGE(N207:W207),"")</f>
        <v/>
      </c>
      <c r="BT207" s="56">
        <f>IF(COUNT(X207:AE207)&gt;=7,AVERAGE(X207:AE207),"")</f>
        <v/>
      </c>
      <c r="BU207" s="56">
        <f>IF(COUNT(AF207:AM207)&gt;=7,AVERAGE(AF207:AM207),"")</f>
        <v/>
      </c>
      <c r="BV207" s="56">
        <f>IF(COUNT(AN207:AV207)&gt;=8,AVERAGE(AN207:AV207),"")</f>
        <v/>
      </c>
      <c r="BW207" s="56">
        <f>IF(COUNT(AW207:BD207)&gt;=7,AVERAGE(AW207:BD207),"")</f>
        <v/>
      </c>
      <c r="BX207" s="56">
        <f>IF(COUNT(BE207:BJ207)&gt;=5,AVERAGE(BE207:BJ207),"")</f>
        <v/>
      </c>
      <c r="BY207" s="56">
        <f>IF(COUNT(BK207:BR207)&gt;=7,AVERAGE(BK207:BR207),"")</f>
        <v/>
      </c>
    </row>
    <row r="208">
      <c r="A208" t="inlineStr">
        <is>
          <t>R177</t>
        </is>
      </c>
      <c r="B208" t="inlineStr">
        <is>
          <t>Yes</t>
        </is>
      </c>
      <c r="C208" t="inlineStr">
        <is>
          <t>Yes</t>
        </is>
      </c>
      <c r="D208" t="inlineStr">
        <is>
          <t>Male</t>
        </is>
      </c>
      <c r="E208" t="inlineStr">
        <is>
          <t>18-24</t>
        </is>
      </c>
      <c r="F208" t="inlineStr">
        <is>
          <t>Bachelor/HND</t>
        </is>
      </c>
      <c r="G208" t="inlineStr">
        <is>
          <t>Microfinance bank</t>
        </is>
      </c>
      <c r="H208" t="inlineStr">
        <is>
          <t>Customer Experience/Service</t>
        </is>
      </c>
      <c r="I208" t="inlineStr">
        <is>
          <t>6-10</t>
        </is>
      </c>
      <c r="J208" t="inlineStr">
        <is>
          <t>Yes</t>
        </is>
      </c>
      <c r="K208" t="n">
        <v>4</v>
      </c>
      <c r="L208" t="inlineStr">
        <is>
          <t>Yes</t>
        </is>
      </c>
      <c r="M208" t="inlineStr">
        <is>
          <t>Yes</t>
        </is>
      </c>
      <c r="N208" t="n">
        <v>4</v>
      </c>
      <c r="O208" t="n">
        <v>3</v>
      </c>
      <c r="P208" t="n">
        <v>5</v>
      </c>
      <c r="Q208" t="n">
        <v>3</v>
      </c>
      <c r="R208" t="n">
        <v>3</v>
      </c>
      <c r="S208" t="n">
        <v>3</v>
      </c>
      <c r="T208" t="n">
        <v>2</v>
      </c>
      <c r="U208" t="n">
        <v>3</v>
      </c>
      <c r="V208" t="n">
        <v>4</v>
      </c>
      <c r="W208" t="n">
        <v>2</v>
      </c>
      <c r="X208" t="n">
        <v>4</v>
      </c>
      <c r="Y208" t="n">
        <v>3</v>
      </c>
      <c r="Z208" t="n">
        <v>5</v>
      </c>
      <c r="AA208" t="n">
        <v>3</v>
      </c>
      <c r="AB208" t="n">
        <v>4</v>
      </c>
      <c r="AD208" t="n">
        <v>5</v>
      </c>
      <c r="AE208" t="n">
        <v>4</v>
      </c>
      <c r="AF208" t="n">
        <v>4</v>
      </c>
      <c r="AG208" t="n">
        <v>5</v>
      </c>
      <c r="AH208" t="n">
        <v>4</v>
      </c>
      <c r="AI208" t="n">
        <v>5</v>
      </c>
      <c r="AJ208" t="n">
        <v>5</v>
      </c>
      <c r="AK208" t="n">
        <v>5</v>
      </c>
      <c r="AL208" t="n">
        <v>4</v>
      </c>
      <c r="AM208" t="n">
        <v>4</v>
      </c>
      <c r="AN208" t="n">
        <v>4</v>
      </c>
      <c r="AO208" t="n">
        <v>5</v>
      </c>
      <c r="AP208" t="n">
        <v>3</v>
      </c>
      <c r="AQ208" t="n">
        <v>3</v>
      </c>
      <c r="AR208" t="n">
        <v>5</v>
      </c>
      <c r="AS208" t="n">
        <v>3</v>
      </c>
      <c r="AT208" t="n">
        <v>3</v>
      </c>
      <c r="AU208" t="n">
        <v>4</v>
      </c>
      <c r="AV208" t="n">
        <v>5</v>
      </c>
      <c r="AW208" t="n">
        <v>4</v>
      </c>
      <c r="AX208" t="n">
        <v>4</v>
      </c>
      <c r="AY208" t="n">
        <v>5</v>
      </c>
      <c r="AZ208" t="n">
        <v>4</v>
      </c>
      <c r="BA208" t="n">
        <v>5</v>
      </c>
      <c r="BB208" t="n">
        <v>4</v>
      </c>
      <c r="BC208" t="n">
        <v>3</v>
      </c>
      <c r="BD208" t="n">
        <v>5</v>
      </c>
      <c r="BE208" t="n">
        <v>3</v>
      </c>
      <c r="BF208" t="n">
        <v>4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1</v>
      </c>
      <c r="BM208" t="n">
        <v>5</v>
      </c>
      <c r="BN208" t="n">
        <v>2</v>
      </c>
      <c r="BO208" t="n">
        <v>2</v>
      </c>
      <c r="BP208" t="n">
        <v>3</v>
      </c>
      <c r="BQ208" t="n">
        <v>3</v>
      </c>
      <c r="BR208" t="n">
        <v>1</v>
      </c>
      <c r="BS208" s="56">
        <f>IF(COUNT(N208:W208)&gt;=8,AVERAGE(N208:W208),"")</f>
        <v/>
      </c>
      <c r="BT208" s="56">
        <f>IF(COUNT(X208:AE208)&gt;=7,AVERAGE(X208:AE208),"")</f>
        <v/>
      </c>
      <c r="BU208" s="56">
        <f>IF(COUNT(AF208:AM208)&gt;=7,AVERAGE(AF208:AM208),"")</f>
        <v/>
      </c>
      <c r="BV208" s="56">
        <f>IF(COUNT(AN208:AV208)&gt;=8,AVERAGE(AN208:AV208),"")</f>
        <v/>
      </c>
      <c r="BW208" s="56">
        <f>IF(COUNT(AW208:BD208)&gt;=7,AVERAGE(AW208:BD208),"")</f>
        <v/>
      </c>
      <c r="BX208" s="56">
        <f>IF(COUNT(BE208:BJ208)&gt;=5,AVERAGE(BE208:BJ208),"")</f>
        <v/>
      </c>
      <c r="BY208" s="56">
        <f>IF(COUNT(BK208:BR208)&gt;=7,AVERAGE(BK208:BR208),"")</f>
        <v/>
      </c>
    </row>
    <row r="209">
      <c r="A209" t="inlineStr">
        <is>
          <t>R178</t>
        </is>
      </c>
      <c r="B209" t="inlineStr">
        <is>
          <t>Yes</t>
        </is>
      </c>
      <c r="C209" t="inlineStr">
        <is>
          <t>Yes</t>
        </is>
      </c>
      <c r="D209" t="inlineStr">
        <is>
          <t>Female</t>
        </is>
      </c>
      <c r="E209" t="inlineStr">
        <is>
          <t>35-44</t>
        </is>
      </c>
      <c r="F209" t="inlineStr">
        <is>
          <t>Bachelor/HND</t>
        </is>
      </c>
      <c r="G209" t="inlineStr">
        <is>
          <t>Commercial bank</t>
        </is>
      </c>
      <c r="H209" t="inlineStr">
        <is>
          <t>Management/Strategy</t>
        </is>
      </c>
      <c r="I209" t="inlineStr">
        <is>
          <t>16 or more</t>
        </is>
      </c>
      <c r="J209" t="inlineStr">
        <is>
          <t>Yes</t>
        </is>
      </c>
      <c r="K209" t="n">
        <v>3</v>
      </c>
      <c r="L209" t="inlineStr">
        <is>
          <t>Yes</t>
        </is>
      </c>
      <c r="M209" t="inlineStr">
        <is>
          <t>Yes</t>
        </is>
      </c>
      <c r="N209" t="n">
        <v>1</v>
      </c>
      <c r="O209" t="n">
        <v>1</v>
      </c>
      <c r="P209" t="n">
        <v>3</v>
      </c>
      <c r="Q209" t="n">
        <v>1</v>
      </c>
      <c r="R209" t="n">
        <v>2</v>
      </c>
      <c r="S209" t="n">
        <v>1</v>
      </c>
      <c r="T209" t="n">
        <v>1</v>
      </c>
      <c r="U209" t="n">
        <v>1</v>
      </c>
      <c r="V209" t="n">
        <v>3</v>
      </c>
      <c r="W209" t="n">
        <v>2</v>
      </c>
      <c r="X209" t="n">
        <v>4</v>
      </c>
      <c r="Y209" t="n">
        <v>3</v>
      </c>
      <c r="Z209" t="n">
        <v>4</v>
      </c>
      <c r="AA209" t="n">
        <v>3</v>
      </c>
      <c r="AB209" t="n">
        <v>4</v>
      </c>
      <c r="AD209" t="n">
        <v>3</v>
      </c>
      <c r="AE209" t="n">
        <v>4</v>
      </c>
      <c r="AF209" t="n">
        <v>3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4</v>
      </c>
      <c r="AM209" t="n">
        <v>4</v>
      </c>
      <c r="AN209" t="n">
        <v>5</v>
      </c>
      <c r="AO209" t="n">
        <v>4</v>
      </c>
      <c r="AP209" t="n">
        <v>4</v>
      </c>
      <c r="AQ209" t="n">
        <v>3</v>
      </c>
      <c r="AR209" t="n">
        <v>5</v>
      </c>
      <c r="AS209" t="n">
        <v>4</v>
      </c>
      <c r="AT209" t="n">
        <v>5</v>
      </c>
      <c r="AU209" t="n">
        <v>3</v>
      </c>
      <c r="AV209" t="n">
        <v>4</v>
      </c>
      <c r="AW209" t="n">
        <v>3</v>
      </c>
      <c r="AX209" t="n">
        <v>3</v>
      </c>
      <c r="AY209" t="n">
        <v>4</v>
      </c>
      <c r="AZ209" t="n">
        <v>4</v>
      </c>
      <c r="BA209" t="n">
        <v>5</v>
      </c>
      <c r="BB209" t="n">
        <v>4</v>
      </c>
      <c r="BC209" t="n">
        <v>3</v>
      </c>
      <c r="BD209" t="n">
        <v>4</v>
      </c>
      <c r="BE209" t="n">
        <v>4</v>
      </c>
      <c r="BF209" t="n">
        <v>4</v>
      </c>
      <c r="BG209" t="n">
        <v>4</v>
      </c>
      <c r="BH209" t="n">
        <v>4</v>
      </c>
      <c r="BI209" t="n">
        <v>3</v>
      </c>
      <c r="BJ209" t="n">
        <v>4</v>
      </c>
      <c r="BK209" t="n">
        <v>1</v>
      </c>
      <c r="BL209" t="n">
        <v>3</v>
      </c>
      <c r="BM209" t="n">
        <v>2</v>
      </c>
      <c r="BN209" t="n">
        <v>2</v>
      </c>
      <c r="BO209" t="n">
        <v>2</v>
      </c>
      <c r="BP209" t="n">
        <v>2</v>
      </c>
      <c r="BQ209" t="n">
        <v>2</v>
      </c>
      <c r="BR209" t="n">
        <v>1</v>
      </c>
      <c r="BS209" s="56">
        <f>IF(COUNT(N209:W209)&gt;=8,AVERAGE(N209:W209),"")</f>
        <v/>
      </c>
      <c r="BT209" s="56">
        <f>IF(COUNT(X209:AE209)&gt;=7,AVERAGE(X209:AE209),"")</f>
        <v/>
      </c>
      <c r="BU209" s="56">
        <f>IF(COUNT(AF209:AM209)&gt;=7,AVERAGE(AF209:AM209),"")</f>
        <v/>
      </c>
      <c r="BV209" s="56">
        <f>IF(COUNT(AN209:AV209)&gt;=8,AVERAGE(AN209:AV209),"")</f>
        <v/>
      </c>
      <c r="BW209" s="56">
        <f>IF(COUNT(AW209:BD209)&gt;=7,AVERAGE(AW209:BD209),"")</f>
        <v/>
      </c>
      <c r="BX209" s="56">
        <f>IF(COUNT(BE209:BJ209)&gt;=5,AVERAGE(BE209:BJ209),"")</f>
        <v/>
      </c>
      <c r="BY209" s="56">
        <f>IF(COUNT(BK209:BR209)&gt;=7,AVERAGE(BK209:BR209),"")</f>
        <v/>
      </c>
    </row>
    <row r="210">
      <c r="A210" t="inlineStr">
        <is>
          <t>R179</t>
        </is>
      </c>
      <c r="B210" t="inlineStr">
        <is>
          <t>Yes</t>
        </is>
      </c>
      <c r="C210" t="inlineStr">
        <is>
          <t>Yes</t>
        </is>
      </c>
      <c r="D210" t="inlineStr">
        <is>
          <t>Male</t>
        </is>
      </c>
      <c r="E210" t="inlineStr">
        <is>
          <t>25-34</t>
        </is>
      </c>
      <c r="F210" t="inlineStr">
        <is>
          <t>Bachelor/HND</t>
        </is>
      </c>
      <c r="G210" t="inlineStr">
        <is>
          <t>Fintech/payment provider</t>
        </is>
      </c>
      <c r="H210" t="inlineStr">
        <is>
          <t>IT/Technology</t>
        </is>
      </c>
      <c r="I210" t="inlineStr">
        <is>
          <t>11-15</t>
        </is>
      </c>
      <c r="J210" t="inlineStr">
        <is>
          <t>Yes</t>
        </is>
      </c>
      <c r="K210" t="n">
        <v>1</v>
      </c>
      <c r="L210" t="inlineStr">
        <is>
          <t>No</t>
        </is>
      </c>
      <c r="M210" t="inlineStr">
        <is>
          <t>Yes</t>
        </is>
      </c>
      <c r="N210" t="n">
        <v>4</v>
      </c>
      <c r="O210" t="n">
        <v>3</v>
      </c>
      <c r="P210" t="n">
        <v>3</v>
      </c>
      <c r="Q210" t="n">
        <v>2</v>
      </c>
      <c r="R210" t="n">
        <v>2</v>
      </c>
      <c r="S210" t="n">
        <v>3</v>
      </c>
      <c r="T210" t="n">
        <v>3</v>
      </c>
      <c r="U210" t="n">
        <v>3</v>
      </c>
      <c r="V210" t="n">
        <v>2</v>
      </c>
      <c r="W210" t="n">
        <v>1</v>
      </c>
      <c r="X210" t="n">
        <v>1</v>
      </c>
      <c r="Y210" t="n">
        <v>3</v>
      </c>
      <c r="Z210" t="n">
        <v>2</v>
      </c>
      <c r="AA210" t="n">
        <v>2</v>
      </c>
      <c r="AB210" t="n">
        <v>3</v>
      </c>
      <c r="AC210" t="n">
        <v>2</v>
      </c>
      <c r="AD210" t="n">
        <v>3</v>
      </c>
      <c r="AE210" t="n">
        <v>1</v>
      </c>
      <c r="AF210" t="n">
        <v>2</v>
      </c>
      <c r="AG210" t="n">
        <v>2</v>
      </c>
      <c r="AH210" t="n">
        <v>2</v>
      </c>
      <c r="AI210" t="n">
        <v>3</v>
      </c>
      <c r="AJ210" t="n">
        <v>3</v>
      </c>
      <c r="AK210" t="n">
        <v>2</v>
      </c>
      <c r="AL210" t="n">
        <v>2</v>
      </c>
      <c r="AM210" t="n">
        <v>3</v>
      </c>
      <c r="AN210" t="n">
        <v>3</v>
      </c>
      <c r="AO210" t="n">
        <v>4</v>
      </c>
      <c r="AP210" t="n">
        <v>3</v>
      </c>
      <c r="AQ210" t="n">
        <v>2</v>
      </c>
      <c r="AR210" t="n">
        <v>3</v>
      </c>
      <c r="AS210" t="n">
        <v>2</v>
      </c>
      <c r="AT210" t="n">
        <v>2</v>
      </c>
      <c r="AU210" t="n">
        <v>1</v>
      </c>
      <c r="AV210" t="n">
        <v>3</v>
      </c>
      <c r="AW210" t="n">
        <v>2</v>
      </c>
      <c r="AX210" t="n">
        <v>1</v>
      </c>
      <c r="AY210" t="n">
        <v>2</v>
      </c>
      <c r="AZ210" t="n">
        <v>2</v>
      </c>
      <c r="BA210" t="n">
        <v>3</v>
      </c>
      <c r="BB210" t="n">
        <v>3</v>
      </c>
      <c r="BC210" t="n">
        <v>3</v>
      </c>
      <c r="BD210" t="n">
        <v>1</v>
      </c>
      <c r="BE210" t="n">
        <v>4</v>
      </c>
      <c r="BF210" t="n">
        <v>3</v>
      </c>
      <c r="BG210" t="n">
        <v>3</v>
      </c>
      <c r="BH210" t="n">
        <v>2</v>
      </c>
      <c r="BI210" t="n">
        <v>4</v>
      </c>
      <c r="BJ210" t="n">
        <v>3</v>
      </c>
      <c r="BK210" t="n">
        <v>2</v>
      </c>
      <c r="BL210" t="n">
        <v>2</v>
      </c>
      <c r="BM210" t="n">
        <v>4</v>
      </c>
      <c r="BN210" t="n">
        <v>3</v>
      </c>
      <c r="BO210" t="n">
        <v>3</v>
      </c>
      <c r="BP210" t="n">
        <v>3</v>
      </c>
      <c r="BQ210" t="n">
        <v>3</v>
      </c>
      <c r="BR210" t="n">
        <v>3</v>
      </c>
      <c r="BS210" s="56">
        <f>IF(COUNT(N210:W210)&gt;=8,AVERAGE(N210:W210),"")</f>
        <v/>
      </c>
      <c r="BT210" s="56">
        <f>IF(COUNT(X210:AE210)&gt;=7,AVERAGE(X210:AE210),"")</f>
        <v/>
      </c>
      <c r="BU210" s="56">
        <f>IF(COUNT(AF210:AM210)&gt;=7,AVERAGE(AF210:AM210),"")</f>
        <v/>
      </c>
      <c r="BV210" s="56">
        <f>IF(COUNT(AN210:AV210)&gt;=8,AVERAGE(AN210:AV210),"")</f>
        <v/>
      </c>
      <c r="BW210" s="56">
        <f>IF(COUNT(AW210:BD210)&gt;=7,AVERAGE(AW210:BD210),"")</f>
        <v/>
      </c>
      <c r="BX210" s="56">
        <f>IF(COUNT(BE210:BJ210)&gt;=5,AVERAGE(BE210:BJ210),"")</f>
        <v/>
      </c>
      <c r="BY210" s="56">
        <f>IF(COUNT(BK210:BR210)&gt;=7,AVERAGE(BK210:BR210),"")</f>
        <v/>
      </c>
    </row>
    <row r="211">
      <c r="A211" t="inlineStr">
        <is>
          <t>R180</t>
        </is>
      </c>
      <c r="B211" t="inlineStr">
        <is>
          <t>Yes</t>
        </is>
      </c>
      <c r="C211" t="inlineStr">
        <is>
          <t>Yes</t>
        </is>
      </c>
      <c r="D211" t="inlineStr">
        <is>
          <t>Female</t>
        </is>
      </c>
      <c r="E211" t="inlineStr">
        <is>
          <t>18-24</t>
        </is>
      </c>
      <c r="F211" t="inlineStr">
        <is>
          <t>Postgraduate Diploma</t>
        </is>
      </c>
      <c r="G211" t="inlineStr">
        <is>
          <t>Microfinance bank</t>
        </is>
      </c>
      <c r="H211" t="inlineStr">
        <is>
          <t>Risk/Compliance</t>
        </is>
      </c>
      <c r="I211" t="inlineStr">
        <is>
          <t>11-15</t>
        </is>
      </c>
      <c r="J211" t="inlineStr">
        <is>
          <t>Yes</t>
        </is>
      </c>
      <c r="K211" t="n">
        <v>2</v>
      </c>
      <c r="L211" t="inlineStr">
        <is>
          <t>Yes</t>
        </is>
      </c>
      <c r="M211" t="inlineStr">
        <is>
          <t>Yes</t>
        </is>
      </c>
      <c r="N211" t="n">
        <v>1</v>
      </c>
      <c r="O211" t="n">
        <v>2</v>
      </c>
      <c r="P211" t="n">
        <v>2</v>
      </c>
      <c r="Q211" t="n">
        <v>1</v>
      </c>
      <c r="R211" t="n">
        <v>1</v>
      </c>
      <c r="S211" t="n">
        <v>2</v>
      </c>
      <c r="T211" t="n">
        <v>1</v>
      </c>
      <c r="U211" t="n">
        <v>2</v>
      </c>
      <c r="V211" t="n">
        <v>2</v>
      </c>
      <c r="W211" t="n">
        <v>1</v>
      </c>
      <c r="X211" t="n">
        <v>2</v>
      </c>
      <c r="Y211" t="n">
        <v>3</v>
      </c>
      <c r="Z211" t="n">
        <v>2</v>
      </c>
      <c r="AA211" t="n">
        <v>3</v>
      </c>
      <c r="AB211" t="n">
        <v>3</v>
      </c>
      <c r="AD211" t="n">
        <v>3</v>
      </c>
      <c r="AE211" t="n">
        <v>3</v>
      </c>
      <c r="AF211" t="n">
        <v>2</v>
      </c>
      <c r="AG211" t="n">
        <v>2</v>
      </c>
      <c r="AH211" t="n">
        <v>2</v>
      </c>
      <c r="AI211" t="n">
        <v>3</v>
      </c>
      <c r="AJ211" t="n">
        <v>2</v>
      </c>
      <c r="AK211" t="n">
        <v>2</v>
      </c>
      <c r="AL211" t="n">
        <v>1</v>
      </c>
      <c r="AM211" t="n">
        <v>1</v>
      </c>
      <c r="AN211" t="n">
        <v>4</v>
      </c>
      <c r="AO211" t="n">
        <v>2</v>
      </c>
      <c r="AP211" t="n">
        <v>4</v>
      </c>
      <c r="AQ211" t="n">
        <v>4</v>
      </c>
      <c r="AR211" t="n">
        <v>5</v>
      </c>
      <c r="AS211" t="n">
        <v>3</v>
      </c>
      <c r="AT211" t="n">
        <v>5</v>
      </c>
      <c r="AU211" t="n">
        <v>4</v>
      </c>
      <c r="AV211" t="n">
        <v>4</v>
      </c>
      <c r="AW211" t="n">
        <v>2</v>
      </c>
      <c r="AX211" t="n">
        <v>1</v>
      </c>
      <c r="AY211" t="n">
        <v>3</v>
      </c>
      <c r="AZ211" t="n">
        <v>2</v>
      </c>
      <c r="BA211" t="n">
        <v>2</v>
      </c>
      <c r="BB211" t="n">
        <v>1</v>
      </c>
      <c r="BC211" t="n">
        <v>1</v>
      </c>
      <c r="BD211" t="n">
        <v>2</v>
      </c>
      <c r="BE211" t="n">
        <v>2</v>
      </c>
      <c r="BF211" t="n">
        <v>3</v>
      </c>
      <c r="BG211" t="n">
        <v>1</v>
      </c>
      <c r="BH211" t="n">
        <v>3</v>
      </c>
      <c r="BI211" t="n">
        <v>2</v>
      </c>
      <c r="BJ211" t="n">
        <v>3</v>
      </c>
      <c r="BK211" t="n">
        <v>4</v>
      </c>
      <c r="BL211" t="n">
        <v>3</v>
      </c>
      <c r="BM211" t="n">
        <v>4</v>
      </c>
      <c r="BN211" t="n">
        <v>3</v>
      </c>
      <c r="BO211" t="n">
        <v>4</v>
      </c>
      <c r="BP211" t="n">
        <v>4</v>
      </c>
      <c r="BQ211" t="n">
        <v>4</v>
      </c>
      <c r="BR211" t="n">
        <v>3</v>
      </c>
      <c r="BS211" s="56">
        <f>IF(COUNT(N211:W211)&gt;=8,AVERAGE(N211:W211),"")</f>
        <v/>
      </c>
      <c r="BT211" s="56">
        <f>IF(COUNT(X211:AE211)&gt;=7,AVERAGE(X211:AE211),"")</f>
        <v/>
      </c>
      <c r="BU211" s="56">
        <f>IF(COUNT(AF211:AM211)&gt;=7,AVERAGE(AF211:AM211),"")</f>
        <v/>
      </c>
      <c r="BV211" s="56">
        <f>IF(COUNT(AN211:AV211)&gt;=8,AVERAGE(AN211:AV211),"")</f>
        <v/>
      </c>
      <c r="BW211" s="56">
        <f>IF(COUNT(AW211:BD211)&gt;=7,AVERAGE(AW211:BD211),"")</f>
        <v/>
      </c>
      <c r="BX211" s="56">
        <f>IF(COUNT(BE211:BJ211)&gt;=5,AVERAGE(BE211:BJ211),"")</f>
        <v/>
      </c>
      <c r="BY211" s="56">
        <f>IF(COUNT(BK211:BR211)&gt;=7,AVERAGE(BK211:BR211),"")</f>
        <v/>
      </c>
    </row>
    <row r="212">
      <c r="A212" t="inlineStr">
        <is>
          <t>R181</t>
        </is>
      </c>
      <c r="B212" t="inlineStr">
        <is>
          <t>Yes</t>
        </is>
      </c>
      <c r="C212" t="inlineStr">
        <is>
          <t>Yes</t>
        </is>
      </c>
      <c r="D212" t="inlineStr">
        <is>
          <t>Male</t>
        </is>
      </c>
      <c r="E212" t="inlineStr">
        <is>
          <t>18-24</t>
        </is>
      </c>
      <c r="F212" t="inlineStr">
        <is>
          <t>Master's</t>
        </is>
      </c>
      <c r="G212" t="inlineStr">
        <is>
          <t>Commercial bank</t>
        </is>
      </c>
      <c r="H212" t="inlineStr">
        <is>
          <t>Other</t>
        </is>
      </c>
      <c r="I212" t="inlineStr">
        <is>
          <t>2-5</t>
        </is>
      </c>
      <c r="J212" t="inlineStr">
        <is>
          <t>Yes</t>
        </is>
      </c>
      <c r="K212" t="n">
        <v>3</v>
      </c>
      <c r="L212" t="inlineStr">
        <is>
          <t>Yes</t>
        </is>
      </c>
      <c r="M212" t="inlineStr">
        <is>
          <t>Yes</t>
        </is>
      </c>
      <c r="N212" t="n">
        <v>2</v>
      </c>
      <c r="O212" t="n">
        <v>2</v>
      </c>
      <c r="P212" t="n">
        <v>3</v>
      </c>
      <c r="Q212" t="n">
        <v>2</v>
      </c>
      <c r="R212" t="n">
        <v>2</v>
      </c>
      <c r="S212" t="n">
        <v>2</v>
      </c>
      <c r="T212" t="n">
        <v>2</v>
      </c>
      <c r="U212" t="n">
        <v>4</v>
      </c>
      <c r="V212" t="n">
        <v>3</v>
      </c>
      <c r="W212" t="n">
        <v>2</v>
      </c>
      <c r="X212" t="n">
        <v>3</v>
      </c>
      <c r="Y212" t="n">
        <v>4</v>
      </c>
      <c r="Z212" t="n">
        <v>4</v>
      </c>
      <c r="AA212" t="n">
        <v>4</v>
      </c>
      <c r="AB212" t="n">
        <v>4</v>
      </c>
      <c r="AC212" t="n">
        <v>4</v>
      </c>
      <c r="AD212" t="n">
        <v>5</v>
      </c>
      <c r="AE212" t="n">
        <v>3</v>
      </c>
      <c r="AF212" t="n">
        <v>5</v>
      </c>
      <c r="AG212" t="n">
        <v>5</v>
      </c>
      <c r="AH212" t="n">
        <v>5</v>
      </c>
      <c r="AI212" t="n">
        <v>5</v>
      </c>
      <c r="AJ212" t="n">
        <v>5</v>
      </c>
      <c r="AK212" t="n">
        <v>4</v>
      </c>
      <c r="AL212" t="n">
        <v>5</v>
      </c>
      <c r="AM212" t="n">
        <v>5</v>
      </c>
      <c r="AN212" t="n">
        <v>2</v>
      </c>
      <c r="AO212" t="n">
        <v>2</v>
      </c>
      <c r="AP212" t="n">
        <v>2</v>
      </c>
      <c r="AQ212" t="n">
        <v>3</v>
      </c>
      <c r="AR212" t="n">
        <v>2</v>
      </c>
      <c r="AS212" t="n">
        <v>2</v>
      </c>
      <c r="AU212" t="n">
        <v>2</v>
      </c>
      <c r="AV212" t="n">
        <v>3</v>
      </c>
      <c r="AW212" t="n">
        <v>5</v>
      </c>
      <c r="AX212" t="n">
        <v>3</v>
      </c>
      <c r="AY212" t="n">
        <v>4</v>
      </c>
      <c r="AZ212" t="n">
        <v>4</v>
      </c>
      <c r="BA212" t="n">
        <v>5</v>
      </c>
      <c r="BB212" t="n">
        <v>4</v>
      </c>
      <c r="BC212" t="n">
        <v>4</v>
      </c>
      <c r="BD212" t="n">
        <v>4</v>
      </c>
      <c r="BE212" t="n">
        <v>4</v>
      </c>
      <c r="BF212" t="n">
        <v>3</v>
      </c>
      <c r="BG212" t="n">
        <v>3</v>
      </c>
      <c r="BH212" t="n">
        <v>4</v>
      </c>
      <c r="BI212" t="n">
        <v>4</v>
      </c>
      <c r="BJ212" t="n">
        <v>4</v>
      </c>
      <c r="BK212" t="n">
        <v>1</v>
      </c>
      <c r="BL212" t="n">
        <v>2</v>
      </c>
      <c r="BM212" t="n">
        <v>3</v>
      </c>
      <c r="BN212" t="n">
        <v>2</v>
      </c>
      <c r="BO212" t="n">
        <v>3</v>
      </c>
      <c r="BP212" t="n">
        <v>2</v>
      </c>
      <c r="BQ212" t="n">
        <v>3</v>
      </c>
      <c r="BR212" t="n">
        <v>2</v>
      </c>
      <c r="BS212" s="56">
        <f>IF(COUNT(N212:W212)&gt;=8,AVERAGE(N212:W212),"")</f>
        <v/>
      </c>
      <c r="BT212" s="56">
        <f>IF(COUNT(X212:AE212)&gt;=7,AVERAGE(X212:AE212),"")</f>
        <v/>
      </c>
      <c r="BU212" s="56">
        <f>IF(COUNT(AF212:AM212)&gt;=7,AVERAGE(AF212:AM212),"")</f>
        <v/>
      </c>
      <c r="BV212" s="56">
        <f>IF(COUNT(AN212:AV212)&gt;=8,AVERAGE(AN212:AV212),"")</f>
        <v/>
      </c>
      <c r="BW212" s="56">
        <f>IF(COUNT(AW212:BD212)&gt;=7,AVERAGE(AW212:BD212),"")</f>
        <v/>
      </c>
      <c r="BX212" s="56">
        <f>IF(COUNT(BE212:BJ212)&gt;=5,AVERAGE(BE212:BJ212),"")</f>
        <v/>
      </c>
      <c r="BY212" s="56">
        <f>IF(COUNT(BK212:BR212)&gt;=7,AVERAGE(BK212:BR212),"")</f>
        <v/>
      </c>
    </row>
    <row r="213">
      <c r="A213" t="inlineStr">
        <is>
          <t>R182</t>
        </is>
      </c>
      <c r="B213" t="inlineStr">
        <is>
          <t>Yes</t>
        </is>
      </c>
      <c r="C213" t="inlineStr">
        <is>
          <t>Yes</t>
        </is>
      </c>
      <c r="D213" t="inlineStr">
        <is>
          <t>Female</t>
        </is>
      </c>
      <c r="E213" t="inlineStr">
        <is>
          <t>18-24</t>
        </is>
      </c>
      <c r="F213" t="inlineStr">
        <is>
          <t>Postgraduate Diploma</t>
        </is>
      </c>
      <c r="G213" t="inlineStr">
        <is>
          <t>Commercial bank</t>
        </is>
      </c>
      <c r="H213" t="inlineStr">
        <is>
          <t>IT/Technology</t>
        </is>
      </c>
      <c r="I213" t="inlineStr">
        <is>
          <t>16 or more</t>
        </is>
      </c>
      <c r="J213" t="inlineStr">
        <is>
          <t>Yes</t>
        </is>
      </c>
      <c r="K213" t="n">
        <v>2</v>
      </c>
      <c r="L213" t="inlineStr">
        <is>
          <t>Yes</t>
        </is>
      </c>
      <c r="M213" t="inlineStr">
        <is>
          <t>Yes</t>
        </is>
      </c>
      <c r="N213" t="n">
        <v>3</v>
      </c>
      <c r="O213" t="n">
        <v>2</v>
      </c>
      <c r="P213" t="n">
        <v>3</v>
      </c>
      <c r="Q213" t="n">
        <v>3</v>
      </c>
      <c r="R213" t="n">
        <v>3</v>
      </c>
      <c r="S213" t="n">
        <v>2</v>
      </c>
      <c r="T213" t="n">
        <v>1</v>
      </c>
      <c r="U213" t="n">
        <v>3</v>
      </c>
      <c r="V213" t="n">
        <v>3</v>
      </c>
      <c r="W213" t="n">
        <v>3</v>
      </c>
      <c r="X213" t="n">
        <v>4</v>
      </c>
      <c r="Y213" t="n">
        <v>3</v>
      </c>
      <c r="Z213" t="n">
        <v>4</v>
      </c>
      <c r="AA213" t="n">
        <v>3</v>
      </c>
      <c r="AB213" t="n">
        <v>4</v>
      </c>
      <c r="AC213" t="n">
        <v>3</v>
      </c>
      <c r="AD213" t="n">
        <v>4</v>
      </c>
      <c r="AE213" t="n">
        <v>3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  <c r="AK213" t="n">
        <v>3</v>
      </c>
      <c r="AL213" t="n">
        <v>4</v>
      </c>
      <c r="AM213" t="n">
        <v>3</v>
      </c>
      <c r="AN213" t="n">
        <v>4</v>
      </c>
      <c r="AO213" t="n">
        <v>2</v>
      </c>
      <c r="AP213" t="n">
        <v>3</v>
      </c>
      <c r="AQ213" t="n">
        <v>2</v>
      </c>
      <c r="AR213" t="n">
        <v>4</v>
      </c>
      <c r="AS213" t="n">
        <v>3</v>
      </c>
      <c r="AT213" t="n">
        <v>3</v>
      </c>
      <c r="AU213" t="n">
        <v>3</v>
      </c>
      <c r="AV213" t="n">
        <v>3</v>
      </c>
      <c r="AW213" t="n">
        <v>5</v>
      </c>
      <c r="AX213" t="n">
        <v>3</v>
      </c>
      <c r="AY213" t="n">
        <v>4</v>
      </c>
      <c r="AZ213" t="n">
        <v>2</v>
      </c>
      <c r="BA213" t="n">
        <v>4</v>
      </c>
      <c r="BB213" t="n">
        <v>4</v>
      </c>
      <c r="BC213" t="n">
        <v>4</v>
      </c>
      <c r="BD213" t="n">
        <v>3</v>
      </c>
      <c r="BE213" t="n">
        <v>2</v>
      </c>
      <c r="BF213" t="n">
        <v>3</v>
      </c>
      <c r="BG213" t="n">
        <v>2</v>
      </c>
      <c r="BH213" t="n">
        <v>3</v>
      </c>
      <c r="BI213" t="n">
        <v>3</v>
      </c>
      <c r="BJ213" t="n">
        <v>2</v>
      </c>
      <c r="BK213" t="n">
        <v>3</v>
      </c>
      <c r="BL213" t="n">
        <v>1</v>
      </c>
      <c r="BM213" t="n">
        <v>2</v>
      </c>
      <c r="BN213" t="n">
        <v>1</v>
      </c>
      <c r="BO213" t="n">
        <v>2</v>
      </c>
      <c r="BP213" t="n">
        <v>2</v>
      </c>
      <c r="BQ213" t="n">
        <v>4</v>
      </c>
      <c r="BR213" t="n">
        <v>2</v>
      </c>
      <c r="BS213" s="56">
        <f>IF(COUNT(N213:W213)&gt;=8,AVERAGE(N213:W213),"")</f>
        <v/>
      </c>
      <c r="BT213" s="56">
        <f>IF(COUNT(X213:AE213)&gt;=7,AVERAGE(X213:AE213),"")</f>
        <v/>
      </c>
      <c r="BU213" s="56">
        <f>IF(COUNT(AF213:AM213)&gt;=7,AVERAGE(AF213:AM213),"")</f>
        <v/>
      </c>
      <c r="BV213" s="56">
        <f>IF(COUNT(AN213:AV213)&gt;=8,AVERAGE(AN213:AV213),"")</f>
        <v/>
      </c>
      <c r="BW213" s="56">
        <f>IF(COUNT(AW213:BD213)&gt;=7,AVERAGE(AW213:BD213),"")</f>
        <v/>
      </c>
      <c r="BX213" s="56">
        <f>IF(COUNT(BE213:BJ213)&gt;=5,AVERAGE(BE213:BJ213),"")</f>
        <v/>
      </c>
      <c r="BY213" s="56">
        <f>IF(COUNT(BK213:BR213)&gt;=7,AVERAGE(BK213:BR213),"")</f>
        <v/>
      </c>
    </row>
    <row r="214">
      <c r="A214" t="inlineStr">
        <is>
          <t>R183</t>
        </is>
      </c>
      <c r="B214" t="inlineStr">
        <is>
          <t>Yes</t>
        </is>
      </c>
      <c r="C214" t="inlineStr">
        <is>
          <t>Yes</t>
        </is>
      </c>
      <c r="D214" t="inlineStr">
        <is>
          <t>Male</t>
        </is>
      </c>
      <c r="E214" t="inlineStr">
        <is>
          <t>45-54</t>
        </is>
      </c>
      <c r="F214" t="inlineStr">
        <is>
          <t>Doctorate</t>
        </is>
      </c>
      <c r="G214" t="inlineStr">
        <is>
          <t>Commercial bank</t>
        </is>
      </c>
      <c r="H214" t="inlineStr">
        <is>
          <t>Data/Analytics/AI</t>
        </is>
      </c>
      <c r="I214" t="inlineStr">
        <is>
          <t>16 or more</t>
        </is>
      </c>
      <c r="J214" t="inlineStr">
        <is>
          <t>Yes</t>
        </is>
      </c>
      <c r="K214" t="n">
        <v>2</v>
      </c>
      <c r="L214" t="inlineStr">
        <is>
          <t>Yes</t>
        </is>
      </c>
      <c r="M214" t="inlineStr">
        <is>
          <t>Yes</t>
        </is>
      </c>
      <c r="N214" t="n">
        <v>3</v>
      </c>
      <c r="P214" t="n">
        <v>2</v>
      </c>
      <c r="Q214" t="n">
        <v>1</v>
      </c>
      <c r="R214" t="n">
        <v>2</v>
      </c>
      <c r="S214" t="n">
        <v>2</v>
      </c>
      <c r="T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3</v>
      </c>
      <c r="AA214" t="n">
        <v>2</v>
      </c>
      <c r="AB214" t="n">
        <v>3</v>
      </c>
      <c r="AC214" t="n">
        <v>3</v>
      </c>
      <c r="AD214" t="n">
        <v>4</v>
      </c>
      <c r="AE214" t="n">
        <v>3</v>
      </c>
      <c r="AF214" t="n">
        <v>3</v>
      </c>
      <c r="AG214" t="n">
        <v>2</v>
      </c>
      <c r="AH214" t="n">
        <v>2</v>
      </c>
      <c r="AI214" t="n">
        <v>4</v>
      </c>
      <c r="AJ214" t="n">
        <v>3</v>
      </c>
      <c r="AK214" t="n">
        <v>3</v>
      </c>
      <c r="AL214" t="n">
        <v>4</v>
      </c>
      <c r="AM214" t="n">
        <v>3</v>
      </c>
      <c r="AN214" t="n">
        <v>3</v>
      </c>
      <c r="AO214" t="n">
        <v>2</v>
      </c>
      <c r="AP214" t="n">
        <v>2</v>
      </c>
      <c r="AQ214" t="n">
        <v>2</v>
      </c>
      <c r="AR214" t="n">
        <v>4</v>
      </c>
      <c r="AS214" t="n">
        <v>4</v>
      </c>
      <c r="AT214" t="n">
        <v>5</v>
      </c>
      <c r="AU214" t="n">
        <v>3</v>
      </c>
      <c r="AV214" t="n">
        <v>5</v>
      </c>
      <c r="AW214" t="n">
        <v>4</v>
      </c>
      <c r="AY214" t="n">
        <v>4</v>
      </c>
      <c r="AZ214" t="n">
        <v>4</v>
      </c>
      <c r="BA214" t="n">
        <v>5</v>
      </c>
      <c r="BB214" t="n">
        <v>4</v>
      </c>
      <c r="BC214" t="n">
        <v>3</v>
      </c>
      <c r="BD214" t="n">
        <v>4</v>
      </c>
      <c r="BE214" t="n">
        <v>3</v>
      </c>
      <c r="BF214" t="n">
        <v>3</v>
      </c>
      <c r="BG214" t="n">
        <v>2</v>
      </c>
      <c r="BH214" t="n">
        <v>3</v>
      </c>
      <c r="BI214" t="n">
        <v>3</v>
      </c>
      <c r="BK214" t="n">
        <v>1</v>
      </c>
      <c r="BL214" t="n">
        <v>1</v>
      </c>
      <c r="BM214" t="n">
        <v>2</v>
      </c>
      <c r="BO214" t="n">
        <v>3</v>
      </c>
      <c r="BP214" t="n">
        <v>3</v>
      </c>
      <c r="BQ214" t="n">
        <v>3</v>
      </c>
      <c r="BR214" t="n">
        <v>3</v>
      </c>
      <c r="BS214" s="56">
        <f>IF(COUNT(N214:W214)&gt;=8,AVERAGE(N214:W214),"")</f>
        <v/>
      </c>
      <c r="BT214" s="56">
        <f>IF(COUNT(X214:AE214)&gt;=7,AVERAGE(X214:AE214),"")</f>
        <v/>
      </c>
      <c r="BU214" s="56">
        <f>IF(COUNT(AF214:AM214)&gt;=7,AVERAGE(AF214:AM214),"")</f>
        <v/>
      </c>
      <c r="BV214" s="56">
        <f>IF(COUNT(AN214:AV214)&gt;=8,AVERAGE(AN214:AV214),"")</f>
        <v/>
      </c>
      <c r="BW214" s="56">
        <f>IF(COUNT(AW214:BD214)&gt;=7,AVERAGE(AW214:BD214),"")</f>
        <v/>
      </c>
      <c r="BX214" s="56">
        <f>IF(COUNT(BE214:BJ214)&gt;=5,AVERAGE(BE214:BJ214),"")</f>
        <v/>
      </c>
      <c r="BY214" s="56">
        <f>IF(COUNT(BK214:BR214)&gt;=7,AVERAGE(BK214:BR214),"")</f>
        <v/>
      </c>
    </row>
    <row r="215">
      <c r="A215" t="inlineStr">
        <is>
          <t>R184</t>
        </is>
      </c>
      <c r="B215" t="inlineStr">
        <is>
          <t>Yes</t>
        </is>
      </c>
      <c r="C215" t="inlineStr">
        <is>
          <t>Yes</t>
        </is>
      </c>
      <c r="D215" t="inlineStr">
        <is>
          <t>Female</t>
        </is>
      </c>
      <c r="E215" t="inlineStr">
        <is>
          <t>35-44</t>
        </is>
      </c>
      <c r="F215" t="inlineStr">
        <is>
          <t>Diploma/OND/NCE</t>
        </is>
      </c>
      <c r="G215" t="inlineStr">
        <is>
          <t>Fintech/payment provider</t>
        </is>
      </c>
      <c r="H215" t="inlineStr">
        <is>
          <t>Relationship/Marketing</t>
        </is>
      </c>
      <c r="I215" t="inlineStr">
        <is>
          <t>6-10</t>
        </is>
      </c>
      <c r="J215" t="inlineStr">
        <is>
          <t>Yes</t>
        </is>
      </c>
      <c r="K215" t="n">
        <v>0</v>
      </c>
      <c r="L215" t="inlineStr">
        <is>
          <t>Yes</t>
        </is>
      </c>
      <c r="M215" t="inlineStr">
        <is>
          <t>Yes</t>
        </is>
      </c>
      <c r="N215" t="n">
        <v>4</v>
      </c>
      <c r="O215" t="n">
        <v>2</v>
      </c>
      <c r="P215" t="n">
        <v>3</v>
      </c>
      <c r="Q215" t="n">
        <v>4</v>
      </c>
      <c r="R215" t="n">
        <v>2</v>
      </c>
      <c r="S215" t="n">
        <v>4</v>
      </c>
      <c r="T215" t="n">
        <v>2</v>
      </c>
      <c r="U215" t="n">
        <v>3</v>
      </c>
      <c r="V215" t="n">
        <v>3</v>
      </c>
      <c r="W215" t="n">
        <v>2</v>
      </c>
      <c r="X215" t="n">
        <v>3</v>
      </c>
      <c r="Y215" t="n">
        <v>4</v>
      </c>
      <c r="Z215" t="n">
        <v>3</v>
      </c>
      <c r="AA215" t="n">
        <v>4</v>
      </c>
      <c r="AB215" t="n">
        <v>4</v>
      </c>
      <c r="AC215" t="n">
        <v>2</v>
      </c>
      <c r="AD215" t="n">
        <v>3</v>
      </c>
      <c r="AE215" t="n">
        <v>3</v>
      </c>
      <c r="AF215" t="n">
        <v>3</v>
      </c>
      <c r="AG215" t="n">
        <v>4</v>
      </c>
      <c r="AH215" t="n">
        <v>3</v>
      </c>
      <c r="AI215" t="n">
        <v>4</v>
      </c>
      <c r="AJ215" t="n">
        <v>3</v>
      </c>
      <c r="AK215" t="n">
        <v>3</v>
      </c>
      <c r="AL215" t="n">
        <v>3</v>
      </c>
      <c r="AM215" t="n">
        <v>3</v>
      </c>
      <c r="AO215" t="n">
        <v>3</v>
      </c>
      <c r="AP215" t="n">
        <v>4</v>
      </c>
      <c r="AQ215" t="n">
        <v>3</v>
      </c>
      <c r="AR215" t="n">
        <v>3</v>
      </c>
      <c r="AS215" t="n">
        <v>3</v>
      </c>
      <c r="AT215" t="n">
        <v>3</v>
      </c>
      <c r="AU215" t="n">
        <v>2</v>
      </c>
      <c r="AV215" t="n">
        <v>4</v>
      </c>
      <c r="AW215" t="n">
        <v>2</v>
      </c>
      <c r="AX215" t="n">
        <v>3</v>
      </c>
      <c r="AY215" t="n">
        <v>2</v>
      </c>
      <c r="AZ215" t="n">
        <v>2</v>
      </c>
      <c r="BA215" t="n">
        <v>2</v>
      </c>
      <c r="BB215" t="n">
        <v>2</v>
      </c>
      <c r="BC215" t="n">
        <v>3</v>
      </c>
      <c r="BD215" t="n">
        <v>3</v>
      </c>
      <c r="BF215" t="n">
        <v>3</v>
      </c>
      <c r="BG215" t="n">
        <v>2</v>
      </c>
      <c r="BH215" t="n">
        <v>3</v>
      </c>
      <c r="BI215" t="n">
        <v>2</v>
      </c>
      <c r="BJ215" t="n">
        <v>3</v>
      </c>
      <c r="BK215" t="n">
        <v>3</v>
      </c>
      <c r="BL215" t="n">
        <v>2</v>
      </c>
      <c r="BM215" t="n">
        <v>5</v>
      </c>
      <c r="BN215" t="n">
        <v>4</v>
      </c>
      <c r="BO215" t="n">
        <v>3</v>
      </c>
      <c r="BP215" t="n">
        <v>3</v>
      </c>
      <c r="BQ215" t="n">
        <v>3</v>
      </c>
      <c r="BR215" t="n">
        <v>3</v>
      </c>
      <c r="BS215" s="56">
        <f>IF(COUNT(N215:W215)&gt;=8,AVERAGE(N215:W215),"")</f>
        <v/>
      </c>
      <c r="BT215" s="56">
        <f>IF(COUNT(X215:AE215)&gt;=7,AVERAGE(X215:AE215),"")</f>
        <v/>
      </c>
      <c r="BU215" s="56">
        <f>IF(COUNT(AF215:AM215)&gt;=7,AVERAGE(AF215:AM215),"")</f>
        <v/>
      </c>
      <c r="BV215" s="56">
        <f>IF(COUNT(AN215:AV215)&gt;=8,AVERAGE(AN215:AV215),"")</f>
        <v/>
      </c>
      <c r="BW215" s="56">
        <f>IF(COUNT(AW215:BD215)&gt;=7,AVERAGE(AW215:BD215),"")</f>
        <v/>
      </c>
      <c r="BX215" s="56">
        <f>IF(COUNT(BE215:BJ215)&gt;=5,AVERAGE(BE215:BJ215),"")</f>
        <v/>
      </c>
      <c r="BY215" s="56">
        <f>IF(COUNT(BK215:BR215)&gt;=7,AVERAGE(BK215:BR215),"")</f>
        <v/>
      </c>
    </row>
    <row r="216">
      <c r="A216" t="inlineStr">
        <is>
          <t>R185</t>
        </is>
      </c>
      <c r="B216" t="inlineStr">
        <is>
          <t>Yes</t>
        </is>
      </c>
      <c r="C216" t="inlineStr">
        <is>
          <t>Yes</t>
        </is>
      </c>
      <c r="D216" t="inlineStr">
        <is>
          <t>Male</t>
        </is>
      </c>
      <c r="E216" t="inlineStr">
        <is>
          <t>25-34</t>
        </is>
      </c>
      <c r="F216" t="inlineStr">
        <is>
          <t>Bachelor/HND</t>
        </is>
      </c>
      <c r="G216" t="inlineStr">
        <is>
          <t>Digital bank/neobank</t>
        </is>
      </c>
      <c r="H216" t="inlineStr">
        <is>
          <t>Management/Strategy</t>
        </is>
      </c>
      <c r="I216" t="inlineStr">
        <is>
          <t>6-10</t>
        </is>
      </c>
      <c r="J216" t="inlineStr">
        <is>
          <t>Yes</t>
        </is>
      </c>
      <c r="K216" t="n">
        <v>2</v>
      </c>
      <c r="L216" t="inlineStr">
        <is>
          <t>Yes</t>
        </is>
      </c>
      <c r="M216" t="inlineStr">
        <is>
          <t>Yes</t>
        </is>
      </c>
      <c r="N216" t="n">
        <v>2</v>
      </c>
      <c r="O216" t="n">
        <v>2</v>
      </c>
      <c r="P216" t="n">
        <v>3</v>
      </c>
      <c r="Q216" t="n">
        <v>2</v>
      </c>
      <c r="R216" t="n">
        <v>3</v>
      </c>
      <c r="S216" t="n">
        <v>3</v>
      </c>
      <c r="T216" t="n">
        <v>1</v>
      </c>
      <c r="U216" t="n">
        <v>2</v>
      </c>
      <c r="V216" t="n">
        <v>2</v>
      </c>
      <c r="W216" t="n">
        <v>3</v>
      </c>
      <c r="X216" t="n">
        <v>3</v>
      </c>
      <c r="Y216" t="n">
        <v>2</v>
      </c>
      <c r="Z216" t="n">
        <v>4</v>
      </c>
      <c r="AA216" t="n">
        <v>2</v>
      </c>
      <c r="AB216" t="n">
        <v>3</v>
      </c>
      <c r="AC216" t="n">
        <v>3</v>
      </c>
      <c r="AD216" t="n">
        <v>4</v>
      </c>
      <c r="AE216" t="n">
        <v>2</v>
      </c>
      <c r="AF216" t="n">
        <v>3</v>
      </c>
      <c r="AG216" t="n">
        <v>4</v>
      </c>
      <c r="AH216" t="n">
        <v>3</v>
      </c>
      <c r="AI216" t="n">
        <v>4</v>
      </c>
      <c r="AJ216" t="n">
        <v>3</v>
      </c>
      <c r="AK216" t="n">
        <v>3</v>
      </c>
      <c r="AL216" t="n">
        <v>3</v>
      </c>
      <c r="AM216" t="n">
        <v>2</v>
      </c>
      <c r="AN216" t="n">
        <v>4</v>
      </c>
      <c r="AO216" t="n">
        <v>4</v>
      </c>
      <c r="AP216" t="n">
        <v>4</v>
      </c>
      <c r="AQ216" t="n">
        <v>3</v>
      </c>
      <c r="AR216" t="n">
        <v>2</v>
      </c>
      <c r="AS216" t="n">
        <v>3</v>
      </c>
      <c r="AT216" t="n">
        <v>4</v>
      </c>
      <c r="AU216" t="n">
        <v>3</v>
      </c>
      <c r="AV216" t="n">
        <v>4</v>
      </c>
      <c r="AW216" t="n">
        <v>3</v>
      </c>
      <c r="AX216" t="n">
        <v>3</v>
      </c>
      <c r="AY216" t="n">
        <v>3</v>
      </c>
      <c r="AZ216" t="n">
        <v>3</v>
      </c>
      <c r="BA216" t="n">
        <v>3</v>
      </c>
      <c r="BB216" t="n">
        <v>3</v>
      </c>
      <c r="BC216" t="n">
        <v>3</v>
      </c>
      <c r="BD216" t="n">
        <v>4</v>
      </c>
      <c r="BE216" t="n">
        <v>2</v>
      </c>
      <c r="BF216" t="n">
        <v>2</v>
      </c>
      <c r="BG216" t="n">
        <v>1</v>
      </c>
      <c r="BH216" t="n">
        <v>4</v>
      </c>
      <c r="BI216" t="n">
        <v>1</v>
      </c>
      <c r="BJ216" t="n">
        <v>1</v>
      </c>
      <c r="BK216" t="n">
        <v>4</v>
      </c>
      <c r="BL216" t="n">
        <v>3</v>
      </c>
      <c r="BM216" t="n">
        <v>1</v>
      </c>
      <c r="BN216" t="n">
        <v>2</v>
      </c>
      <c r="BO216" t="n">
        <v>3</v>
      </c>
      <c r="BP216" t="n">
        <v>2</v>
      </c>
      <c r="BQ216" t="n">
        <v>2</v>
      </c>
      <c r="BR216" t="n">
        <v>2</v>
      </c>
      <c r="BS216" s="56">
        <f>IF(COUNT(N216:W216)&gt;=8,AVERAGE(N216:W216),"")</f>
        <v/>
      </c>
      <c r="BT216" s="56">
        <f>IF(COUNT(X216:AE216)&gt;=7,AVERAGE(X216:AE216),"")</f>
        <v/>
      </c>
      <c r="BU216" s="56">
        <f>IF(COUNT(AF216:AM216)&gt;=7,AVERAGE(AF216:AM216),"")</f>
        <v/>
      </c>
      <c r="BV216" s="56">
        <f>IF(COUNT(AN216:AV216)&gt;=8,AVERAGE(AN216:AV216),"")</f>
        <v/>
      </c>
      <c r="BW216" s="56">
        <f>IF(COUNT(AW216:BD216)&gt;=7,AVERAGE(AW216:BD216),"")</f>
        <v/>
      </c>
      <c r="BX216" s="56">
        <f>IF(COUNT(BE216:BJ216)&gt;=5,AVERAGE(BE216:BJ216),"")</f>
        <v/>
      </c>
      <c r="BY216" s="56">
        <f>IF(COUNT(BK216:BR216)&gt;=7,AVERAGE(BK216:BR216),"")</f>
        <v/>
      </c>
    </row>
    <row r="217">
      <c r="A217" t="inlineStr">
        <is>
          <t>R186</t>
        </is>
      </c>
      <c r="B217" t="inlineStr">
        <is>
          <t>Yes</t>
        </is>
      </c>
      <c r="C217" t="inlineStr">
        <is>
          <t>Yes</t>
        </is>
      </c>
      <c r="D217" t="inlineStr">
        <is>
          <t>Female</t>
        </is>
      </c>
      <c r="E217" t="inlineStr">
        <is>
          <t>35-44</t>
        </is>
      </c>
      <c r="F217" t="inlineStr">
        <is>
          <t>Bachelor/HND</t>
        </is>
      </c>
      <c r="G217" t="inlineStr">
        <is>
          <t>Fintech/payment provider</t>
        </is>
      </c>
      <c r="H217" t="inlineStr">
        <is>
          <t>Other</t>
        </is>
      </c>
      <c r="I217" t="inlineStr">
        <is>
          <t>6-10</t>
        </is>
      </c>
      <c r="J217" t="inlineStr">
        <is>
          <t>Yes</t>
        </is>
      </c>
      <c r="K217" t="n">
        <v>1</v>
      </c>
      <c r="L217" t="inlineStr">
        <is>
          <t>No</t>
        </is>
      </c>
      <c r="M217" t="inlineStr">
        <is>
          <t>Yes</t>
        </is>
      </c>
      <c r="N217" t="n">
        <v>2</v>
      </c>
      <c r="O217" t="n">
        <v>1</v>
      </c>
      <c r="P217" t="n">
        <v>2</v>
      </c>
      <c r="Q217" t="n">
        <v>1</v>
      </c>
      <c r="R217" t="n">
        <v>2</v>
      </c>
      <c r="S217" t="n">
        <v>1</v>
      </c>
      <c r="T217" t="n">
        <v>3</v>
      </c>
      <c r="U217" t="n">
        <v>2</v>
      </c>
      <c r="V217" t="n">
        <v>1</v>
      </c>
      <c r="W217" t="n">
        <v>1</v>
      </c>
      <c r="X217" t="n">
        <v>3</v>
      </c>
      <c r="Y217" t="n">
        <v>3</v>
      </c>
      <c r="Z217" t="n">
        <v>4</v>
      </c>
      <c r="AA217" t="n">
        <v>2</v>
      </c>
      <c r="AB217" t="n">
        <v>2</v>
      </c>
      <c r="AC217" t="n">
        <v>3</v>
      </c>
      <c r="AD217" t="n">
        <v>4</v>
      </c>
      <c r="AE217" t="n">
        <v>3</v>
      </c>
      <c r="AF217" t="n">
        <v>3</v>
      </c>
      <c r="AG217" t="n">
        <v>2</v>
      </c>
      <c r="AH217" t="n">
        <v>2</v>
      </c>
      <c r="AI217" t="n">
        <v>2</v>
      </c>
      <c r="AJ217" t="n">
        <v>2</v>
      </c>
      <c r="AK217" t="n">
        <v>3</v>
      </c>
      <c r="AL217" t="n">
        <v>2</v>
      </c>
      <c r="AM217" t="n">
        <v>2</v>
      </c>
      <c r="AN217" t="n">
        <v>2</v>
      </c>
      <c r="AP217" t="n">
        <v>2</v>
      </c>
      <c r="AR217" t="n">
        <v>3</v>
      </c>
      <c r="AS217" t="n">
        <v>2</v>
      </c>
      <c r="AT217" t="n">
        <v>2</v>
      </c>
      <c r="AU217" t="n">
        <v>1</v>
      </c>
      <c r="AV217" t="n">
        <v>2</v>
      </c>
      <c r="AW217" t="n">
        <v>2</v>
      </c>
      <c r="AX217" t="n">
        <v>1</v>
      </c>
      <c r="AY217" t="n">
        <v>3</v>
      </c>
      <c r="AZ217" t="n">
        <v>2</v>
      </c>
      <c r="BA217" t="n">
        <v>2</v>
      </c>
      <c r="BB217" t="n">
        <v>1</v>
      </c>
      <c r="BC217" t="n">
        <v>2</v>
      </c>
      <c r="BD217" t="n">
        <v>1</v>
      </c>
      <c r="BE217" t="n">
        <v>4</v>
      </c>
      <c r="BG217" t="n">
        <v>2</v>
      </c>
      <c r="BH217" t="n">
        <v>4</v>
      </c>
      <c r="BI217" t="n">
        <v>3</v>
      </c>
      <c r="BJ217" t="n">
        <v>3</v>
      </c>
      <c r="BK217" t="n">
        <v>4</v>
      </c>
      <c r="BL217" t="n">
        <v>3</v>
      </c>
      <c r="BM217" t="n">
        <v>5</v>
      </c>
      <c r="BN217" t="n">
        <v>3</v>
      </c>
      <c r="BO217" t="n">
        <v>5</v>
      </c>
      <c r="BP217" t="n">
        <v>2</v>
      </c>
      <c r="BQ217" t="n">
        <v>5</v>
      </c>
      <c r="BR217" t="n">
        <v>3</v>
      </c>
      <c r="BS217" s="56">
        <f>IF(COUNT(N217:W217)&gt;=8,AVERAGE(N217:W217),"")</f>
        <v/>
      </c>
      <c r="BT217" s="56">
        <f>IF(COUNT(X217:AE217)&gt;=7,AVERAGE(X217:AE217),"")</f>
        <v/>
      </c>
      <c r="BU217" s="56">
        <f>IF(COUNT(AF217:AM217)&gt;=7,AVERAGE(AF217:AM217),"")</f>
        <v/>
      </c>
      <c r="BV217" s="56">
        <f>IF(COUNT(AN217:AV217)&gt;=8,AVERAGE(AN217:AV217),"")</f>
        <v/>
      </c>
      <c r="BW217" s="56">
        <f>IF(COUNT(AW217:BD217)&gt;=7,AVERAGE(AW217:BD217),"")</f>
        <v/>
      </c>
      <c r="BX217" s="56">
        <f>IF(COUNT(BE217:BJ217)&gt;=5,AVERAGE(BE217:BJ217),"")</f>
        <v/>
      </c>
      <c r="BY217" s="56">
        <f>IF(COUNT(BK217:BR217)&gt;=7,AVERAGE(BK217:BR217),"")</f>
        <v/>
      </c>
    </row>
    <row r="218">
      <c r="A218" t="inlineStr">
        <is>
          <t>R187</t>
        </is>
      </c>
      <c r="B218" t="inlineStr">
        <is>
          <t>Yes</t>
        </is>
      </c>
      <c r="C218" t="inlineStr">
        <is>
          <t>Yes</t>
        </is>
      </c>
      <c r="D218" t="inlineStr">
        <is>
          <t>Male</t>
        </is>
      </c>
      <c r="E218" t="inlineStr">
        <is>
          <t>35-44</t>
        </is>
      </c>
      <c r="F218" t="inlineStr">
        <is>
          <t>Bachelor/HND</t>
        </is>
      </c>
      <c r="G218" t="inlineStr">
        <is>
          <t>Digital bank/neobank</t>
        </is>
      </c>
      <c r="H218" t="inlineStr">
        <is>
          <t>Other</t>
        </is>
      </c>
      <c r="I218" t="inlineStr">
        <is>
          <t>6-10</t>
        </is>
      </c>
      <c r="J218" t="inlineStr">
        <is>
          <t>Yes</t>
        </is>
      </c>
      <c r="K218" t="n">
        <v>2</v>
      </c>
      <c r="L218" t="inlineStr">
        <is>
          <t>Yes</t>
        </is>
      </c>
      <c r="M218" t="inlineStr">
        <is>
          <t>Yes</t>
        </is>
      </c>
      <c r="N218" t="n">
        <v>3</v>
      </c>
      <c r="O218" t="n">
        <v>3</v>
      </c>
      <c r="P218" t="n">
        <v>4</v>
      </c>
      <c r="Q218" t="n">
        <v>3</v>
      </c>
      <c r="R218" t="n">
        <v>3</v>
      </c>
      <c r="T218" t="n">
        <v>3</v>
      </c>
      <c r="U218" t="n">
        <v>4</v>
      </c>
      <c r="V218" t="n">
        <v>4</v>
      </c>
      <c r="W218" t="n">
        <v>3</v>
      </c>
      <c r="X218" t="n">
        <v>4</v>
      </c>
      <c r="Y218" t="n">
        <v>3</v>
      </c>
      <c r="Z218" t="n">
        <v>5</v>
      </c>
      <c r="AB218" t="n">
        <v>4</v>
      </c>
      <c r="AC218" t="n">
        <v>5</v>
      </c>
      <c r="AD218" t="n">
        <v>4</v>
      </c>
      <c r="AE218" t="n">
        <v>4</v>
      </c>
      <c r="AF218" t="n">
        <v>4</v>
      </c>
      <c r="AG218" t="n">
        <v>4</v>
      </c>
      <c r="AH218" t="n">
        <v>3</v>
      </c>
      <c r="AI218" t="n">
        <v>4</v>
      </c>
      <c r="AJ218" t="n">
        <v>3</v>
      </c>
      <c r="AK218" t="n">
        <v>3</v>
      </c>
      <c r="AL218" t="n">
        <v>4</v>
      </c>
      <c r="AM218" t="n">
        <v>3</v>
      </c>
      <c r="AN218" t="n">
        <v>4</v>
      </c>
      <c r="AO218" t="n">
        <v>4</v>
      </c>
      <c r="AP218" t="n">
        <v>4</v>
      </c>
      <c r="AQ218" t="n">
        <v>3</v>
      </c>
      <c r="AR218" t="n">
        <v>4</v>
      </c>
      <c r="AS218" t="n">
        <v>4</v>
      </c>
      <c r="AT218" t="n">
        <v>3</v>
      </c>
      <c r="AU218" t="n">
        <v>4</v>
      </c>
      <c r="AV218" t="n">
        <v>4</v>
      </c>
      <c r="AW218" t="n">
        <v>4</v>
      </c>
      <c r="AX218" t="n">
        <v>4</v>
      </c>
      <c r="AY218" t="n">
        <v>4</v>
      </c>
      <c r="AZ218" t="n">
        <v>3</v>
      </c>
      <c r="BA218" t="n">
        <v>5</v>
      </c>
      <c r="BB218" t="n">
        <v>5</v>
      </c>
      <c r="BC218" t="n">
        <v>4</v>
      </c>
      <c r="BD218" t="n">
        <v>5</v>
      </c>
      <c r="BE218" t="n">
        <v>3</v>
      </c>
      <c r="BF218" t="n">
        <v>2</v>
      </c>
      <c r="BG218" t="n">
        <v>2</v>
      </c>
      <c r="BH218" t="n">
        <v>3</v>
      </c>
      <c r="BI218" t="n">
        <v>3</v>
      </c>
      <c r="BJ218" t="n">
        <v>1</v>
      </c>
      <c r="BK218" t="n">
        <v>3</v>
      </c>
      <c r="BL218" t="n">
        <v>3</v>
      </c>
      <c r="BM218" t="n">
        <v>3</v>
      </c>
      <c r="BN218" t="n">
        <v>3</v>
      </c>
      <c r="BO218" t="n">
        <v>2</v>
      </c>
      <c r="BP218" t="n">
        <v>4</v>
      </c>
      <c r="BQ218" t="n">
        <v>3</v>
      </c>
      <c r="BS218" s="56">
        <f>IF(COUNT(N218:W218)&gt;=8,AVERAGE(N218:W218),"")</f>
        <v/>
      </c>
      <c r="BT218" s="56">
        <f>IF(COUNT(X218:AE218)&gt;=7,AVERAGE(X218:AE218),"")</f>
        <v/>
      </c>
      <c r="BU218" s="56">
        <f>IF(COUNT(AF218:AM218)&gt;=7,AVERAGE(AF218:AM218),"")</f>
        <v/>
      </c>
      <c r="BV218" s="56">
        <f>IF(COUNT(AN218:AV218)&gt;=8,AVERAGE(AN218:AV218),"")</f>
        <v/>
      </c>
      <c r="BW218" s="56">
        <f>IF(COUNT(AW218:BD218)&gt;=7,AVERAGE(AW218:BD218),"")</f>
        <v/>
      </c>
      <c r="BX218" s="56">
        <f>IF(COUNT(BE218:BJ218)&gt;=5,AVERAGE(BE218:BJ218),"")</f>
        <v/>
      </c>
      <c r="BY218" s="56">
        <f>IF(COUNT(BK218:BR218)&gt;=7,AVERAGE(BK218:BR218),"")</f>
        <v/>
      </c>
    </row>
    <row r="219">
      <c r="A219" t="inlineStr">
        <is>
          <t>R188</t>
        </is>
      </c>
      <c r="B219" t="inlineStr">
        <is>
          <t>Yes</t>
        </is>
      </c>
      <c r="C219" t="inlineStr">
        <is>
          <t>Yes</t>
        </is>
      </c>
      <c r="D219" t="inlineStr">
        <is>
          <t>Male</t>
        </is>
      </c>
      <c r="E219" t="inlineStr">
        <is>
          <t>35-44</t>
        </is>
      </c>
      <c r="F219" t="inlineStr">
        <is>
          <t>Other</t>
        </is>
      </c>
      <c r="G219" t="inlineStr">
        <is>
          <t>Digital bank/neobank</t>
        </is>
      </c>
      <c r="H219" t="inlineStr">
        <is>
          <t>Data/Analytics/AI</t>
        </is>
      </c>
      <c r="I219" t="inlineStr">
        <is>
          <t>Less than 2</t>
        </is>
      </c>
      <c r="J219" t="inlineStr">
        <is>
          <t>Yes</t>
        </is>
      </c>
      <c r="K219" t="n">
        <v>4</v>
      </c>
      <c r="L219" t="inlineStr">
        <is>
          <t>Yes</t>
        </is>
      </c>
      <c r="M219" t="inlineStr">
        <is>
          <t>Yes</t>
        </is>
      </c>
      <c r="N219" t="n">
        <v>2</v>
      </c>
      <c r="O219" t="n">
        <v>2</v>
      </c>
      <c r="P219" t="n">
        <v>2</v>
      </c>
      <c r="Q219" t="n">
        <v>2</v>
      </c>
      <c r="R219" t="n">
        <v>3</v>
      </c>
      <c r="S219" t="n">
        <v>2</v>
      </c>
      <c r="T219" t="n">
        <v>1</v>
      </c>
      <c r="U219" t="n">
        <v>4</v>
      </c>
      <c r="V219" t="n">
        <v>3</v>
      </c>
      <c r="W219" t="n">
        <v>1</v>
      </c>
      <c r="X219" t="n">
        <v>4</v>
      </c>
      <c r="Y219" t="n">
        <v>4</v>
      </c>
      <c r="Z219" t="n">
        <v>4</v>
      </c>
      <c r="AA219" t="n">
        <v>5</v>
      </c>
      <c r="AB219" t="n">
        <v>4</v>
      </c>
      <c r="AC219" t="n">
        <v>4</v>
      </c>
      <c r="AD219" t="n">
        <v>5</v>
      </c>
      <c r="AE219" t="n">
        <v>4</v>
      </c>
      <c r="AF219" t="n">
        <v>4</v>
      </c>
      <c r="AG219" t="n">
        <v>3</v>
      </c>
      <c r="AH219" t="n">
        <v>4</v>
      </c>
      <c r="AI219" t="n">
        <v>4</v>
      </c>
      <c r="AJ219" t="n">
        <v>3</v>
      </c>
      <c r="AK219" t="n">
        <v>5</v>
      </c>
      <c r="AL219" t="n">
        <v>3</v>
      </c>
      <c r="AM219" t="n">
        <v>3</v>
      </c>
      <c r="AN219" t="n">
        <v>3</v>
      </c>
      <c r="AO219" t="n">
        <v>3</v>
      </c>
      <c r="AP219" t="n">
        <v>3</v>
      </c>
      <c r="AQ219" t="n">
        <v>2</v>
      </c>
      <c r="AR219" t="n">
        <v>3</v>
      </c>
      <c r="AS219" t="n">
        <v>2</v>
      </c>
      <c r="AT219" t="n">
        <v>3</v>
      </c>
      <c r="AU219" t="n">
        <v>3</v>
      </c>
      <c r="AV219" t="n">
        <v>2</v>
      </c>
      <c r="AW219" t="n">
        <v>5</v>
      </c>
      <c r="AX219" t="n">
        <v>4</v>
      </c>
      <c r="AY219" t="n">
        <v>3</v>
      </c>
      <c r="AZ219" t="n">
        <v>3</v>
      </c>
      <c r="BA219" t="n">
        <v>4</v>
      </c>
      <c r="BB219" t="n">
        <v>4</v>
      </c>
      <c r="BC219" t="n">
        <v>5</v>
      </c>
      <c r="BD219" t="n">
        <v>3</v>
      </c>
      <c r="BE219" t="n">
        <v>5</v>
      </c>
      <c r="BF219" t="n">
        <v>4</v>
      </c>
      <c r="BG219" t="n">
        <v>3</v>
      </c>
      <c r="BH219" t="n">
        <v>4</v>
      </c>
      <c r="BI219" t="n">
        <v>3</v>
      </c>
      <c r="BJ219" t="n">
        <v>3</v>
      </c>
      <c r="BK219" t="n">
        <v>3</v>
      </c>
      <c r="BL219" t="n">
        <v>2</v>
      </c>
      <c r="BM219" t="n">
        <v>3</v>
      </c>
      <c r="BN219" t="n">
        <v>2</v>
      </c>
      <c r="BP219" t="n">
        <v>3</v>
      </c>
      <c r="BQ219" t="n">
        <v>2</v>
      </c>
      <c r="BR219" t="n">
        <v>2</v>
      </c>
      <c r="BS219" s="56">
        <f>IF(COUNT(N219:W219)&gt;=8,AVERAGE(N219:W219),"")</f>
        <v/>
      </c>
      <c r="BT219" s="56">
        <f>IF(COUNT(X219:AE219)&gt;=7,AVERAGE(X219:AE219),"")</f>
        <v/>
      </c>
      <c r="BU219" s="56">
        <f>IF(COUNT(AF219:AM219)&gt;=7,AVERAGE(AF219:AM219),"")</f>
        <v/>
      </c>
      <c r="BV219" s="56">
        <f>IF(COUNT(AN219:AV219)&gt;=8,AVERAGE(AN219:AV219),"")</f>
        <v/>
      </c>
      <c r="BW219" s="56">
        <f>IF(COUNT(AW219:BD219)&gt;=7,AVERAGE(AW219:BD219),"")</f>
        <v/>
      </c>
      <c r="BX219" s="56">
        <f>IF(COUNT(BE219:BJ219)&gt;=5,AVERAGE(BE219:BJ219),"")</f>
        <v/>
      </c>
      <c r="BY219" s="56">
        <f>IF(COUNT(BK219:BR219)&gt;=7,AVERAGE(BK219:BR219),"")</f>
        <v/>
      </c>
    </row>
    <row r="220">
      <c r="A220" t="inlineStr">
        <is>
          <t>R189</t>
        </is>
      </c>
      <c r="B220" t="inlineStr">
        <is>
          <t>Yes</t>
        </is>
      </c>
      <c r="C220" t="inlineStr">
        <is>
          <t>Yes</t>
        </is>
      </c>
      <c r="D220" t="inlineStr">
        <is>
          <t>Male</t>
        </is>
      </c>
      <c r="E220" t="inlineStr">
        <is>
          <t>18-24</t>
        </is>
      </c>
      <c r="F220" t="inlineStr">
        <is>
          <t>Bachelor/HND</t>
        </is>
      </c>
      <c r="G220" t="inlineStr">
        <is>
          <t>Commercial bank</t>
        </is>
      </c>
      <c r="H220" t="inlineStr">
        <is>
          <t>Digital Banking/Product</t>
        </is>
      </c>
      <c r="I220" t="inlineStr">
        <is>
          <t>11-15</t>
        </is>
      </c>
      <c r="J220" t="inlineStr">
        <is>
          <t>Yes</t>
        </is>
      </c>
      <c r="K220" t="n">
        <v>2</v>
      </c>
      <c r="L220" t="inlineStr">
        <is>
          <t>No</t>
        </is>
      </c>
      <c r="M220" t="inlineStr">
        <is>
          <t>Yes</t>
        </is>
      </c>
      <c r="N220" t="n">
        <v>3</v>
      </c>
      <c r="O220" t="n">
        <v>3</v>
      </c>
      <c r="P220" t="n">
        <v>4</v>
      </c>
      <c r="R220" t="n">
        <v>3</v>
      </c>
      <c r="S220" t="n">
        <v>4</v>
      </c>
      <c r="T220" t="n">
        <v>3</v>
      </c>
      <c r="U220" t="n">
        <v>3</v>
      </c>
      <c r="V220" t="n">
        <v>3</v>
      </c>
      <c r="W220" t="n">
        <v>2</v>
      </c>
      <c r="X220" t="n">
        <v>2</v>
      </c>
      <c r="Y220" t="n">
        <v>2</v>
      </c>
      <c r="Z220" t="n">
        <v>2</v>
      </c>
      <c r="AA220" t="n">
        <v>2</v>
      </c>
      <c r="AB220" t="n">
        <v>2</v>
      </c>
      <c r="AC220" t="n">
        <v>3</v>
      </c>
      <c r="AD220" t="n">
        <v>4</v>
      </c>
      <c r="AE220" t="n">
        <v>2</v>
      </c>
      <c r="AF220" t="n">
        <v>2</v>
      </c>
      <c r="AG220" t="n">
        <v>3</v>
      </c>
      <c r="AH220" t="n">
        <v>3</v>
      </c>
      <c r="AI220" t="n">
        <v>5</v>
      </c>
      <c r="AJ220" t="n">
        <v>2</v>
      </c>
      <c r="AK220" t="n">
        <v>3</v>
      </c>
      <c r="AL220" t="n">
        <v>4</v>
      </c>
      <c r="AM220" t="n">
        <v>3</v>
      </c>
      <c r="AN220" t="n">
        <v>5</v>
      </c>
      <c r="AO220" t="n">
        <v>4</v>
      </c>
      <c r="AP220" t="n">
        <v>3</v>
      </c>
      <c r="AQ220" t="n">
        <v>3</v>
      </c>
      <c r="AR220" t="n">
        <v>3</v>
      </c>
      <c r="AS220" t="n">
        <v>4</v>
      </c>
      <c r="AT220" t="n">
        <v>3</v>
      </c>
      <c r="AU220" t="n">
        <v>4</v>
      </c>
      <c r="AV220" t="n">
        <v>4</v>
      </c>
      <c r="AW220" t="n">
        <v>3</v>
      </c>
      <c r="AX220" t="n">
        <v>4</v>
      </c>
      <c r="AY220" t="n">
        <v>4</v>
      </c>
      <c r="AZ220" t="n">
        <v>4</v>
      </c>
      <c r="BA220" t="n">
        <v>4</v>
      </c>
      <c r="BB220" t="n">
        <v>3</v>
      </c>
      <c r="BC220" t="n">
        <v>3</v>
      </c>
      <c r="BD220" t="n">
        <v>4</v>
      </c>
      <c r="BE220" t="n">
        <v>3</v>
      </c>
      <c r="BF220" t="n">
        <v>4</v>
      </c>
      <c r="BG220" t="n">
        <v>3</v>
      </c>
      <c r="BH220" t="n">
        <v>5</v>
      </c>
      <c r="BI220" t="n">
        <v>4</v>
      </c>
      <c r="BJ220" t="n">
        <v>4</v>
      </c>
      <c r="BK220" t="n">
        <v>3</v>
      </c>
      <c r="BL220" t="n">
        <v>3</v>
      </c>
      <c r="BM220" t="n">
        <v>3</v>
      </c>
      <c r="BN220" t="n">
        <v>4</v>
      </c>
      <c r="BO220" t="n">
        <v>4</v>
      </c>
      <c r="BP220" t="n">
        <v>2</v>
      </c>
      <c r="BQ220" t="n">
        <v>4</v>
      </c>
      <c r="BR220" t="n">
        <v>3</v>
      </c>
      <c r="BS220" s="56">
        <f>IF(COUNT(N220:W220)&gt;=8,AVERAGE(N220:W220),"")</f>
        <v/>
      </c>
      <c r="BT220" s="56">
        <f>IF(COUNT(X220:AE220)&gt;=7,AVERAGE(X220:AE220),"")</f>
        <v/>
      </c>
      <c r="BU220" s="56">
        <f>IF(COUNT(AF220:AM220)&gt;=7,AVERAGE(AF220:AM220),"")</f>
        <v/>
      </c>
      <c r="BV220" s="56">
        <f>IF(COUNT(AN220:AV220)&gt;=8,AVERAGE(AN220:AV220),"")</f>
        <v/>
      </c>
      <c r="BW220" s="56">
        <f>IF(COUNT(AW220:BD220)&gt;=7,AVERAGE(AW220:BD220),"")</f>
        <v/>
      </c>
      <c r="BX220" s="56">
        <f>IF(COUNT(BE220:BJ220)&gt;=5,AVERAGE(BE220:BJ220),"")</f>
        <v/>
      </c>
      <c r="BY220" s="56">
        <f>IF(COUNT(BK220:BR220)&gt;=7,AVERAGE(BK220:BR220),"")</f>
        <v/>
      </c>
    </row>
    <row r="221">
      <c r="A221" t="inlineStr">
        <is>
          <t>R190</t>
        </is>
      </c>
      <c r="B221" t="inlineStr">
        <is>
          <t>Yes</t>
        </is>
      </c>
      <c r="C221" t="inlineStr">
        <is>
          <t>Yes</t>
        </is>
      </c>
      <c r="D221" t="inlineStr">
        <is>
          <t>Male</t>
        </is>
      </c>
      <c r="E221" t="inlineStr">
        <is>
          <t>25-34</t>
        </is>
      </c>
      <c r="F221" t="inlineStr">
        <is>
          <t>Postgraduate Diploma</t>
        </is>
      </c>
      <c r="G221" t="inlineStr">
        <is>
          <t>Fintech/payment provider</t>
        </is>
      </c>
      <c r="H221" t="inlineStr">
        <is>
          <t>Other</t>
        </is>
      </c>
      <c r="I221" t="inlineStr">
        <is>
          <t>2-5</t>
        </is>
      </c>
      <c r="J221" t="inlineStr">
        <is>
          <t>Yes</t>
        </is>
      </c>
      <c r="K221" t="n">
        <v>2</v>
      </c>
      <c r="L221" t="inlineStr">
        <is>
          <t>Yes</t>
        </is>
      </c>
      <c r="M221" t="inlineStr">
        <is>
          <t>Yes</t>
        </is>
      </c>
      <c r="N221" t="n">
        <v>5</v>
      </c>
      <c r="O221" t="n">
        <v>5</v>
      </c>
      <c r="P221" t="n">
        <v>5</v>
      </c>
      <c r="Q221" t="n">
        <v>4</v>
      </c>
      <c r="R221" t="n">
        <v>4</v>
      </c>
      <c r="S221" t="n">
        <v>4</v>
      </c>
      <c r="T221" t="n">
        <v>4</v>
      </c>
      <c r="U221" t="n">
        <v>4</v>
      </c>
      <c r="V221" t="n">
        <v>5</v>
      </c>
      <c r="W221" t="n">
        <v>4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3</v>
      </c>
      <c r="AD221" t="n">
        <v>4</v>
      </c>
      <c r="AE221" t="n">
        <v>3</v>
      </c>
      <c r="AF221" t="n">
        <v>5</v>
      </c>
      <c r="AG221" t="n">
        <v>4</v>
      </c>
      <c r="AH221" t="n">
        <v>3</v>
      </c>
      <c r="AI221" t="n">
        <v>5</v>
      </c>
      <c r="AJ221" t="n">
        <v>4</v>
      </c>
      <c r="AK221" t="n">
        <v>4</v>
      </c>
      <c r="AL221" t="n">
        <v>4</v>
      </c>
      <c r="AM221" t="n">
        <v>4</v>
      </c>
      <c r="AN221" t="n">
        <v>3</v>
      </c>
      <c r="AO221" t="n">
        <v>2</v>
      </c>
      <c r="AP221" t="n">
        <v>3</v>
      </c>
      <c r="AQ221" t="n">
        <v>3</v>
      </c>
      <c r="AR221" t="n">
        <v>3</v>
      </c>
      <c r="AS221" t="n">
        <v>2</v>
      </c>
      <c r="AT221" t="n">
        <v>2</v>
      </c>
      <c r="AU221" t="n">
        <v>1</v>
      </c>
      <c r="AV221" t="n">
        <v>2</v>
      </c>
      <c r="AW221" t="n">
        <v>3</v>
      </c>
      <c r="AX221" t="n">
        <v>4</v>
      </c>
      <c r="AY221" t="n">
        <v>4</v>
      </c>
      <c r="AZ221" t="n">
        <v>3</v>
      </c>
      <c r="BA221" t="n">
        <v>4</v>
      </c>
      <c r="BB221" t="n">
        <v>4</v>
      </c>
      <c r="BC221" t="n">
        <v>4</v>
      </c>
      <c r="BD221" t="n">
        <v>4</v>
      </c>
      <c r="BE221" t="n">
        <v>3</v>
      </c>
      <c r="BF221" t="n">
        <v>3</v>
      </c>
      <c r="BG221" t="n">
        <v>4</v>
      </c>
      <c r="BH221" t="n">
        <v>4</v>
      </c>
      <c r="BI221" t="n">
        <v>4</v>
      </c>
      <c r="BJ221" t="n">
        <v>4</v>
      </c>
      <c r="BK221" t="n">
        <v>3</v>
      </c>
      <c r="BL221" t="n">
        <v>2</v>
      </c>
      <c r="BM221" t="n">
        <v>3</v>
      </c>
      <c r="BN221" t="n">
        <v>2</v>
      </c>
      <c r="BO221" t="n">
        <v>2</v>
      </c>
      <c r="BP221" t="n">
        <v>3</v>
      </c>
      <c r="BQ221" t="n">
        <v>3</v>
      </c>
      <c r="BR221" t="n">
        <v>2</v>
      </c>
      <c r="BS221" s="56">
        <f>IF(COUNT(N221:W221)&gt;=8,AVERAGE(N221:W221),"")</f>
        <v/>
      </c>
      <c r="BT221" s="56">
        <f>IF(COUNT(X221:AE221)&gt;=7,AVERAGE(X221:AE221),"")</f>
        <v/>
      </c>
      <c r="BU221" s="56">
        <f>IF(COUNT(AF221:AM221)&gt;=7,AVERAGE(AF221:AM221),"")</f>
        <v/>
      </c>
      <c r="BV221" s="56">
        <f>IF(COUNT(AN221:AV221)&gt;=8,AVERAGE(AN221:AV221),"")</f>
        <v/>
      </c>
      <c r="BW221" s="56">
        <f>IF(COUNT(AW221:BD221)&gt;=7,AVERAGE(AW221:BD221),"")</f>
        <v/>
      </c>
      <c r="BX221" s="56">
        <f>IF(COUNT(BE221:BJ221)&gt;=5,AVERAGE(BE221:BJ221),"")</f>
        <v/>
      </c>
      <c r="BY221" s="56">
        <f>IF(COUNT(BK221:BR221)&gt;=7,AVERAGE(BK221:BR221),"")</f>
        <v/>
      </c>
    </row>
    <row r="222">
      <c r="A222" t="inlineStr">
        <is>
          <t>R191</t>
        </is>
      </c>
      <c r="B222" t="inlineStr">
        <is>
          <t>Yes</t>
        </is>
      </c>
      <c r="C222" t="inlineStr">
        <is>
          <t>Yes</t>
        </is>
      </c>
      <c r="D222" t="inlineStr">
        <is>
          <t>Male</t>
        </is>
      </c>
      <c r="E222" t="inlineStr">
        <is>
          <t>35-44</t>
        </is>
      </c>
      <c r="F222" t="inlineStr">
        <is>
          <t>Bachelor/HND</t>
        </is>
      </c>
      <c r="G222" t="inlineStr">
        <is>
          <t>Insurance/investment/other licensed financial institution</t>
        </is>
      </c>
      <c r="H222" t="inlineStr">
        <is>
          <t>Data/Analytics/AI</t>
        </is>
      </c>
      <c r="I222" t="inlineStr">
        <is>
          <t>11-15</t>
        </is>
      </c>
      <c r="J222" t="inlineStr">
        <is>
          <t>Yes</t>
        </is>
      </c>
      <c r="K222" t="n">
        <v>4</v>
      </c>
      <c r="L222" t="inlineStr">
        <is>
          <t>Yes</t>
        </is>
      </c>
      <c r="M222" t="inlineStr">
        <is>
          <t>Yes</t>
        </is>
      </c>
      <c r="N222" t="n">
        <v>4</v>
      </c>
      <c r="O222" t="n">
        <v>3</v>
      </c>
      <c r="P222" t="n">
        <v>4</v>
      </c>
      <c r="Q222" t="n">
        <v>2</v>
      </c>
      <c r="R222" t="n">
        <v>4</v>
      </c>
      <c r="S222" t="n">
        <v>3</v>
      </c>
      <c r="T222" t="n">
        <v>3</v>
      </c>
      <c r="U222" t="n">
        <v>3</v>
      </c>
      <c r="V222" t="n">
        <v>3</v>
      </c>
      <c r="W222" t="n">
        <v>3</v>
      </c>
      <c r="X222" t="n">
        <v>3</v>
      </c>
      <c r="Y222" t="n">
        <v>2</v>
      </c>
      <c r="Z222" t="n">
        <v>3</v>
      </c>
      <c r="AA222" t="n">
        <v>2</v>
      </c>
      <c r="AB222" t="n">
        <v>3</v>
      </c>
      <c r="AC222" t="n">
        <v>2</v>
      </c>
      <c r="AD222" t="n">
        <v>3</v>
      </c>
      <c r="AE222" t="n">
        <v>2</v>
      </c>
      <c r="AG222" t="n">
        <v>1</v>
      </c>
      <c r="AH222" t="n">
        <v>1</v>
      </c>
      <c r="AI222" t="n">
        <v>2</v>
      </c>
      <c r="AJ222" t="n">
        <v>1</v>
      </c>
      <c r="AK222" t="n">
        <v>1</v>
      </c>
      <c r="AL222" t="n">
        <v>1</v>
      </c>
      <c r="AM222" t="n">
        <v>1</v>
      </c>
      <c r="AN222" t="n">
        <v>2</v>
      </c>
      <c r="AO222" t="n">
        <v>2</v>
      </c>
      <c r="AP222" t="n">
        <v>3</v>
      </c>
      <c r="AQ222" t="n">
        <v>3</v>
      </c>
      <c r="AR222" t="n">
        <v>2</v>
      </c>
      <c r="AS222" t="n">
        <v>3</v>
      </c>
      <c r="AT222" t="n">
        <v>3</v>
      </c>
      <c r="AU222" t="n">
        <v>3</v>
      </c>
      <c r="AV222" t="n">
        <v>2</v>
      </c>
      <c r="AW222" t="n">
        <v>2</v>
      </c>
      <c r="AX222" t="n">
        <v>1</v>
      </c>
      <c r="AY222" t="n">
        <v>2</v>
      </c>
      <c r="AZ222" t="n">
        <v>1</v>
      </c>
      <c r="BA222" t="n">
        <v>2</v>
      </c>
      <c r="BB222" t="n">
        <v>1</v>
      </c>
      <c r="BC222" t="n">
        <v>2</v>
      </c>
      <c r="BD222" t="n">
        <v>1</v>
      </c>
      <c r="BE222" t="n">
        <v>2</v>
      </c>
      <c r="BF222" t="n">
        <v>3</v>
      </c>
      <c r="BG222" t="n">
        <v>1</v>
      </c>
      <c r="BH222" t="n">
        <v>2</v>
      </c>
      <c r="BI222" t="n">
        <v>3</v>
      </c>
      <c r="BJ222" t="n">
        <v>3</v>
      </c>
      <c r="BK222" t="n">
        <v>3</v>
      </c>
      <c r="BL222" t="n">
        <v>3</v>
      </c>
      <c r="BM222" t="n">
        <v>3</v>
      </c>
      <c r="BN222" t="n">
        <v>2</v>
      </c>
      <c r="BO222" t="n">
        <v>3</v>
      </c>
      <c r="BP222" t="n">
        <v>3</v>
      </c>
      <c r="BQ222" t="n">
        <v>3</v>
      </c>
      <c r="BR222" t="n">
        <v>3</v>
      </c>
      <c r="BS222" s="56">
        <f>IF(COUNT(N222:W222)&gt;=8,AVERAGE(N222:W222),"")</f>
        <v/>
      </c>
      <c r="BT222" s="56">
        <f>IF(COUNT(X222:AE222)&gt;=7,AVERAGE(X222:AE222),"")</f>
        <v/>
      </c>
      <c r="BU222" s="56">
        <f>IF(COUNT(AF222:AM222)&gt;=7,AVERAGE(AF222:AM222),"")</f>
        <v/>
      </c>
      <c r="BV222" s="56">
        <f>IF(COUNT(AN222:AV222)&gt;=8,AVERAGE(AN222:AV222),"")</f>
        <v/>
      </c>
      <c r="BW222" s="56">
        <f>IF(COUNT(AW222:BD222)&gt;=7,AVERAGE(AW222:BD222),"")</f>
        <v/>
      </c>
      <c r="BX222" s="56">
        <f>IF(COUNT(BE222:BJ222)&gt;=5,AVERAGE(BE222:BJ222),"")</f>
        <v/>
      </c>
      <c r="BY222" s="56">
        <f>IF(COUNT(BK222:BR222)&gt;=7,AVERAGE(BK222:BR222),"")</f>
        <v/>
      </c>
    </row>
    <row r="223">
      <c r="A223" t="inlineStr">
        <is>
          <t>R192</t>
        </is>
      </c>
      <c r="B223" t="inlineStr">
        <is>
          <t>Yes</t>
        </is>
      </c>
      <c r="C223" t="inlineStr">
        <is>
          <t>Yes</t>
        </is>
      </c>
      <c r="D223" t="inlineStr">
        <is>
          <t>Female</t>
        </is>
      </c>
      <c r="E223" t="inlineStr">
        <is>
          <t>45-54</t>
        </is>
      </c>
      <c r="F223" t="inlineStr">
        <is>
          <t>Bachelor/HND</t>
        </is>
      </c>
      <c r="G223" t="inlineStr">
        <is>
          <t>Fintech/payment provider</t>
        </is>
      </c>
      <c r="H223" t="inlineStr">
        <is>
          <t>Relationship/Marketing</t>
        </is>
      </c>
      <c r="I223" t="inlineStr">
        <is>
          <t>11-15</t>
        </is>
      </c>
      <c r="J223" t="inlineStr">
        <is>
          <t>Yes</t>
        </is>
      </c>
      <c r="K223" t="n">
        <v>3</v>
      </c>
      <c r="L223" t="inlineStr">
        <is>
          <t>Do not know</t>
        </is>
      </c>
      <c r="M223" t="inlineStr">
        <is>
          <t>Yes</t>
        </is>
      </c>
      <c r="N223" t="n">
        <v>2</v>
      </c>
      <c r="O223" t="n">
        <v>2</v>
      </c>
      <c r="P223" t="n">
        <v>2</v>
      </c>
      <c r="Q223" t="n">
        <v>2</v>
      </c>
      <c r="R223" t="n">
        <v>3</v>
      </c>
      <c r="S223" t="n">
        <v>1</v>
      </c>
      <c r="T223" t="n">
        <v>3</v>
      </c>
      <c r="U223" t="n">
        <v>3</v>
      </c>
      <c r="V223" t="n">
        <v>2</v>
      </c>
      <c r="W223" t="n">
        <v>2</v>
      </c>
      <c r="X223" t="n">
        <v>2</v>
      </c>
      <c r="Y223" t="n">
        <v>2</v>
      </c>
      <c r="Z223" t="n">
        <v>3</v>
      </c>
      <c r="AA223" t="n">
        <v>1</v>
      </c>
      <c r="AB223" t="n">
        <v>2</v>
      </c>
      <c r="AC223" t="n">
        <v>3</v>
      </c>
      <c r="AD223" t="n">
        <v>3</v>
      </c>
      <c r="AE223" t="n">
        <v>3</v>
      </c>
      <c r="AF223" t="n">
        <v>2</v>
      </c>
      <c r="AG223" t="n">
        <v>3</v>
      </c>
      <c r="AH223" t="n">
        <v>1</v>
      </c>
      <c r="AI223" t="n">
        <v>3</v>
      </c>
      <c r="AJ223" t="n">
        <v>2</v>
      </c>
      <c r="AK223" t="n">
        <v>2</v>
      </c>
      <c r="AL223" t="n">
        <v>2</v>
      </c>
      <c r="AM223" t="n">
        <v>2</v>
      </c>
      <c r="AN223" t="n">
        <v>4</v>
      </c>
      <c r="AO223" t="n">
        <v>3</v>
      </c>
      <c r="AP223" t="n">
        <v>3</v>
      </c>
      <c r="AQ223" t="n">
        <v>3</v>
      </c>
      <c r="AR223" t="n">
        <v>3</v>
      </c>
      <c r="AS223" t="n">
        <v>2</v>
      </c>
      <c r="AT223" t="n">
        <v>2</v>
      </c>
      <c r="AU223" t="n">
        <v>2</v>
      </c>
      <c r="AV223" t="n">
        <v>3</v>
      </c>
      <c r="AW223" t="n">
        <v>2</v>
      </c>
      <c r="AX223" t="n">
        <v>2</v>
      </c>
      <c r="AY223" t="n">
        <v>2</v>
      </c>
      <c r="AZ223" t="n">
        <v>3</v>
      </c>
      <c r="BA223" t="n">
        <v>3</v>
      </c>
      <c r="BB223" t="n">
        <v>2</v>
      </c>
      <c r="BC223" t="n">
        <v>2</v>
      </c>
      <c r="BD223" t="n">
        <v>2</v>
      </c>
      <c r="BE223" t="n">
        <v>4</v>
      </c>
      <c r="BF223" t="n">
        <v>4</v>
      </c>
      <c r="BG223" t="n">
        <v>4</v>
      </c>
      <c r="BH223" t="n">
        <v>5</v>
      </c>
      <c r="BI223" t="n">
        <v>4</v>
      </c>
      <c r="BJ223" t="n">
        <v>4</v>
      </c>
      <c r="BK223" t="n">
        <v>4</v>
      </c>
      <c r="BL223" t="n">
        <v>4</v>
      </c>
      <c r="BM223" t="n">
        <v>4</v>
      </c>
      <c r="BN223" t="n">
        <v>3</v>
      </c>
      <c r="BO223" t="n">
        <v>3</v>
      </c>
      <c r="BP223" t="n">
        <v>4</v>
      </c>
      <c r="BQ223" t="n">
        <v>4</v>
      </c>
      <c r="BR223" t="n">
        <v>3</v>
      </c>
      <c r="BS223" s="56">
        <f>IF(COUNT(N223:W223)&gt;=8,AVERAGE(N223:W223),"")</f>
        <v/>
      </c>
      <c r="BT223" s="56">
        <f>IF(COUNT(X223:AE223)&gt;=7,AVERAGE(X223:AE223),"")</f>
        <v/>
      </c>
      <c r="BU223" s="56">
        <f>IF(COUNT(AF223:AM223)&gt;=7,AVERAGE(AF223:AM223),"")</f>
        <v/>
      </c>
      <c r="BV223" s="56">
        <f>IF(COUNT(AN223:AV223)&gt;=8,AVERAGE(AN223:AV223),"")</f>
        <v/>
      </c>
      <c r="BW223" s="56">
        <f>IF(COUNT(AW223:BD223)&gt;=7,AVERAGE(AW223:BD223),"")</f>
        <v/>
      </c>
      <c r="BX223" s="56">
        <f>IF(COUNT(BE223:BJ223)&gt;=5,AVERAGE(BE223:BJ223),"")</f>
        <v/>
      </c>
      <c r="BY223" s="56">
        <f>IF(COUNT(BK223:BR223)&gt;=7,AVERAGE(BK223:BR223),"")</f>
        <v/>
      </c>
    </row>
    <row r="224">
      <c r="A224" t="inlineStr">
        <is>
          <t>R193</t>
        </is>
      </c>
      <c r="B224" t="inlineStr">
        <is>
          <t>Yes</t>
        </is>
      </c>
      <c r="C224" t="inlineStr">
        <is>
          <t>Yes</t>
        </is>
      </c>
      <c r="D224" t="inlineStr">
        <is>
          <t>Female</t>
        </is>
      </c>
      <c r="E224" t="inlineStr">
        <is>
          <t>25-34</t>
        </is>
      </c>
      <c r="F224" t="inlineStr">
        <is>
          <t>Bachelor/HND</t>
        </is>
      </c>
      <c r="G224" t="inlineStr">
        <is>
          <t>Insurance/investment/other licensed financial institution</t>
        </is>
      </c>
      <c r="H224" t="inlineStr">
        <is>
          <t>Data/Analytics/AI</t>
        </is>
      </c>
      <c r="I224" t="inlineStr">
        <is>
          <t>Less than 2</t>
        </is>
      </c>
      <c r="J224" t="inlineStr">
        <is>
          <t>Yes</t>
        </is>
      </c>
      <c r="K224" t="n">
        <v>1</v>
      </c>
      <c r="L224" t="inlineStr">
        <is>
          <t>No</t>
        </is>
      </c>
      <c r="M224" t="inlineStr">
        <is>
          <t>Yes</t>
        </is>
      </c>
      <c r="N224" t="n">
        <v>4</v>
      </c>
      <c r="O224" t="n">
        <v>3</v>
      </c>
      <c r="P224" t="n">
        <v>4</v>
      </c>
      <c r="Q224" t="n">
        <v>3</v>
      </c>
      <c r="R224" t="n">
        <v>2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4</v>
      </c>
      <c r="Y224" t="n">
        <v>4</v>
      </c>
      <c r="Z224" t="n">
        <v>5</v>
      </c>
      <c r="AA224" t="n">
        <v>3</v>
      </c>
      <c r="AB224" t="n">
        <v>4</v>
      </c>
      <c r="AC224" t="n">
        <v>4</v>
      </c>
      <c r="AD224" t="n">
        <v>3</v>
      </c>
      <c r="AE224" t="n">
        <v>2</v>
      </c>
      <c r="AF224" t="n">
        <v>5</v>
      </c>
      <c r="AG224" t="n">
        <v>5</v>
      </c>
      <c r="AH224" t="n">
        <v>4</v>
      </c>
      <c r="AI224" t="n">
        <v>5</v>
      </c>
      <c r="AJ224" t="n">
        <v>5</v>
      </c>
      <c r="AK224" t="n">
        <v>5</v>
      </c>
      <c r="AL224" t="n">
        <v>4</v>
      </c>
      <c r="AM224" t="n">
        <v>4</v>
      </c>
      <c r="AN224" t="n">
        <v>3</v>
      </c>
      <c r="AO224" t="n">
        <v>1</v>
      </c>
      <c r="AP224" t="n">
        <v>3</v>
      </c>
      <c r="AQ224" t="n">
        <v>3</v>
      </c>
      <c r="AR224" t="n">
        <v>3</v>
      </c>
      <c r="AS224" t="n">
        <v>3</v>
      </c>
      <c r="AT224" t="n">
        <v>2</v>
      </c>
      <c r="AU224" t="n">
        <v>3</v>
      </c>
      <c r="AV224" t="n">
        <v>3</v>
      </c>
      <c r="AW224" t="n">
        <v>4</v>
      </c>
      <c r="AX224" t="n">
        <v>3</v>
      </c>
      <c r="AY224" t="n">
        <v>4</v>
      </c>
      <c r="AZ224" t="n">
        <v>3</v>
      </c>
      <c r="BA224" t="n">
        <v>5</v>
      </c>
      <c r="BB224" t="n">
        <v>4</v>
      </c>
      <c r="BC224" t="n">
        <v>3</v>
      </c>
      <c r="BD224" t="n">
        <v>4</v>
      </c>
      <c r="BE224" t="n">
        <v>4</v>
      </c>
      <c r="BF224" t="n">
        <v>3</v>
      </c>
      <c r="BG224" t="n">
        <v>5</v>
      </c>
      <c r="BH224" t="n">
        <v>5</v>
      </c>
      <c r="BI224" t="n">
        <v>4</v>
      </c>
      <c r="BJ224" t="n">
        <v>2</v>
      </c>
      <c r="BK224" t="n">
        <v>2</v>
      </c>
      <c r="BL224" t="n">
        <v>2</v>
      </c>
      <c r="BM224" t="n">
        <v>3</v>
      </c>
      <c r="BN224" t="n">
        <v>2</v>
      </c>
      <c r="BO224" t="n">
        <v>3</v>
      </c>
      <c r="BP224" t="n">
        <v>2</v>
      </c>
      <c r="BR224" t="n">
        <v>3</v>
      </c>
      <c r="BS224" s="56">
        <f>IF(COUNT(N224:W224)&gt;=8,AVERAGE(N224:W224),"")</f>
        <v/>
      </c>
      <c r="BT224" s="56">
        <f>IF(COUNT(X224:AE224)&gt;=7,AVERAGE(X224:AE224),"")</f>
        <v/>
      </c>
      <c r="BU224" s="56">
        <f>IF(COUNT(AF224:AM224)&gt;=7,AVERAGE(AF224:AM224),"")</f>
        <v/>
      </c>
      <c r="BV224" s="56">
        <f>IF(COUNT(AN224:AV224)&gt;=8,AVERAGE(AN224:AV224),"")</f>
        <v/>
      </c>
      <c r="BW224" s="56">
        <f>IF(COUNT(AW224:BD224)&gt;=7,AVERAGE(AW224:BD224),"")</f>
        <v/>
      </c>
      <c r="BX224" s="56">
        <f>IF(COUNT(BE224:BJ224)&gt;=5,AVERAGE(BE224:BJ224),"")</f>
        <v/>
      </c>
      <c r="BY224" s="56">
        <f>IF(COUNT(BK224:BR224)&gt;=7,AVERAGE(BK224:BR224),"")</f>
        <v/>
      </c>
    </row>
    <row r="225">
      <c r="A225" t="inlineStr">
        <is>
          <t>R194</t>
        </is>
      </c>
      <c r="B225" t="inlineStr">
        <is>
          <t>Yes</t>
        </is>
      </c>
      <c r="C225" t="inlineStr">
        <is>
          <t>Yes</t>
        </is>
      </c>
      <c r="D225" t="inlineStr">
        <is>
          <t>Female</t>
        </is>
      </c>
      <c r="E225" t="inlineStr">
        <is>
          <t>25-34</t>
        </is>
      </c>
      <c r="F225" t="inlineStr">
        <is>
          <t>Bachelor/HND</t>
        </is>
      </c>
      <c r="G225" t="inlineStr">
        <is>
          <t>Insurance/investment/other licensed financial institution</t>
        </is>
      </c>
      <c r="H225" t="inlineStr">
        <is>
          <t>Management/Strategy</t>
        </is>
      </c>
      <c r="I225" t="inlineStr">
        <is>
          <t>11-15</t>
        </is>
      </c>
      <c r="J225" t="inlineStr">
        <is>
          <t>Yes</t>
        </is>
      </c>
      <c r="K225" t="n">
        <v>2</v>
      </c>
      <c r="L225" t="inlineStr">
        <is>
          <t>Yes</t>
        </is>
      </c>
      <c r="M225" t="inlineStr">
        <is>
          <t>Yes</t>
        </is>
      </c>
      <c r="N225" t="n">
        <v>4</v>
      </c>
      <c r="O225" t="n">
        <v>3</v>
      </c>
      <c r="P225" t="n">
        <v>4</v>
      </c>
      <c r="Q225" t="n">
        <v>2</v>
      </c>
      <c r="R225" t="n">
        <v>3</v>
      </c>
      <c r="S225" t="n">
        <v>4</v>
      </c>
      <c r="T225" t="n">
        <v>3</v>
      </c>
      <c r="U225" t="n">
        <v>4</v>
      </c>
      <c r="V225" t="n">
        <v>3</v>
      </c>
      <c r="W225" t="n">
        <v>3</v>
      </c>
      <c r="X225" t="n">
        <v>4</v>
      </c>
      <c r="Y225" t="n">
        <v>2</v>
      </c>
      <c r="Z225" t="n">
        <v>5</v>
      </c>
      <c r="AA225" t="n">
        <v>3</v>
      </c>
      <c r="AB225" t="n">
        <v>3</v>
      </c>
      <c r="AC225" t="n">
        <v>4</v>
      </c>
      <c r="AD225" t="n">
        <v>3</v>
      </c>
      <c r="AE225" t="n">
        <v>3</v>
      </c>
      <c r="AF225" t="n">
        <v>3</v>
      </c>
      <c r="AG225" t="n">
        <v>4</v>
      </c>
      <c r="AH225" t="n">
        <v>2</v>
      </c>
      <c r="AI225" t="n">
        <v>4</v>
      </c>
      <c r="AJ225" t="n">
        <v>3</v>
      </c>
      <c r="AK225" t="n">
        <v>3</v>
      </c>
      <c r="AL225" t="n">
        <v>3</v>
      </c>
      <c r="AM225" t="n">
        <v>2</v>
      </c>
      <c r="AN225" t="n">
        <v>4</v>
      </c>
      <c r="AO225" t="n">
        <v>3</v>
      </c>
      <c r="AP225" t="n">
        <v>3</v>
      </c>
      <c r="AQ225" t="n">
        <v>2</v>
      </c>
      <c r="AR225" t="n">
        <v>3</v>
      </c>
      <c r="AS225" t="n">
        <v>2</v>
      </c>
      <c r="AT225" t="n">
        <v>3</v>
      </c>
      <c r="AU225" t="n">
        <v>2</v>
      </c>
      <c r="AV225" t="n">
        <v>3</v>
      </c>
      <c r="AW225" t="n">
        <v>3</v>
      </c>
      <c r="AX225" t="n">
        <v>2</v>
      </c>
      <c r="AY225" t="n">
        <v>3</v>
      </c>
      <c r="AZ225" t="n">
        <v>2</v>
      </c>
      <c r="BA225" t="n">
        <v>2</v>
      </c>
      <c r="BB225" t="n">
        <v>3</v>
      </c>
      <c r="BC225" t="n">
        <v>3</v>
      </c>
      <c r="BD225" t="n">
        <v>2</v>
      </c>
      <c r="BE225" t="n">
        <v>4</v>
      </c>
      <c r="BF225" t="n">
        <v>4</v>
      </c>
      <c r="BG225" t="n">
        <v>4</v>
      </c>
      <c r="BH225" t="n">
        <v>4</v>
      </c>
      <c r="BI225" t="n">
        <v>5</v>
      </c>
      <c r="BJ225" t="n">
        <v>4</v>
      </c>
      <c r="BK225" t="n">
        <v>2</v>
      </c>
      <c r="BL225" t="n">
        <v>2</v>
      </c>
      <c r="BM225" t="n">
        <v>3</v>
      </c>
      <c r="BN225" t="n">
        <v>2</v>
      </c>
      <c r="BO225" t="n">
        <v>1</v>
      </c>
      <c r="BP225" t="n">
        <v>1</v>
      </c>
      <c r="BQ225" t="n">
        <v>2</v>
      </c>
      <c r="BR225" t="n">
        <v>2</v>
      </c>
      <c r="BS225" s="56">
        <f>IF(COUNT(N225:W225)&gt;=8,AVERAGE(N225:W225),"")</f>
        <v/>
      </c>
      <c r="BT225" s="56">
        <f>IF(COUNT(X225:AE225)&gt;=7,AVERAGE(X225:AE225),"")</f>
        <v/>
      </c>
      <c r="BU225" s="56">
        <f>IF(COUNT(AF225:AM225)&gt;=7,AVERAGE(AF225:AM225),"")</f>
        <v/>
      </c>
      <c r="BV225" s="56">
        <f>IF(COUNT(AN225:AV225)&gt;=8,AVERAGE(AN225:AV225),"")</f>
        <v/>
      </c>
      <c r="BW225" s="56">
        <f>IF(COUNT(AW225:BD225)&gt;=7,AVERAGE(AW225:BD225),"")</f>
        <v/>
      </c>
      <c r="BX225" s="56">
        <f>IF(COUNT(BE225:BJ225)&gt;=5,AVERAGE(BE225:BJ225),"")</f>
        <v/>
      </c>
      <c r="BY225" s="56">
        <f>IF(COUNT(BK225:BR225)&gt;=7,AVERAGE(BK225:BR225),"")</f>
        <v/>
      </c>
    </row>
    <row r="226">
      <c r="A226" t="inlineStr">
        <is>
          <t>R195</t>
        </is>
      </c>
      <c r="B226" t="inlineStr">
        <is>
          <t>Yes</t>
        </is>
      </c>
      <c r="C226" t="inlineStr">
        <is>
          <t>Yes</t>
        </is>
      </c>
      <c r="D226" t="inlineStr">
        <is>
          <t>Male</t>
        </is>
      </c>
      <c r="E226" t="inlineStr">
        <is>
          <t>25-34</t>
        </is>
      </c>
      <c r="F226" t="inlineStr">
        <is>
          <t>Bachelor/HND</t>
        </is>
      </c>
      <c r="G226" t="inlineStr">
        <is>
          <t>Commercial bank</t>
        </is>
      </c>
      <c r="H226" t="inlineStr">
        <is>
          <t>Relationship/Marketing</t>
        </is>
      </c>
      <c r="I226" t="inlineStr">
        <is>
          <t>11-15</t>
        </is>
      </c>
      <c r="J226" t="inlineStr">
        <is>
          <t>Yes</t>
        </is>
      </c>
      <c r="K226" t="n">
        <v>4</v>
      </c>
      <c r="L226" t="inlineStr">
        <is>
          <t>No</t>
        </is>
      </c>
      <c r="M226" t="inlineStr">
        <is>
          <t>Yes</t>
        </is>
      </c>
      <c r="N226" t="n">
        <v>3</v>
      </c>
      <c r="O226" t="n">
        <v>2</v>
      </c>
      <c r="P226" t="n">
        <v>3</v>
      </c>
      <c r="Q226" t="n">
        <v>1</v>
      </c>
      <c r="R226" t="n">
        <v>3</v>
      </c>
      <c r="S226" t="n">
        <v>2</v>
      </c>
      <c r="T226" t="n">
        <v>2</v>
      </c>
      <c r="U226" t="n">
        <v>4</v>
      </c>
      <c r="V226" t="n">
        <v>3</v>
      </c>
      <c r="W226" t="n">
        <v>1</v>
      </c>
      <c r="X226" t="n">
        <v>3</v>
      </c>
      <c r="Y226" t="n">
        <v>2</v>
      </c>
      <c r="Z226" t="n">
        <v>2</v>
      </c>
      <c r="AA226" t="n">
        <v>2</v>
      </c>
      <c r="AB226" t="n">
        <v>3</v>
      </c>
      <c r="AC226" t="n">
        <v>2</v>
      </c>
      <c r="AD226" t="n">
        <v>3</v>
      </c>
      <c r="AE226" t="n">
        <v>3</v>
      </c>
      <c r="AF226" t="n">
        <v>3</v>
      </c>
      <c r="AG226" t="n">
        <v>4</v>
      </c>
      <c r="AH226" t="n">
        <v>2</v>
      </c>
      <c r="AI226" t="n">
        <v>3</v>
      </c>
      <c r="AJ226" t="n">
        <v>3</v>
      </c>
      <c r="AK226" t="n">
        <v>3</v>
      </c>
      <c r="AL226" t="n">
        <v>3</v>
      </c>
      <c r="AN226" t="n">
        <v>3</v>
      </c>
      <c r="AP226" t="n">
        <v>2</v>
      </c>
      <c r="AQ226" t="n">
        <v>3</v>
      </c>
      <c r="AR226" t="n">
        <v>4</v>
      </c>
      <c r="AS226" t="n">
        <v>2</v>
      </c>
      <c r="AT226" t="n">
        <v>4</v>
      </c>
      <c r="AU226" t="n">
        <v>3</v>
      </c>
      <c r="AV226" t="n">
        <v>4</v>
      </c>
      <c r="AW226" t="n">
        <v>3</v>
      </c>
      <c r="AX226" t="n">
        <v>2</v>
      </c>
      <c r="AY226" t="n">
        <v>3</v>
      </c>
      <c r="AZ226" t="n">
        <v>2</v>
      </c>
      <c r="BA226" t="n">
        <v>4</v>
      </c>
      <c r="BB226" t="n">
        <v>3</v>
      </c>
      <c r="BC226" t="n">
        <v>3</v>
      </c>
      <c r="BD226" t="n">
        <v>3</v>
      </c>
      <c r="BE226" t="n">
        <v>3</v>
      </c>
      <c r="BF226" t="n">
        <v>4</v>
      </c>
      <c r="BG226" t="n">
        <v>4</v>
      </c>
      <c r="BH226" t="n">
        <v>4</v>
      </c>
      <c r="BI226" t="n">
        <v>3</v>
      </c>
      <c r="BJ226" t="n">
        <v>5</v>
      </c>
      <c r="BK226" t="n">
        <v>4</v>
      </c>
      <c r="BL226" t="n">
        <v>3</v>
      </c>
      <c r="BM226" t="n">
        <v>5</v>
      </c>
      <c r="BN226" t="n">
        <v>4</v>
      </c>
      <c r="BO226" t="n">
        <v>4</v>
      </c>
      <c r="BP226" t="n">
        <v>5</v>
      </c>
      <c r="BQ226" t="n">
        <v>5</v>
      </c>
      <c r="BR226" t="n">
        <v>4</v>
      </c>
      <c r="BS226" s="56">
        <f>IF(COUNT(N226:W226)&gt;=8,AVERAGE(N226:W226),"")</f>
        <v/>
      </c>
      <c r="BT226" s="56">
        <f>IF(COUNT(X226:AE226)&gt;=7,AVERAGE(X226:AE226),"")</f>
        <v/>
      </c>
      <c r="BU226" s="56">
        <f>IF(COUNT(AF226:AM226)&gt;=7,AVERAGE(AF226:AM226),"")</f>
        <v/>
      </c>
      <c r="BV226" s="56">
        <f>IF(COUNT(AN226:AV226)&gt;=8,AVERAGE(AN226:AV226),"")</f>
        <v/>
      </c>
      <c r="BW226" s="56">
        <f>IF(COUNT(AW226:BD226)&gt;=7,AVERAGE(AW226:BD226),"")</f>
        <v/>
      </c>
      <c r="BX226" s="56">
        <f>IF(COUNT(BE226:BJ226)&gt;=5,AVERAGE(BE226:BJ226),"")</f>
        <v/>
      </c>
      <c r="BY226" s="56">
        <f>IF(COUNT(BK226:BR226)&gt;=7,AVERAGE(BK226:BR226),"")</f>
        <v/>
      </c>
    </row>
    <row r="227">
      <c r="A227" t="inlineStr">
        <is>
          <t>R196</t>
        </is>
      </c>
      <c r="B227" t="inlineStr">
        <is>
          <t>Yes</t>
        </is>
      </c>
      <c r="C227" t="inlineStr">
        <is>
          <t>Yes</t>
        </is>
      </c>
      <c r="D227" t="inlineStr">
        <is>
          <t>Male</t>
        </is>
      </c>
      <c r="E227" t="inlineStr">
        <is>
          <t>35-44</t>
        </is>
      </c>
      <c r="F227" t="inlineStr">
        <is>
          <t>Bachelor/HND</t>
        </is>
      </c>
      <c r="G227" t="inlineStr">
        <is>
          <t>Commercial bank</t>
        </is>
      </c>
      <c r="H227" t="inlineStr">
        <is>
          <t>IT/Technology</t>
        </is>
      </c>
      <c r="I227" t="inlineStr">
        <is>
          <t>16 or more</t>
        </is>
      </c>
      <c r="J227" t="inlineStr">
        <is>
          <t>Yes</t>
        </is>
      </c>
      <c r="K227" t="n">
        <v>2</v>
      </c>
      <c r="L227" t="inlineStr">
        <is>
          <t>Yes</t>
        </is>
      </c>
      <c r="M227" t="inlineStr">
        <is>
          <t>Yes</t>
        </is>
      </c>
      <c r="N227" t="n">
        <v>3</v>
      </c>
      <c r="O227" t="n">
        <v>3</v>
      </c>
      <c r="P227" t="n">
        <v>3</v>
      </c>
      <c r="Q227" t="n">
        <v>3</v>
      </c>
      <c r="R227" t="n">
        <v>4</v>
      </c>
      <c r="S227" t="n">
        <v>3</v>
      </c>
      <c r="T227" t="n">
        <v>3</v>
      </c>
      <c r="U227" t="n">
        <v>4</v>
      </c>
      <c r="V227" t="n">
        <v>4</v>
      </c>
      <c r="W227" t="n">
        <v>3</v>
      </c>
      <c r="X227" t="n">
        <v>5</v>
      </c>
      <c r="Y227" t="n">
        <v>4</v>
      </c>
      <c r="Z227" t="n">
        <v>4</v>
      </c>
      <c r="AA227" t="n">
        <v>4</v>
      </c>
      <c r="AB227" t="n">
        <v>3</v>
      </c>
      <c r="AC227" t="n">
        <v>3</v>
      </c>
      <c r="AD227" t="n">
        <v>4</v>
      </c>
      <c r="AE227" t="n">
        <v>3</v>
      </c>
      <c r="AF227" t="n">
        <v>4</v>
      </c>
      <c r="AG227" t="n">
        <v>5</v>
      </c>
      <c r="AH227" t="n">
        <v>3</v>
      </c>
      <c r="AI227" t="n">
        <v>5</v>
      </c>
      <c r="AJ227" t="n">
        <v>5</v>
      </c>
      <c r="AK227" t="n">
        <v>5</v>
      </c>
      <c r="AL227" t="n">
        <v>4</v>
      </c>
      <c r="AM227" t="n">
        <v>5</v>
      </c>
      <c r="AN227" t="n">
        <v>4</v>
      </c>
      <c r="AO227" t="n">
        <v>4</v>
      </c>
      <c r="AP227" t="n">
        <v>3</v>
      </c>
      <c r="AQ227" t="n">
        <v>2</v>
      </c>
      <c r="AR227" t="n">
        <v>5</v>
      </c>
      <c r="AS227" t="n">
        <v>2</v>
      </c>
      <c r="AT227" t="n">
        <v>3</v>
      </c>
      <c r="AU227" t="n">
        <v>3</v>
      </c>
      <c r="AV227" t="n">
        <v>3</v>
      </c>
      <c r="AW227" t="n">
        <v>4</v>
      </c>
      <c r="AX227" t="n">
        <v>3</v>
      </c>
      <c r="AY227" t="n">
        <v>3</v>
      </c>
      <c r="AZ227" t="n">
        <v>4</v>
      </c>
      <c r="BA227" t="n">
        <v>4</v>
      </c>
      <c r="BB227" t="n">
        <v>4</v>
      </c>
      <c r="BC227" t="n">
        <v>4</v>
      </c>
      <c r="BD227" t="n">
        <v>3</v>
      </c>
      <c r="BE227" t="n">
        <v>2</v>
      </c>
      <c r="BF227" t="n">
        <v>4</v>
      </c>
      <c r="BG227" t="n">
        <v>1</v>
      </c>
      <c r="BH227" t="n">
        <v>3</v>
      </c>
      <c r="BI227" t="n">
        <v>2</v>
      </c>
      <c r="BJ227" t="n">
        <v>2</v>
      </c>
      <c r="BK227" t="n">
        <v>5</v>
      </c>
      <c r="BL227" t="n">
        <v>3</v>
      </c>
      <c r="BM227" t="n">
        <v>4</v>
      </c>
      <c r="BN227" t="n">
        <v>2</v>
      </c>
      <c r="BO227" t="n">
        <v>4</v>
      </c>
      <c r="BP227" t="n">
        <v>3</v>
      </c>
      <c r="BQ227" t="n">
        <v>3</v>
      </c>
      <c r="BR227" t="n">
        <v>3</v>
      </c>
      <c r="BS227" s="56">
        <f>IF(COUNT(N227:W227)&gt;=8,AVERAGE(N227:W227),"")</f>
        <v/>
      </c>
      <c r="BT227" s="56">
        <f>IF(COUNT(X227:AE227)&gt;=7,AVERAGE(X227:AE227),"")</f>
        <v/>
      </c>
      <c r="BU227" s="56">
        <f>IF(COUNT(AF227:AM227)&gt;=7,AVERAGE(AF227:AM227),"")</f>
        <v/>
      </c>
      <c r="BV227" s="56">
        <f>IF(COUNT(AN227:AV227)&gt;=8,AVERAGE(AN227:AV227),"")</f>
        <v/>
      </c>
      <c r="BW227" s="56">
        <f>IF(COUNT(AW227:BD227)&gt;=7,AVERAGE(AW227:BD227),"")</f>
        <v/>
      </c>
      <c r="BX227" s="56">
        <f>IF(COUNT(BE227:BJ227)&gt;=5,AVERAGE(BE227:BJ227),"")</f>
        <v/>
      </c>
      <c r="BY227" s="56">
        <f>IF(COUNT(BK227:BR227)&gt;=7,AVERAGE(BK227:BR227),"")</f>
        <v/>
      </c>
    </row>
    <row r="228">
      <c r="A228" t="inlineStr">
        <is>
          <t>R197</t>
        </is>
      </c>
      <c r="B228" t="inlineStr">
        <is>
          <t>Yes</t>
        </is>
      </c>
      <c r="C228" t="inlineStr">
        <is>
          <t>Yes</t>
        </is>
      </c>
      <c r="D228" t="inlineStr">
        <is>
          <t>Female</t>
        </is>
      </c>
      <c r="E228" t="inlineStr">
        <is>
          <t>18-24</t>
        </is>
      </c>
      <c r="F228" t="inlineStr">
        <is>
          <t>Postgraduate Diploma</t>
        </is>
      </c>
      <c r="G228" t="inlineStr">
        <is>
          <t>Commercial bank</t>
        </is>
      </c>
      <c r="H228" t="inlineStr">
        <is>
          <t>Data/Analytics/AI</t>
        </is>
      </c>
      <c r="I228" t="inlineStr">
        <is>
          <t>16 or more</t>
        </is>
      </c>
      <c r="J228" t="inlineStr">
        <is>
          <t>Yes</t>
        </is>
      </c>
      <c r="K228" t="n">
        <v>2</v>
      </c>
      <c r="L228" t="inlineStr">
        <is>
          <t>Do not know</t>
        </is>
      </c>
      <c r="M228" t="inlineStr">
        <is>
          <t>Yes</t>
        </is>
      </c>
      <c r="N228" t="n">
        <v>4</v>
      </c>
      <c r="O228" t="n">
        <v>3</v>
      </c>
      <c r="P228" t="n">
        <v>4</v>
      </c>
      <c r="Q228" t="n">
        <v>3</v>
      </c>
      <c r="R228" t="n">
        <v>2</v>
      </c>
      <c r="S228" t="n">
        <v>3</v>
      </c>
      <c r="T228" t="n">
        <v>3</v>
      </c>
      <c r="U228" t="n">
        <v>3</v>
      </c>
      <c r="V228" t="n">
        <v>4</v>
      </c>
      <c r="W228" t="n">
        <v>3</v>
      </c>
      <c r="X228" t="n">
        <v>4</v>
      </c>
      <c r="Y228" t="n">
        <v>3</v>
      </c>
      <c r="Z228" t="n">
        <v>3</v>
      </c>
      <c r="AA228" t="n">
        <v>3</v>
      </c>
      <c r="AB228" t="n">
        <v>3</v>
      </c>
      <c r="AC228" t="n">
        <v>4</v>
      </c>
      <c r="AD228" t="n">
        <v>4</v>
      </c>
      <c r="AE228" t="n">
        <v>4</v>
      </c>
      <c r="AF228" t="n">
        <v>4</v>
      </c>
      <c r="AG228" t="n">
        <v>3</v>
      </c>
      <c r="AH228" t="n">
        <v>4</v>
      </c>
      <c r="AI228" t="n">
        <v>4</v>
      </c>
      <c r="AJ228" t="n">
        <v>3</v>
      </c>
      <c r="AK228" t="n">
        <v>4</v>
      </c>
      <c r="AL228" t="n">
        <v>4</v>
      </c>
      <c r="AM228" t="n">
        <v>3</v>
      </c>
      <c r="AN228" t="n">
        <v>4</v>
      </c>
      <c r="AO228" t="n">
        <v>3</v>
      </c>
      <c r="AP228" t="n">
        <v>4</v>
      </c>
      <c r="AQ228" t="n">
        <v>3</v>
      </c>
      <c r="AR228" t="n">
        <v>4</v>
      </c>
      <c r="AS228" t="n">
        <v>3</v>
      </c>
      <c r="AT228" t="n">
        <v>4</v>
      </c>
      <c r="AU228" t="n">
        <v>3</v>
      </c>
      <c r="AV228" t="n">
        <v>4</v>
      </c>
      <c r="AW228" t="n">
        <v>3</v>
      </c>
      <c r="AX228" t="n">
        <v>3</v>
      </c>
      <c r="AY228" t="n">
        <v>4</v>
      </c>
      <c r="AZ228" t="n">
        <v>4</v>
      </c>
      <c r="BA228" t="n">
        <v>4</v>
      </c>
      <c r="BB228" t="n">
        <v>4</v>
      </c>
      <c r="BC228" t="n">
        <v>4</v>
      </c>
      <c r="BD228" t="n">
        <v>3</v>
      </c>
      <c r="BE228" t="n">
        <v>3</v>
      </c>
      <c r="BF228" t="n">
        <v>4</v>
      </c>
      <c r="BG228" t="n">
        <v>3</v>
      </c>
      <c r="BH228" t="n">
        <v>3</v>
      </c>
      <c r="BI228" t="n">
        <v>3</v>
      </c>
      <c r="BJ228" t="n">
        <v>3</v>
      </c>
      <c r="BK228" t="n">
        <v>3</v>
      </c>
      <c r="BL228" t="n">
        <v>2</v>
      </c>
      <c r="BM228" t="n">
        <v>4</v>
      </c>
      <c r="BN228" t="n">
        <v>2</v>
      </c>
      <c r="BO228" t="n">
        <v>3</v>
      </c>
      <c r="BP228" t="n">
        <v>3</v>
      </c>
      <c r="BQ228" t="n">
        <v>3</v>
      </c>
      <c r="BR228" t="n">
        <v>3</v>
      </c>
      <c r="BS228" s="56">
        <f>IF(COUNT(N228:W228)&gt;=8,AVERAGE(N228:W228),"")</f>
        <v/>
      </c>
      <c r="BT228" s="56">
        <f>IF(COUNT(X228:AE228)&gt;=7,AVERAGE(X228:AE228),"")</f>
        <v/>
      </c>
      <c r="BU228" s="56">
        <f>IF(COUNT(AF228:AM228)&gt;=7,AVERAGE(AF228:AM228),"")</f>
        <v/>
      </c>
      <c r="BV228" s="56">
        <f>IF(COUNT(AN228:AV228)&gt;=8,AVERAGE(AN228:AV228),"")</f>
        <v/>
      </c>
      <c r="BW228" s="56">
        <f>IF(COUNT(AW228:BD228)&gt;=7,AVERAGE(AW228:BD228),"")</f>
        <v/>
      </c>
      <c r="BX228" s="56">
        <f>IF(COUNT(BE228:BJ228)&gt;=5,AVERAGE(BE228:BJ228),"")</f>
        <v/>
      </c>
      <c r="BY228" s="56">
        <f>IF(COUNT(BK228:BR228)&gt;=7,AVERAGE(BK228:BR228),"")</f>
        <v/>
      </c>
    </row>
    <row r="229">
      <c r="A229" t="inlineStr">
        <is>
          <t>R198</t>
        </is>
      </c>
      <c r="B229" t="inlineStr">
        <is>
          <t>Yes</t>
        </is>
      </c>
      <c r="C229" t="inlineStr">
        <is>
          <t>Yes</t>
        </is>
      </c>
      <c r="D229" t="inlineStr">
        <is>
          <t>Male</t>
        </is>
      </c>
      <c r="E229" t="inlineStr">
        <is>
          <t>35-44</t>
        </is>
      </c>
      <c r="F229" t="inlineStr">
        <is>
          <t>Bachelor/HND</t>
        </is>
      </c>
      <c r="G229" t="inlineStr">
        <is>
          <t>Insurance/investment/other licensed financial institution</t>
        </is>
      </c>
      <c r="H229" t="inlineStr">
        <is>
          <t>Customer Experience/Service</t>
        </is>
      </c>
      <c r="I229" t="inlineStr">
        <is>
          <t>11-15</t>
        </is>
      </c>
      <c r="J229" t="inlineStr">
        <is>
          <t>Yes</t>
        </is>
      </c>
      <c r="K229" t="n">
        <v>1</v>
      </c>
      <c r="L229" t="inlineStr">
        <is>
          <t>No</t>
        </is>
      </c>
      <c r="M229" t="inlineStr">
        <is>
          <t>Yes</t>
        </is>
      </c>
      <c r="N229" t="n">
        <v>2</v>
      </c>
      <c r="O229" t="n">
        <v>1</v>
      </c>
      <c r="P229" t="n">
        <v>3</v>
      </c>
      <c r="Q229" t="n">
        <v>1</v>
      </c>
      <c r="R229" t="n">
        <v>2</v>
      </c>
      <c r="S229" t="n">
        <v>2</v>
      </c>
      <c r="T229" t="n">
        <v>2</v>
      </c>
      <c r="U229" t="n">
        <v>3</v>
      </c>
      <c r="V229" t="n">
        <v>2</v>
      </c>
      <c r="W229" t="n">
        <v>2</v>
      </c>
      <c r="X229" t="n">
        <v>3</v>
      </c>
      <c r="Y229" t="n">
        <v>4</v>
      </c>
      <c r="Z229" t="n">
        <v>3</v>
      </c>
      <c r="AA229" t="n">
        <v>2</v>
      </c>
      <c r="AB229" t="n">
        <v>4</v>
      </c>
      <c r="AD229" t="n">
        <v>5</v>
      </c>
      <c r="AE229" t="n">
        <v>4</v>
      </c>
      <c r="AF229" t="n">
        <v>2</v>
      </c>
      <c r="AG229" t="n">
        <v>2</v>
      </c>
      <c r="AH229" t="n">
        <v>3</v>
      </c>
      <c r="AI229" t="n">
        <v>4</v>
      </c>
      <c r="AJ229" t="n">
        <v>2</v>
      </c>
      <c r="AK229" t="n">
        <v>4</v>
      </c>
      <c r="AL229" t="n">
        <v>3</v>
      </c>
      <c r="AM229" t="n">
        <v>2</v>
      </c>
      <c r="AN229" t="n">
        <v>4</v>
      </c>
      <c r="AO229" t="n">
        <v>4</v>
      </c>
      <c r="AP229" t="n">
        <v>2</v>
      </c>
      <c r="AQ229" t="n">
        <v>2</v>
      </c>
      <c r="AR229" t="n">
        <v>3</v>
      </c>
      <c r="AS229" t="n">
        <v>3</v>
      </c>
      <c r="AT229" t="n">
        <v>2</v>
      </c>
      <c r="AU229" t="n">
        <v>4</v>
      </c>
      <c r="AV229" t="n">
        <v>3</v>
      </c>
      <c r="AW229" t="n">
        <v>4</v>
      </c>
      <c r="AX229" t="n">
        <v>3</v>
      </c>
      <c r="AZ229" t="n">
        <v>4</v>
      </c>
      <c r="BA229" t="n">
        <v>2</v>
      </c>
      <c r="BB229" t="n">
        <v>2</v>
      </c>
      <c r="BC229" t="n">
        <v>3</v>
      </c>
      <c r="BD229" t="n">
        <v>2</v>
      </c>
      <c r="BE229" t="n">
        <v>3</v>
      </c>
      <c r="BF229" t="n">
        <v>3</v>
      </c>
      <c r="BG229" t="n">
        <v>2</v>
      </c>
      <c r="BH229" t="n">
        <v>3</v>
      </c>
      <c r="BI229" t="n">
        <v>2</v>
      </c>
      <c r="BJ229" t="n">
        <v>2</v>
      </c>
      <c r="BK229" t="n">
        <v>3</v>
      </c>
      <c r="BM229" t="n">
        <v>4</v>
      </c>
      <c r="BN229" t="n">
        <v>2</v>
      </c>
      <c r="BO229" t="n">
        <v>3</v>
      </c>
      <c r="BP229" t="n">
        <v>3</v>
      </c>
      <c r="BQ229" t="n">
        <v>3</v>
      </c>
      <c r="BR229" t="n">
        <v>2</v>
      </c>
      <c r="BS229" s="56">
        <f>IF(COUNT(N229:W229)&gt;=8,AVERAGE(N229:W229),"")</f>
        <v/>
      </c>
      <c r="BT229" s="56">
        <f>IF(COUNT(X229:AE229)&gt;=7,AVERAGE(X229:AE229),"")</f>
        <v/>
      </c>
      <c r="BU229" s="56">
        <f>IF(COUNT(AF229:AM229)&gt;=7,AVERAGE(AF229:AM229),"")</f>
        <v/>
      </c>
      <c r="BV229" s="56">
        <f>IF(COUNT(AN229:AV229)&gt;=8,AVERAGE(AN229:AV229),"")</f>
        <v/>
      </c>
      <c r="BW229" s="56">
        <f>IF(COUNT(AW229:BD229)&gt;=7,AVERAGE(AW229:BD229),"")</f>
        <v/>
      </c>
      <c r="BX229" s="56">
        <f>IF(COUNT(BE229:BJ229)&gt;=5,AVERAGE(BE229:BJ229),"")</f>
        <v/>
      </c>
      <c r="BY229" s="56">
        <f>IF(COUNT(BK229:BR229)&gt;=7,AVERAGE(BK229:BR229),"")</f>
        <v/>
      </c>
    </row>
    <row r="230">
      <c r="A230" t="inlineStr">
        <is>
          <t>R199</t>
        </is>
      </c>
      <c r="B230" t="inlineStr">
        <is>
          <t>Yes</t>
        </is>
      </c>
      <c r="C230" t="inlineStr">
        <is>
          <t>Yes</t>
        </is>
      </c>
      <c r="D230" t="inlineStr">
        <is>
          <t>Female</t>
        </is>
      </c>
      <c r="E230" t="inlineStr">
        <is>
          <t>45-54</t>
        </is>
      </c>
      <c r="F230" t="inlineStr">
        <is>
          <t>Master's</t>
        </is>
      </c>
      <c r="G230" t="inlineStr">
        <is>
          <t>Fintech/payment provider</t>
        </is>
      </c>
      <c r="H230" t="inlineStr">
        <is>
          <t>Data/Analytics/AI</t>
        </is>
      </c>
      <c r="I230" t="inlineStr">
        <is>
          <t>2-5</t>
        </is>
      </c>
      <c r="J230" t="inlineStr">
        <is>
          <t>Yes</t>
        </is>
      </c>
      <c r="K230" t="n">
        <v>2</v>
      </c>
      <c r="L230" t="inlineStr">
        <is>
          <t>Yes</t>
        </is>
      </c>
      <c r="M230" t="inlineStr">
        <is>
          <t>Yes</t>
        </is>
      </c>
      <c r="N230" t="n">
        <v>4</v>
      </c>
      <c r="O230" t="n">
        <v>5</v>
      </c>
      <c r="Q230" t="n">
        <v>4</v>
      </c>
      <c r="R230" t="n">
        <v>4</v>
      </c>
      <c r="S230" t="n">
        <v>4</v>
      </c>
      <c r="T230" t="n">
        <v>4</v>
      </c>
      <c r="U230" t="n">
        <v>5</v>
      </c>
      <c r="V230" t="n">
        <v>5</v>
      </c>
      <c r="W230" t="n">
        <v>3</v>
      </c>
      <c r="X230" t="n">
        <v>3</v>
      </c>
      <c r="Y230" t="n">
        <v>2</v>
      </c>
      <c r="Z230" t="n">
        <v>3</v>
      </c>
      <c r="AA230" t="n">
        <v>3</v>
      </c>
      <c r="AB230" t="n">
        <v>3</v>
      </c>
      <c r="AC230" t="n">
        <v>2</v>
      </c>
      <c r="AD230" t="n">
        <v>3</v>
      </c>
      <c r="AE230" t="n">
        <v>2</v>
      </c>
      <c r="AF230" t="n">
        <v>1</v>
      </c>
      <c r="AG230" t="n">
        <v>4</v>
      </c>
      <c r="AH230" t="n">
        <v>2</v>
      </c>
      <c r="AI230" t="n">
        <v>3</v>
      </c>
      <c r="AJ230" t="n">
        <v>3</v>
      </c>
      <c r="AK230" t="n">
        <v>2</v>
      </c>
      <c r="AL230" t="n">
        <v>2</v>
      </c>
      <c r="AM230" t="n">
        <v>3</v>
      </c>
      <c r="AN230" t="n">
        <v>2</v>
      </c>
      <c r="AO230" t="n">
        <v>2</v>
      </c>
      <c r="AP230" t="n">
        <v>1</v>
      </c>
      <c r="AQ230" t="n">
        <v>2</v>
      </c>
      <c r="AR230" t="n">
        <v>2</v>
      </c>
      <c r="AS230" t="n">
        <v>2</v>
      </c>
      <c r="AT230" t="n">
        <v>3</v>
      </c>
      <c r="AU230" t="n">
        <v>2</v>
      </c>
      <c r="AV230" t="n">
        <v>3</v>
      </c>
      <c r="AW230" t="n">
        <v>3</v>
      </c>
      <c r="AX230" t="n">
        <v>3</v>
      </c>
      <c r="AY230" t="n">
        <v>3</v>
      </c>
      <c r="AZ230" t="n">
        <v>4</v>
      </c>
      <c r="BA230" t="n">
        <v>4</v>
      </c>
      <c r="BB230" t="n">
        <v>3</v>
      </c>
      <c r="BC230" t="n">
        <v>4</v>
      </c>
      <c r="BE230" t="n">
        <v>2</v>
      </c>
      <c r="BF230" t="n">
        <v>3</v>
      </c>
      <c r="BG230" t="n">
        <v>1</v>
      </c>
      <c r="BH230" t="n">
        <v>2</v>
      </c>
      <c r="BI230" t="n">
        <v>4</v>
      </c>
      <c r="BJ230" t="n">
        <v>2</v>
      </c>
      <c r="BK230" t="n">
        <v>3</v>
      </c>
      <c r="BL230" t="n">
        <v>3</v>
      </c>
      <c r="BM230" t="n">
        <v>3</v>
      </c>
      <c r="BN230" t="n">
        <v>4</v>
      </c>
      <c r="BO230" t="n">
        <v>4</v>
      </c>
      <c r="BP230" t="n">
        <v>4</v>
      </c>
      <c r="BQ230" t="n">
        <v>4</v>
      </c>
      <c r="BR230" t="n">
        <v>4</v>
      </c>
      <c r="BS230" s="56">
        <f>IF(COUNT(N230:W230)&gt;=8,AVERAGE(N230:W230),"")</f>
        <v/>
      </c>
      <c r="BT230" s="56">
        <f>IF(COUNT(X230:AE230)&gt;=7,AVERAGE(X230:AE230),"")</f>
        <v/>
      </c>
      <c r="BU230" s="56">
        <f>IF(COUNT(AF230:AM230)&gt;=7,AVERAGE(AF230:AM230),"")</f>
        <v/>
      </c>
      <c r="BV230" s="56">
        <f>IF(COUNT(AN230:AV230)&gt;=8,AVERAGE(AN230:AV230),"")</f>
        <v/>
      </c>
      <c r="BW230" s="56">
        <f>IF(COUNT(AW230:BD230)&gt;=7,AVERAGE(AW230:BD230),"")</f>
        <v/>
      </c>
      <c r="BX230" s="56">
        <f>IF(COUNT(BE230:BJ230)&gt;=5,AVERAGE(BE230:BJ230),"")</f>
        <v/>
      </c>
      <c r="BY230" s="56">
        <f>IF(COUNT(BK230:BR230)&gt;=7,AVERAGE(BK230:BR230),"")</f>
        <v/>
      </c>
    </row>
    <row r="231">
      <c r="A231" t="inlineStr">
        <is>
          <t>R200</t>
        </is>
      </c>
      <c r="B231" t="inlineStr">
        <is>
          <t>Yes</t>
        </is>
      </c>
      <c r="C231" t="inlineStr">
        <is>
          <t>Yes</t>
        </is>
      </c>
      <c r="D231" t="inlineStr">
        <is>
          <t>Male</t>
        </is>
      </c>
      <c r="E231" t="inlineStr">
        <is>
          <t>25-34</t>
        </is>
      </c>
      <c r="F231" t="inlineStr">
        <is>
          <t>Diploma/OND/NCE</t>
        </is>
      </c>
      <c r="G231" t="inlineStr">
        <is>
          <t>Commercial bank</t>
        </is>
      </c>
      <c r="H231" t="inlineStr">
        <is>
          <t>IT/Technology</t>
        </is>
      </c>
      <c r="I231" t="inlineStr">
        <is>
          <t>2-5</t>
        </is>
      </c>
      <c r="J231" t="inlineStr">
        <is>
          <t>Yes</t>
        </is>
      </c>
      <c r="K231" t="n">
        <v>1</v>
      </c>
      <c r="L231" t="inlineStr">
        <is>
          <t>Do not know</t>
        </is>
      </c>
      <c r="M231" t="inlineStr">
        <is>
          <t>Yes</t>
        </is>
      </c>
      <c r="N231" t="n">
        <v>4</v>
      </c>
      <c r="O231" t="n">
        <v>3</v>
      </c>
      <c r="P231" t="n">
        <v>4</v>
      </c>
      <c r="Q231" t="n">
        <v>1</v>
      </c>
      <c r="R231" t="n">
        <v>1</v>
      </c>
      <c r="S231" t="n">
        <v>3</v>
      </c>
      <c r="T231" t="n">
        <v>1</v>
      </c>
      <c r="U231" t="n">
        <v>3</v>
      </c>
      <c r="V231" t="n">
        <v>3</v>
      </c>
      <c r="W231" t="n">
        <v>3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  <c r="AD231" t="n">
        <v>2</v>
      </c>
      <c r="AE231" t="n">
        <v>1</v>
      </c>
      <c r="AF231" t="n">
        <v>2</v>
      </c>
      <c r="AG231" t="n">
        <v>2</v>
      </c>
      <c r="AH231" t="n">
        <v>1</v>
      </c>
      <c r="AI231" t="n">
        <v>2</v>
      </c>
      <c r="AJ231" t="n">
        <v>2</v>
      </c>
      <c r="AK231" t="n">
        <v>2</v>
      </c>
      <c r="AL231" t="n">
        <v>2</v>
      </c>
      <c r="AM231" t="n">
        <v>2</v>
      </c>
      <c r="AN231" t="n">
        <v>3</v>
      </c>
      <c r="AO231" t="n">
        <v>3</v>
      </c>
      <c r="AP231" t="n">
        <v>3</v>
      </c>
      <c r="AQ231" t="n">
        <v>2</v>
      </c>
      <c r="AS231" t="n">
        <v>3</v>
      </c>
      <c r="AT231" t="n">
        <v>4</v>
      </c>
      <c r="AU231" t="n">
        <v>2</v>
      </c>
      <c r="AV231" t="n">
        <v>3</v>
      </c>
      <c r="AW231" t="n">
        <v>3</v>
      </c>
      <c r="AX231" t="n">
        <v>2</v>
      </c>
      <c r="AY231" t="n">
        <v>2</v>
      </c>
      <c r="AZ231" t="n">
        <v>2</v>
      </c>
      <c r="BA231" t="n">
        <v>3</v>
      </c>
      <c r="BB231" t="n">
        <v>3</v>
      </c>
      <c r="BC231" t="n">
        <v>2</v>
      </c>
      <c r="BD231" t="n">
        <v>3</v>
      </c>
      <c r="BF231" t="n">
        <v>4</v>
      </c>
      <c r="BG231" t="n">
        <v>4</v>
      </c>
      <c r="BH231" t="n">
        <v>4</v>
      </c>
      <c r="BI231" t="n">
        <v>4</v>
      </c>
      <c r="BJ231" t="n">
        <v>3</v>
      </c>
      <c r="BK231" t="n">
        <v>3</v>
      </c>
      <c r="BL231" t="n">
        <v>2</v>
      </c>
      <c r="BM231" t="n">
        <v>2</v>
      </c>
      <c r="BN231" t="n">
        <v>2</v>
      </c>
      <c r="BO231" t="n">
        <v>3</v>
      </c>
      <c r="BP231" t="n">
        <v>3</v>
      </c>
      <c r="BQ231" t="n">
        <v>3</v>
      </c>
      <c r="BR231" t="n">
        <v>3</v>
      </c>
      <c r="BS231" s="56">
        <f>IF(COUNT(N231:W231)&gt;=8,AVERAGE(N231:W231),"")</f>
        <v/>
      </c>
      <c r="BT231" s="56">
        <f>IF(COUNT(X231:AE231)&gt;=7,AVERAGE(X231:AE231),"")</f>
        <v/>
      </c>
      <c r="BU231" s="56">
        <f>IF(COUNT(AF231:AM231)&gt;=7,AVERAGE(AF231:AM231),"")</f>
        <v/>
      </c>
      <c r="BV231" s="56">
        <f>IF(COUNT(AN231:AV231)&gt;=8,AVERAGE(AN231:AV231),"")</f>
        <v/>
      </c>
      <c r="BW231" s="56">
        <f>IF(COUNT(AW231:BD231)&gt;=7,AVERAGE(AW231:BD231),"")</f>
        <v/>
      </c>
      <c r="BX231" s="56">
        <f>IF(COUNT(BE231:BJ231)&gt;=5,AVERAGE(BE231:BJ231),"")</f>
        <v/>
      </c>
      <c r="BY231" s="56">
        <f>IF(COUNT(BK231:BR231)&gt;=7,AVERAGE(BK231:BR231),"")</f>
        <v/>
      </c>
    </row>
    <row r="232">
      <c r="A232" t="inlineStr">
        <is>
          <t>R201</t>
        </is>
      </c>
      <c r="B232" t="inlineStr">
        <is>
          <t>Yes</t>
        </is>
      </c>
      <c r="C232" t="inlineStr">
        <is>
          <t>Yes</t>
        </is>
      </c>
      <c r="D232" t="inlineStr">
        <is>
          <t>Female</t>
        </is>
      </c>
      <c r="E232" t="inlineStr">
        <is>
          <t>35-44</t>
        </is>
      </c>
      <c r="F232" t="inlineStr">
        <is>
          <t>Master's</t>
        </is>
      </c>
      <c r="G232" t="inlineStr">
        <is>
          <t>Commercial bank</t>
        </is>
      </c>
      <c r="H232" t="inlineStr">
        <is>
          <t>Customer Experience/Service</t>
        </is>
      </c>
      <c r="I232" t="inlineStr">
        <is>
          <t>2-5</t>
        </is>
      </c>
      <c r="J232" t="inlineStr">
        <is>
          <t>Yes</t>
        </is>
      </c>
      <c r="K232" t="n">
        <v>3</v>
      </c>
      <c r="L232" t="inlineStr">
        <is>
          <t>Yes</t>
        </is>
      </c>
      <c r="M232" t="inlineStr">
        <is>
          <t>Yes</t>
        </is>
      </c>
      <c r="N232" t="n">
        <v>2</v>
      </c>
      <c r="O232" t="n">
        <v>2</v>
      </c>
      <c r="P232" t="n">
        <v>3</v>
      </c>
      <c r="Q232" t="n">
        <v>3</v>
      </c>
      <c r="R232" t="n">
        <v>2</v>
      </c>
      <c r="S232" t="n">
        <v>3</v>
      </c>
      <c r="T232" t="n">
        <v>2</v>
      </c>
      <c r="U232" t="n">
        <v>3</v>
      </c>
      <c r="V232" t="n">
        <v>3</v>
      </c>
      <c r="W232" t="n">
        <v>3</v>
      </c>
      <c r="X232" t="n">
        <v>2</v>
      </c>
      <c r="Y232" t="n">
        <v>3</v>
      </c>
      <c r="Z232" t="n">
        <v>4</v>
      </c>
      <c r="AA232" t="n">
        <v>4</v>
      </c>
      <c r="AB232" t="n">
        <v>4</v>
      </c>
      <c r="AC232" t="n">
        <v>3</v>
      </c>
      <c r="AD232" t="n">
        <v>3</v>
      </c>
      <c r="AE232" t="n">
        <v>2</v>
      </c>
      <c r="AF232" t="n">
        <v>3</v>
      </c>
      <c r="AG232" t="n">
        <v>4</v>
      </c>
      <c r="AH232" t="n">
        <v>3</v>
      </c>
      <c r="AI232" t="n">
        <v>5</v>
      </c>
      <c r="AJ232" t="n">
        <v>5</v>
      </c>
      <c r="AK232" t="n">
        <v>3</v>
      </c>
      <c r="AL232" t="n">
        <v>4</v>
      </c>
      <c r="AM232" t="n">
        <v>4</v>
      </c>
      <c r="AN232" t="n">
        <v>3</v>
      </c>
      <c r="AO232" t="n">
        <v>3</v>
      </c>
      <c r="AP232" t="n">
        <v>2</v>
      </c>
      <c r="AQ232" t="n">
        <v>2</v>
      </c>
      <c r="AR232" t="n">
        <v>4</v>
      </c>
      <c r="AS232" t="n">
        <v>3</v>
      </c>
      <c r="AT232" t="n">
        <v>2</v>
      </c>
      <c r="AU232" t="n">
        <v>2</v>
      </c>
      <c r="AV232" t="n">
        <v>3</v>
      </c>
      <c r="AW232" t="n">
        <v>3</v>
      </c>
      <c r="AX232" t="n">
        <v>3</v>
      </c>
      <c r="AY232" t="n">
        <v>3</v>
      </c>
      <c r="AZ232" t="n">
        <v>2</v>
      </c>
      <c r="BA232" t="n">
        <v>4</v>
      </c>
      <c r="BB232" t="n">
        <v>2</v>
      </c>
      <c r="BC232" t="n">
        <v>3</v>
      </c>
      <c r="BD232" t="n">
        <v>3</v>
      </c>
      <c r="BE232" t="n">
        <v>3</v>
      </c>
      <c r="BF232" t="n">
        <v>4</v>
      </c>
      <c r="BG232" t="n">
        <v>3</v>
      </c>
      <c r="BH232" t="n">
        <v>3</v>
      </c>
      <c r="BI232" t="n">
        <v>3</v>
      </c>
      <c r="BJ232" t="n">
        <v>3</v>
      </c>
      <c r="BK232" t="n">
        <v>4</v>
      </c>
      <c r="BL232" t="n">
        <v>3</v>
      </c>
      <c r="BM232" t="n">
        <v>4</v>
      </c>
      <c r="BN232" t="n">
        <v>3</v>
      </c>
      <c r="BO232" t="n">
        <v>3</v>
      </c>
      <c r="BP232" t="n">
        <v>3</v>
      </c>
      <c r="BQ232" t="n">
        <v>4</v>
      </c>
      <c r="BR232" t="n">
        <v>2</v>
      </c>
      <c r="BS232" s="56">
        <f>IF(COUNT(N232:W232)&gt;=8,AVERAGE(N232:W232),"")</f>
        <v/>
      </c>
      <c r="BT232" s="56">
        <f>IF(COUNT(X232:AE232)&gt;=7,AVERAGE(X232:AE232),"")</f>
        <v/>
      </c>
      <c r="BU232" s="56">
        <f>IF(COUNT(AF232:AM232)&gt;=7,AVERAGE(AF232:AM232),"")</f>
        <v/>
      </c>
      <c r="BV232" s="56">
        <f>IF(COUNT(AN232:AV232)&gt;=8,AVERAGE(AN232:AV232),"")</f>
        <v/>
      </c>
      <c r="BW232" s="56">
        <f>IF(COUNT(AW232:BD232)&gt;=7,AVERAGE(AW232:BD232),"")</f>
        <v/>
      </c>
      <c r="BX232" s="56">
        <f>IF(COUNT(BE232:BJ232)&gt;=5,AVERAGE(BE232:BJ232),"")</f>
        <v/>
      </c>
      <c r="BY232" s="56">
        <f>IF(COUNT(BK232:BR232)&gt;=7,AVERAGE(BK232:BR232),"")</f>
        <v/>
      </c>
    </row>
    <row r="233">
      <c r="A233" t="inlineStr">
        <is>
          <t>R202</t>
        </is>
      </c>
      <c r="B233" t="inlineStr">
        <is>
          <t>Yes</t>
        </is>
      </c>
      <c r="C233" t="inlineStr">
        <is>
          <t>Yes</t>
        </is>
      </c>
      <c r="D233" t="inlineStr">
        <is>
          <t>Male</t>
        </is>
      </c>
      <c r="E233" t="inlineStr">
        <is>
          <t>35-44</t>
        </is>
      </c>
      <c r="F233" t="inlineStr">
        <is>
          <t>Doctorate</t>
        </is>
      </c>
      <c r="G233" t="inlineStr">
        <is>
          <t>Merchant bank</t>
        </is>
      </c>
      <c r="H233" t="inlineStr">
        <is>
          <t>Digital Banking/Product</t>
        </is>
      </c>
      <c r="I233" t="inlineStr">
        <is>
          <t>2-5</t>
        </is>
      </c>
      <c r="J233" t="inlineStr">
        <is>
          <t>Yes</t>
        </is>
      </c>
      <c r="K233" t="n">
        <v>3</v>
      </c>
      <c r="L233" t="inlineStr">
        <is>
          <t>Yes</t>
        </is>
      </c>
      <c r="M233" t="inlineStr">
        <is>
          <t>Yes</t>
        </is>
      </c>
      <c r="O233" t="n">
        <v>4</v>
      </c>
      <c r="P233" t="n">
        <v>5</v>
      </c>
      <c r="Q233" t="n">
        <v>4</v>
      </c>
      <c r="R233" t="n">
        <v>3</v>
      </c>
      <c r="S233" t="n">
        <v>4</v>
      </c>
      <c r="T233" t="n">
        <v>4</v>
      </c>
      <c r="U233" t="n">
        <v>4</v>
      </c>
      <c r="V233" t="n">
        <v>3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5</v>
      </c>
      <c r="AD233" t="n">
        <v>4</v>
      </c>
      <c r="AE233" t="n">
        <v>3</v>
      </c>
      <c r="AF233" t="n">
        <v>4</v>
      </c>
      <c r="AG233" t="n">
        <v>3</v>
      </c>
      <c r="AH233" t="n">
        <v>2</v>
      </c>
      <c r="AI233" t="n">
        <v>4</v>
      </c>
      <c r="AJ233" t="n">
        <v>3</v>
      </c>
      <c r="AK233" t="n">
        <v>3</v>
      </c>
      <c r="AM233" t="n">
        <v>4</v>
      </c>
      <c r="AN233" t="n">
        <v>3</v>
      </c>
      <c r="AO233" t="n">
        <v>2</v>
      </c>
      <c r="AP233" t="n">
        <v>4</v>
      </c>
      <c r="AQ233" t="n">
        <v>3</v>
      </c>
      <c r="AR233" t="n">
        <v>3</v>
      </c>
      <c r="AS233" t="n">
        <v>4</v>
      </c>
      <c r="AT233" t="n">
        <v>3</v>
      </c>
      <c r="AU233" t="n">
        <v>3</v>
      </c>
      <c r="AV233" t="n">
        <v>3</v>
      </c>
      <c r="AW233" t="n">
        <v>3</v>
      </c>
      <c r="AX233" t="n">
        <v>3</v>
      </c>
      <c r="AY233" t="n">
        <v>3</v>
      </c>
      <c r="AZ233" t="n">
        <v>2</v>
      </c>
      <c r="BA233" t="n">
        <v>3</v>
      </c>
      <c r="BB233" t="n">
        <v>3</v>
      </c>
      <c r="BC233" t="n">
        <v>3</v>
      </c>
      <c r="BD233" t="n">
        <v>3</v>
      </c>
      <c r="BE233" t="n">
        <v>3</v>
      </c>
      <c r="BF233" t="n">
        <v>4</v>
      </c>
      <c r="BG233" t="n">
        <v>3</v>
      </c>
      <c r="BH233" t="n">
        <v>4</v>
      </c>
      <c r="BI233" t="n">
        <v>4</v>
      </c>
      <c r="BJ233" t="n">
        <v>3</v>
      </c>
      <c r="BK233" t="n">
        <v>4</v>
      </c>
      <c r="BL233" t="n">
        <v>3</v>
      </c>
      <c r="BM233" t="n">
        <v>4</v>
      </c>
      <c r="BN233" t="n">
        <v>3</v>
      </c>
      <c r="BO233" t="n">
        <v>3</v>
      </c>
      <c r="BP233" t="n">
        <v>4</v>
      </c>
      <c r="BQ233" t="n">
        <v>4</v>
      </c>
      <c r="BR233" t="n">
        <v>4</v>
      </c>
      <c r="BS233" s="56">
        <f>IF(COUNT(N233:W233)&gt;=8,AVERAGE(N233:W233),"")</f>
        <v/>
      </c>
      <c r="BT233" s="56">
        <f>IF(COUNT(X233:AE233)&gt;=7,AVERAGE(X233:AE233),"")</f>
        <v/>
      </c>
      <c r="BU233" s="56">
        <f>IF(COUNT(AF233:AM233)&gt;=7,AVERAGE(AF233:AM233),"")</f>
        <v/>
      </c>
      <c r="BV233" s="56">
        <f>IF(COUNT(AN233:AV233)&gt;=8,AVERAGE(AN233:AV233),"")</f>
        <v/>
      </c>
      <c r="BW233" s="56">
        <f>IF(COUNT(AW233:BD233)&gt;=7,AVERAGE(AW233:BD233),"")</f>
        <v/>
      </c>
      <c r="BX233" s="56">
        <f>IF(COUNT(BE233:BJ233)&gt;=5,AVERAGE(BE233:BJ233),"")</f>
        <v/>
      </c>
      <c r="BY233" s="56">
        <f>IF(COUNT(BK233:BR233)&gt;=7,AVERAGE(BK233:BR233),"")</f>
        <v/>
      </c>
    </row>
    <row r="234">
      <c r="A234" t="inlineStr">
        <is>
          <t>R203</t>
        </is>
      </c>
      <c r="B234" t="inlineStr">
        <is>
          <t>Yes</t>
        </is>
      </c>
      <c r="C234" t="inlineStr">
        <is>
          <t>Yes</t>
        </is>
      </c>
      <c r="D234" t="inlineStr">
        <is>
          <t>Female</t>
        </is>
      </c>
      <c r="E234" t="inlineStr">
        <is>
          <t>25-34</t>
        </is>
      </c>
      <c r="F234" t="inlineStr">
        <is>
          <t>Bachelor/HND</t>
        </is>
      </c>
      <c r="G234" t="inlineStr">
        <is>
          <t>Merchant bank</t>
        </is>
      </c>
      <c r="H234" t="inlineStr">
        <is>
          <t>Other</t>
        </is>
      </c>
      <c r="I234" t="inlineStr">
        <is>
          <t>2-5</t>
        </is>
      </c>
      <c r="J234" t="inlineStr">
        <is>
          <t>Yes</t>
        </is>
      </c>
      <c r="K234" t="n">
        <v>2</v>
      </c>
      <c r="L234" t="inlineStr">
        <is>
          <t>Yes</t>
        </is>
      </c>
      <c r="M234" t="inlineStr">
        <is>
          <t>Yes</t>
        </is>
      </c>
      <c r="N234" t="n">
        <v>1</v>
      </c>
      <c r="O234" t="n">
        <v>2</v>
      </c>
      <c r="P234" t="n">
        <v>2</v>
      </c>
      <c r="Q234" t="n">
        <v>1</v>
      </c>
      <c r="R234" t="n">
        <v>2</v>
      </c>
      <c r="S234" t="n">
        <v>3</v>
      </c>
      <c r="T234" t="n">
        <v>2</v>
      </c>
      <c r="U234" t="n">
        <v>1</v>
      </c>
      <c r="V234" t="n">
        <v>2</v>
      </c>
      <c r="W234" t="n">
        <v>1</v>
      </c>
      <c r="X234" t="n">
        <v>2</v>
      </c>
      <c r="Y234" t="n">
        <v>3</v>
      </c>
      <c r="Z234" t="n">
        <v>3</v>
      </c>
      <c r="AB234" t="n">
        <v>3</v>
      </c>
      <c r="AC234" t="n">
        <v>4</v>
      </c>
      <c r="AD234" t="n">
        <v>2</v>
      </c>
      <c r="AE234" t="n">
        <v>3</v>
      </c>
      <c r="AF234" t="n">
        <v>2</v>
      </c>
      <c r="AG234" t="n">
        <v>3</v>
      </c>
      <c r="AH234" t="n">
        <v>1</v>
      </c>
      <c r="AI234" t="n">
        <v>3</v>
      </c>
      <c r="AJ234" t="n">
        <v>2</v>
      </c>
      <c r="AK234" t="n">
        <v>2</v>
      </c>
      <c r="AL234" t="n">
        <v>3</v>
      </c>
      <c r="AM234" t="n">
        <v>2</v>
      </c>
      <c r="AN234" t="n">
        <v>2</v>
      </c>
      <c r="AO234" t="n">
        <v>2</v>
      </c>
      <c r="AP234" t="n">
        <v>3</v>
      </c>
      <c r="AQ234" t="n">
        <v>3</v>
      </c>
      <c r="AR234" t="n">
        <v>2</v>
      </c>
      <c r="AS234" t="n">
        <v>1</v>
      </c>
      <c r="AT234" t="n">
        <v>3</v>
      </c>
      <c r="AU234" t="n">
        <v>1</v>
      </c>
      <c r="AV234" t="n">
        <v>2</v>
      </c>
      <c r="AW234" t="n">
        <v>3</v>
      </c>
      <c r="AX234" t="n">
        <v>2</v>
      </c>
      <c r="AY234" t="n">
        <v>3</v>
      </c>
      <c r="AZ234" t="n">
        <v>1</v>
      </c>
      <c r="BA234" t="n">
        <v>4</v>
      </c>
      <c r="BB234" t="n">
        <v>3</v>
      </c>
      <c r="BC234" t="n">
        <v>2</v>
      </c>
      <c r="BD234" t="n">
        <v>3</v>
      </c>
      <c r="BE234" t="n">
        <v>3</v>
      </c>
      <c r="BG234" t="n">
        <v>2</v>
      </c>
      <c r="BH234" t="n">
        <v>3</v>
      </c>
      <c r="BI234" t="n">
        <v>3</v>
      </c>
      <c r="BJ234" t="n">
        <v>3</v>
      </c>
      <c r="BK234" t="n">
        <v>3</v>
      </c>
      <c r="BL234" t="n">
        <v>1</v>
      </c>
      <c r="BM234" t="n">
        <v>3</v>
      </c>
      <c r="BN234" t="n">
        <v>3</v>
      </c>
      <c r="BO234" t="n">
        <v>2</v>
      </c>
      <c r="BP234" t="n">
        <v>2</v>
      </c>
      <c r="BQ234" t="n">
        <v>2</v>
      </c>
      <c r="BR234" t="n">
        <v>3</v>
      </c>
      <c r="BS234" s="56">
        <f>IF(COUNT(N234:W234)&gt;=8,AVERAGE(N234:W234),"")</f>
        <v/>
      </c>
      <c r="BT234" s="56">
        <f>IF(COUNT(X234:AE234)&gt;=7,AVERAGE(X234:AE234),"")</f>
        <v/>
      </c>
      <c r="BU234" s="56">
        <f>IF(COUNT(AF234:AM234)&gt;=7,AVERAGE(AF234:AM234),"")</f>
        <v/>
      </c>
      <c r="BV234" s="56">
        <f>IF(COUNT(AN234:AV234)&gt;=8,AVERAGE(AN234:AV234),"")</f>
        <v/>
      </c>
      <c r="BW234" s="56">
        <f>IF(COUNT(AW234:BD234)&gt;=7,AVERAGE(AW234:BD234),"")</f>
        <v/>
      </c>
      <c r="BX234" s="56">
        <f>IF(COUNT(BE234:BJ234)&gt;=5,AVERAGE(BE234:BJ234),"")</f>
        <v/>
      </c>
      <c r="BY234" s="56">
        <f>IF(COUNT(BK234:BR234)&gt;=7,AVERAGE(BK234:BR234),"")</f>
        <v/>
      </c>
    </row>
    <row r="235">
      <c r="A235" t="inlineStr">
        <is>
          <t>R204</t>
        </is>
      </c>
      <c r="B235" t="inlineStr">
        <is>
          <t>Yes</t>
        </is>
      </c>
      <c r="C235" t="inlineStr">
        <is>
          <t>Yes</t>
        </is>
      </c>
      <c r="D235" t="inlineStr">
        <is>
          <t>Female</t>
        </is>
      </c>
      <c r="E235" t="inlineStr">
        <is>
          <t>18-24</t>
        </is>
      </c>
      <c r="F235" t="inlineStr">
        <is>
          <t>Master's</t>
        </is>
      </c>
      <c r="G235" t="inlineStr">
        <is>
          <t>Merchant bank</t>
        </is>
      </c>
      <c r="H235" t="inlineStr">
        <is>
          <t>Data/Analytics/AI</t>
        </is>
      </c>
      <c r="I235" t="inlineStr">
        <is>
          <t>2-5</t>
        </is>
      </c>
      <c r="J235" t="inlineStr">
        <is>
          <t>Yes</t>
        </is>
      </c>
      <c r="K235" t="n">
        <v>2</v>
      </c>
      <c r="L235" t="inlineStr">
        <is>
          <t>No</t>
        </is>
      </c>
      <c r="M235" t="inlineStr">
        <is>
          <t>Yes</t>
        </is>
      </c>
      <c r="N235" t="n">
        <v>3</v>
      </c>
      <c r="O235" t="n">
        <v>3</v>
      </c>
      <c r="P235" t="n">
        <v>4</v>
      </c>
      <c r="Q235" t="n">
        <v>4</v>
      </c>
      <c r="R235" t="n">
        <v>3</v>
      </c>
      <c r="S235" t="n">
        <v>4</v>
      </c>
      <c r="T235" t="n">
        <v>3</v>
      </c>
      <c r="U235" t="n">
        <v>3</v>
      </c>
      <c r="V235" t="n">
        <v>4</v>
      </c>
      <c r="W235" t="n">
        <v>3</v>
      </c>
      <c r="X235" t="n">
        <v>3</v>
      </c>
      <c r="Y235" t="n">
        <v>2</v>
      </c>
      <c r="Z235" t="n">
        <v>3</v>
      </c>
      <c r="AA235" t="n">
        <v>3</v>
      </c>
      <c r="AB235" t="n">
        <v>2</v>
      </c>
      <c r="AC235" t="n">
        <v>3</v>
      </c>
      <c r="AD235" t="n">
        <v>3</v>
      </c>
      <c r="AE235" t="n">
        <v>3</v>
      </c>
      <c r="AF235" t="n">
        <v>3</v>
      </c>
      <c r="AG235" t="n">
        <v>4</v>
      </c>
      <c r="AH235" t="n">
        <v>3</v>
      </c>
      <c r="AI235" t="n">
        <v>5</v>
      </c>
      <c r="AK235" t="n">
        <v>3</v>
      </c>
      <c r="AL235" t="n">
        <v>4</v>
      </c>
      <c r="AM235" t="n">
        <v>4</v>
      </c>
      <c r="AN235" t="n">
        <v>4</v>
      </c>
      <c r="AO235" t="n">
        <v>3</v>
      </c>
      <c r="AP235" t="n">
        <v>4</v>
      </c>
      <c r="AQ235" t="n">
        <v>3</v>
      </c>
      <c r="AR235" t="n">
        <v>3</v>
      </c>
      <c r="AS235" t="n">
        <v>3</v>
      </c>
      <c r="AT235" t="n">
        <v>4</v>
      </c>
      <c r="AU235" t="n">
        <v>3</v>
      </c>
      <c r="AV235" t="n">
        <v>4</v>
      </c>
      <c r="AW235" t="n">
        <v>4</v>
      </c>
      <c r="AX235" t="n">
        <v>3</v>
      </c>
      <c r="AY235" t="n">
        <v>2</v>
      </c>
      <c r="AZ235" t="n">
        <v>3</v>
      </c>
      <c r="BA235" t="n">
        <v>4</v>
      </c>
      <c r="BB235" t="n">
        <v>3</v>
      </c>
      <c r="BC235" t="n">
        <v>3</v>
      </c>
      <c r="BD235" t="n">
        <v>3</v>
      </c>
      <c r="BE235" t="n">
        <v>2</v>
      </c>
      <c r="BF235" t="n">
        <v>3</v>
      </c>
      <c r="BG235" t="n">
        <v>2</v>
      </c>
      <c r="BH235" t="n">
        <v>3</v>
      </c>
      <c r="BI235" t="n">
        <v>2</v>
      </c>
      <c r="BJ235" t="n">
        <v>3</v>
      </c>
      <c r="BK235" t="n">
        <v>4</v>
      </c>
      <c r="BL235" t="n">
        <v>3</v>
      </c>
      <c r="BM235" t="n">
        <v>3</v>
      </c>
      <c r="BN235" t="n">
        <v>4</v>
      </c>
      <c r="BO235" t="n">
        <v>3</v>
      </c>
      <c r="BP235" t="n">
        <v>3</v>
      </c>
      <c r="BQ235" t="n">
        <v>4</v>
      </c>
      <c r="BR235" t="n">
        <v>3</v>
      </c>
      <c r="BS235" s="56">
        <f>IF(COUNT(N235:W235)&gt;=8,AVERAGE(N235:W235),"")</f>
        <v/>
      </c>
      <c r="BT235" s="56">
        <f>IF(COUNT(X235:AE235)&gt;=7,AVERAGE(X235:AE235),"")</f>
        <v/>
      </c>
      <c r="BU235" s="56">
        <f>IF(COUNT(AF235:AM235)&gt;=7,AVERAGE(AF235:AM235),"")</f>
        <v/>
      </c>
      <c r="BV235" s="56">
        <f>IF(COUNT(AN235:AV235)&gt;=8,AVERAGE(AN235:AV235),"")</f>
        <v/>
      </c>
      <c r="BW235" s="56">
        <f>IF(COUNT(AW235:BD235)&gt;=7,AVERAGE(AW235:BD235),"")</f>
        <v/>
      </c>
      <c r="BX235" s="56">
        <f>IF(COUNT(BE235:BJ235)&gt;=5,AVERAGE(BE235:BJ235),"")</f>
        <v/>
      </c>
      <c r="BY235" s="56">
        <f>IF(COUNT(BK235:BR235)&gt;=7,AVERAGE(BK235:BR235),"")</f>
        <v/>
      </c>
    </row>
    <row r="236">
      <c r="A236" t="inlineStr">
        <is>
          <t>R205</t>
        </is>
      </c>
      <c r="B236" t="inlineStr">
        <is>
          <t>Yes</t>
        </is>
      </c>
      <c r="C236" t="inlineStr">
        <is>
          <t>Yes</t>
        </is>
      </c>
      <c r="D236" t="inlineStr">
        <is>
          <t>Female</t>
        </is>
      </c>
      <c r="E236" t="inlineStr">
        <is>
          <t>45-54</t>
        </is>
      </c>
      <c r="F236" t="inlineStr">
        <is>
          <t>Doctorate</t>
        </is>
      </c>
      <c r="G236" t="inlineStr">
        <is>
          <t>Merchant bank</t>
        </is>
      </c>
      <c r="H236" t="inlineStr">
        <is>
          <t>Digital Banking/Product</t>
        </is>
      </c>
      <c r="I236" t="inlineStr">
        <is>
          <t>6-10</t>
        </is>
      </c>
      <c r="J236" t="inlineStr">
        <is>
          <t>Yes</t>
        </is>
      </c>
      <c r="K236" t="n">
        <v>2</v>
      </c>
      <c r="L236" t="inlineStr">
        <is>
          <t>Yes</t>
        </is>
      </c>
      <c r="M236" t="inlineStr">
        <is>
          <t>Yes</t>
        </is>
      </c>
      <c r="N236" t="n">
        <v>2</v>
      </c>
      <c r="O236" t="n">
        <v>2</v>
      </c>
      <c r="P236" t="n">
        <v>2</v>
      </c>
      <c r="Q236" t="n">
        <v>3</v>
      </c>
      <c r="R236" t="n">
        <v>3</v>
      </c>
      <c r="S236" t="n">
        <v>4</v>
      </c>
      <c r="T236" t="n">
        <v>1</v>
      </c>
      <c r="U236" t="n">
        <v>3</v>
      </c>
      <c r="V236" t="n">
        <v>3</v>
      </c>
      <c r="W236" t="n">
        <v>2</v>
      </c>
      <c r="X236" t="n">
        <v>3</v>
      </c>
      <c r="Y236" t="n">
        <v>2</v>
      </c>
      <c r="Z236" t="n">
        <v>3</v>
      </c>
      <c r="AA236" t="n">
        <v>1</v>
      </c>
      <c r="AB236" t="n">
        <v>1</v>
      </c>
      <c r="AC236" t="n">
        <v>2</v>
      </c>
      <c r="AD236" t="n">
        <v>3</v>
      </c>
      <c r="AE236" t="n">
        <v>2</v>
      </c>
      <c r="AF236" t="n">
        <v>1</v>
      </c>
      <c r="AG236" t="n">
        <v>4</v>
      </c>
      <c r="AH236" t="n">
        <v>3</v>
      </c>
      <c r="AI236" t="n">
        <v>3</v>
      </c>
      <c r="AJ236" t="n">
        <v>3</v>
      </c>
      <c r="AK236" t="n">
        <v>4</v>
      </c>
      <c r="AL236" t="n">
        <v>3</v>
      </c>
      <c r="AM236" t="n">
        <v>3</v>
      </c>
      <c r="AN236" t="n">
        <v>4</v>
      </c>
      <c r="AO236" t="n">
        <v>3</v>
      </c>
      <c r="AP236" t="n">
        <v>3</v>
      </c>
      <c r="AQ236" t="n">
        <v>3</v>
      </c>
      <c r="AR236" t="n">
        <v>4</v>
      </c>
      <c r="AS236" t="n">
        <v>4</v>
      </c>
      <c r="AT236" t="n">
        <v>3</v>
      </c>
      <c r="AU236" t="n">
        <v>2</v>
      </c>
      <c r="AV236" t="n">
        <v>3</v>
      </c>
      <c r="AW236" t="n">
        <v>3</v>
      </c>
      <c r="AX236" t="n">
        <v>2</v>
      </c>
      <c r="AY236" t="n">
        <v>3</v>
      </c>
      <c r="AZ236" t="n">
        <v>3</v>
      </c>
      <c r="BA236" t="n">
        <v>2</v>
      </c>
      <c r="BB236" t="n">
        <v>3</v>
      </c>
      <c r="BC236" t="n">
        <v>2</v>
      </c>
      <c r="BD236" t="n">
        <v>2</v>
      </c>
      <c r="BF236" t="n">
        <v>3</v>
      </c>
      <c r="BG236" t="n">
        <v>1</v>
      </c>
      <c r="BH236" t="n">
        <v>2</v>
      </c>
      <c r="BI236" t="n">
        <v>3</v>
      </c>
      <c r="BJ236" t="n">
        <v>2</v>
      </c>
      <c r="BK236" t="n">
        <v>3</v>
      </c>
      <c r="BL236" t="n">
        <v>5</v>
      </c>
      <c r="BM236" t="n">
        <v>5</v>
      </c>
      <c r="BN236" t="n">
        <v>4</v>
      </c>
      <c r="BO236" t="n">
        <v>4</v>
      </c>
      <c r="BP236" t="n">
        <v>4</v>
      </c>
      <c r="BQ236" t="n">
        <v>4</v>
      </c>
      <c r="BR236" t="n">
        <v>4</v>
      </c>
      <c r="BS236" s="56">
        <f>IF(COUNT(N236:W236)&gt;=8,AVERAGE(N236:W236),"")</f>
        <v/>
      </c>
      <c r="BT236" s="56">
        <f>IF(COUNT(X236:AE236)&gt;=7,AVERAGE(X236:AE236),"")</f>
        <v/>
      </c>
      <c r="BU236" s="56">
        <f>IF(COUNT(AF236:AM236)&gt;=7,AVERAGE(AF236:AM236),"")</f>
        <v/>
      </c>
      <c r="BV236" s="56">
        <f>IF(COUNT(AN236:AV236)&gt;=8,AVERAGE(AN236:AV236),"")</f>
        <v/>
      </c>
      <c r="BW236" s="56">
        <f>IF(COUNT(AW236:BD236)&gt;=7,AVERAGE(AW236:BD236),"")</f>
        <v/>
      </c>
      <c r="BX236" s="56">
        <f>IF(COUNT(BE236:BJ236)&gt;=5,AVERAGE(BE236:BJ236),"")</f>
        <v/>
      </c>
      <c r="BY236" s="56">
        <f>IF(COUNT(BK236:BR236)&gt;=7,AVERAGE(BK236:BR236),"")</f>
        <v/>
      </c>
    </row>
    <row r="237">
      <c r="A237" t="inlineStr">
        <is>
          <t>R206</t>
        </is>
      </c>
      <c r="B237" t="inlineStr">
        <is>
          <t>Yes</t>
        </is>
      </c>
      <c r="C237" t="inlineStr">
        <is>
          <t>Yes</t>
        </is>
      </c>
      <c r="D237" t="inlineStr">
        <is>
          <t>Female</t>
        </is>
      </c>
      <c r="E237" t="inlineStr">
        <is>
          <t>25-34</t>
        </is>
      </c>
      <c r="F237" t="inlineStr">
        <is>
          <t>Master's</t>
        </is>
      </c>
      <c r="G237" t="inlineStr">
        <is>
          <t>Commercial bank</t>
        </is>
      </c>
      <c r="H237" t="inlineStr">
        <is>
          <t>IT/Technology</t>
        </is>
      </c>
      <c r="I237" t="inlineStr">
        <is>
          <t>2-5</t>
        </is>
      </c>
      <c r="J237" t="inlineStr">
        <is>
          <t>Yes</t>
        </is>
      </c>
      <c r="K237" t="n">
        <v>1</v>
      </c>
      <c r="L237" t="inlineStr">
        <is>
          <t>Yes</t>
        </is>
      </c>
      <c r="M237" t="inlineStr">
        <is>
          <t>Yes</t>
        </is>
      </c>
      <c r="N237" t="n">
        <v>4</v>
      </c>
      <c r="O237" t="n">
        <v>4</v>
      </c>
      <c r="P237" t="n">
        <v>4</v>
      </c>
      <c r="Q237" t="n">
        <v>4</v>
      </c>
      <c r="R237" t="n">
        <v>4</v>
      </c>
      <c r="S237" t="n">
        <v>3</v>
      </c>
      <c r="T237" t="n">
        <v>3</v>
      </c>
      <c r="U237" t="n">
        <v>4</v>
      </c>
      <c r="V237" t="n">
        <v>3</v>
      </c>
      <c r="W237" t="n">
        <v>3</v>
      </c>
      <c r="X237" t="n">
        <v>5</v>
      </c>
      <c r="Y237" t="n">
        <v>4</v>
      </c>
      <c r="Z237" t="n">
        <v>4</v>
      </c>
      <c r="AA237" t="n">
        <v>2</v>
      </c>
      <c r="AB237" t="n">
        <v>4</v>
      </c>
      <c r="AC237" t="n">
        <v>4</v>
      </c>
      <c r="AD237" t="n">
        <v>5</v>
      </c>
      <c r="AE237" t="n">
        <v>4</v>
      </c>
      <c r="AF237" t="n">
        <v>5</v>
      </c>
      <c r="AG237" t="n">
        <v>5</v>
      </c>
      <c r="AH237" t="n">
        <v>4</v>
      </c>
      <c r="AI237" t="n">
        <v>5</v>
      </c>
      <c r="AJ237" t="n">
        <v>4</v>
      </c>
      <c r="AK237" t="n">
        <v>5</v>
      </c>
      <c r="AL237" t="n">
        <v>5</v>
      </c>
      <c r="AM237" t="n">
        <v>4</v>
      </c>
      <c r="AN237" t="n">
        <v>3</v>
      </c>
      <c r="AO237" t="n">
        <v>4</v>
      </c>
      <c r="AP237" t="n">
        <v>2</v>
      </c>
      <c r="AQ237" t="n">
        <v>4</v>
      </c>
      <c r="AR237" t="n">
        <v>4</v>
      </c>
      <c r="AS237" t="n">
        <v>5</v>
      </c>
      <c r="AT237" t="n">
        <v>4</v>
      </c>
      <c r="AU237" t="n">
        <v>2</v>
      </c>
      <c r="AV237" t="n">
        <v>3</v>
      </c>
      <c r="AX237" t="n">
        <v>3</v>
      </c>
      <c r="AY237" t="n">
        <v>4</v>
      </c>
      <c r="AZ237" t="n">
        <v>3</v>
      </c>
      <c r="BA237" t="n">
        <v>5</v>
      </c>
      <c r="BB237" t="n">
        <v>4</v>
      </c>
      <c r="BC237" t="n">
        <v>4</v>
      </c>
      <c r="BD237" t="n">
        <v>4</v>
      </c>
      <c r="BE237" t="n">
        <v>3</v>
      </c>
      <c r="BF237" t="n">
        <v>4</v>
      </c>
      <c r="BG237" t="n">
        <v>2</v>
      </c>
      <c r="BH237" t="n">
        <v>3</v>
      </c>
      <c r="BI237" t="n">
        <v>4</v>
      </c>
      <c r="BJ237" t="n">
        <v>2</v>
      </c>
      <c r="BK237" t="n">
        <v>2</v>
      </c>
      <c r="BL237" t="n">
        <v>3</v>
      </c>
      <c r="BM237" t="n">
        <v>4</v>
      </c>
      <c r="BN237" t="n">
        <v>4</v>
      </c>
      <c r="BO237" t="n">
        <v>4</v>
      </c>
      <c r="BP237" t="n">
        <v>3</v>
      </c>
      <c r="BQ237" t="n">
        <v>4</v>
      </c>
      <c r="BR237" t="n">
        <v>3</v>
      </c>
      <c r="BS237" s="56">
        <f>IF(COUNT(N237:W237)&gt;=8,AVERAGE(N237:W237),"")</f>
        <v/>
      </c>
      <c r="BT237" s="56">
        <f>IF(COUNT(X237:AE237)&gt;=7,AVERAGE(X237:AE237),"")</f>
        <v/>
      </c>
      <c r="BU237" s="56">
        <f>IF(COUNT(AF237:AM237)&gt;=7,AVERAGE(AF237:AM237),"")</f>
        <v/>
      </c>
      <c r="BV237" s="56">
        <f>IF(COUNT(AN237:AV237)&gt;=8,AVERAGE(AN237:AV237),"")</f>
        <v/>
      </c>
      <c r="BW237" s="56">
        <f>IF(COUNT(AW237:BD237)&gt;=7,AVERAGE(AW237:BD237),"")</f>
        <v/>
      </c>
      <c r="BX237" s="56">
        <f>IF(COUNT(BE237:BJ237)&gt;=5,AVERAGE(BE237:BJ237),"")</f>
        <v/>
      </c>
      <c r="BY237" s="56">
        <f>IF(COUNT(BK237:BR237)&gt;=7,AVERAGE(BK237:BR237),"")</f>
        <v/>
      </c>
    </row>
    <row r="238">
      <c r="A238" t="inlineStr">
        <is>
          <t>R207</t>
        </is>
      </c>
      <c r="B238" t="inlineStr">
        <is>
          <t>Yes</t>
        </is>
      </c>
      <c r="C238" t="inlineStr">
        <is>
          <t>Yes</t>
        </is>
      </c>
      <c r="D238" t="inlineStr">
        <is>
          <t>Male</t>
        </is>
      </c>
      <c r="E238" t="inlineStr">
        <is>
          <t>18-24</t>
        </is>
      </c>
      <c r="F238" t="inlineStr">
        <is>
          <t>Bachelor/HND</t>
        </is>
      </c>
      <c r="G238" t="inlineStr">
        <is>
          <t>Commercial bank</t>
        </is>
      </c>
      <c r="H238" t="inlineStr">
        <is>
          <t>Customer Experience/Service</t>
        </is>
      </c>
      <c r="I238" t="inlineStr">
        <is>
          <t>6-10</t>
        </is>
      </c>
      <c r="J238" t="inlineStr">
        <is>
          <t>Yes</t>
        </is>
      </c>
      <c r="K238" t="n">
        <v>1</v>
      </c>
      <c r="L238" t="inlineStr">
        <is>
          <t>No</t>
        </is>
      </c>
      <c r="M238" t="inlineStr">
        <is>
          <t>Yes</t>
        </is>
      </c>
      <c r="N238" t="n">
        <v>2</v>
      </c>
      <c r="O238" t="n">
        <v>1</v>
      </c>
      <c r="Q238" t="n">
        <v>1</v>
      </c>
      <c r="R238" t="n">
        <v>2</v>
      </c>
      <c r="S238" t="n">
        <v>1</v>
      </c>
      <c r="T238" t="n">
        <v>2</v>
      </c>
      <c r="U238" t="n">
        <v>2</v>
      </c>
      <c r="V238" t="n">
        <v>3</v>
      </c>
      <c r="W238" t="n">
        <v>2</v>
      </c>
      <c r="X238" t="n">
        <v>4</v>
      </c>
      <c r="Y238" t="n">
        <v>3</v>
      </c>
      <c r="Z238" t="n">
        <v>5</v>
      </c>
      <c r="AA238" t="n">
        <v>2</v>
      </c>
      <c r="AB238" t="n">
        <v>5</v>
      </c>
      <c r="AC238" t="n">
        <v>4</v>
      </c>
      <c r="AD238" t="n">
        <v>4</v>
      </c>
      <c r="AE238" t="n">
        <v>3</v>
      </c>
      <c r="AF238" t="n">
        <v>4</v>
      </c>
      <c r="AG238" t="n">
        <v>4</v>
      </c>
      <c r="AH238" t="n">
        <v>4</v>
      </c>
      <c r="AI238" t="n">
        <v>5</v>
      </c>
      <c r="AJ238" t="n">
        <v>4</v>
      </c>
      <c r="AK238" t="n">
        <v>4</v>
      </c>
      <c r="AL238" t="n">
        <v>5</v>
      </c>
      <c r="AM238" t="n">
        <v>2</v>
      </c>
      <c r="AN238" t="n">
        <v>5</v>
      </c>
      <c r="AO238" t="n">
        <v>4</v>
      </c>
      <c r="AP238" t="n">
        <v>4</v>
      </c>
      <c r="AQ238" t="n">
        <v>3</v>
      </c>
      <c r="AR238" t="n">
        <v>4</v>
      </c>
      <c r="AS238" t="n">
        <v>5</v>
      </c>
      <c r="AT238" t="n">
        <v>4</v>
      </c>
      <c r="AU238" t="n">
        <v>4</v>
      </c>
      <c r="AV238" t="n">
        <v>4</v>
      </c>
      <c r="AW238" t="n">
        <v>4</v>
      </c>
      <c r="AX238" t="n">
        <v>4</v>
      </c>
      <c r="AY238" t="n">
        <v>4</v>
      </c>
      <c r="AZ238" t="n">
        <v>3</v>
      </c>
      <c r="BA238" t="n">
        <v>4</v>
      </c>
      <c r="BB238" t="n">
        <v>5</v>
      </c>
      <c r="BC238" t="n">
        <v>4</v>
      </c>
      <c r="BD238" t="n">
        <v>5</v>
      </c>
      <c r="BE238" t="n">
        <v>4</v>
      </c>
      <c r="BF238" t="n">
        <v>5</v>
      </c>
      <c r="BG238" t="n">
        <v>3</v>
      </c>
      <c r="BH238" t="n">
        <v>5</v>
      </c>
      <c r="BI238" t="n">
        <v>3</v>
      </c>
      <c r="BJ238" t="n">
        <v>5</v>
      </c>
      <c r="BK238" t="n">
        <v>3</v>
      </c>
      <c r="BL238" t="n">
        <v>2</v>
      </c>
      <c r="BM238" t="n">
        <v>3</v>
      </c>
      <c r="BN238" t="n">
        <v>3</v>
      </c>
      <c r="BO238" t="n">
        <v>2</v>
      </c>
      <c r="BP238" t="n">
        <v>3</v>
      </c>
      <c r="BQ238" t="n">
        <v>2</v>
      </c>
      <c r="BR238" t="n">
        <v>2</v>
      </c>
      <c r="BS238" s="56">
        <f>IF(COUNT(N238:W238)&gt;=8,AVERAGE(N238:W238),"")</f>
        <v/>
      </c>
      <c r="BT238" s="56">
        <f>IF(COUNT(X238:AE238)&gt;=7,AVERAGE(X238:AE238),"")</f>
        <v/>
      </c>
      <c r="BU238" s="56">
        <f>IF(COUNT(AF238:AM238)&gt;=7,AVERAGE(AF238:AM238),"")</f>
        <v/>
      </c>
      <c r="BV238" s="56">
        <f>IF(COUNT(AN238:AV238)&gt;=8,AVERAGE(AN238:AV238),"")</f>
        <v/>
      </c>
      <c r="BW238" s="56">
        <f>IF(COUNT(AW238:BD238)&gt;=7,AVERAGE(AW238:BD238),"")</f>
        <v/>
      </c>
      <c r="BX238" s="56">
        <f>IF(COUNT(BE238:BJ238)&gt;=5,AVERAGE(BE238:BJ238),"")</f>
        <v/>
      </c>
      <c r="BY238" s="56">
        <f>IF(COUNT(BK238:BR238)&gt;=7,AVERAGE(BK238:BR238),"")</f>
        <v/>
      </c>
    </row>
    <row r="239">
      <c r="A239" t="inlineStr">
        <is>
          <t>R208</t>
        </is>
      </c>
      <c r="B239" t="inlineStr">
        <is>
          <t>Yes</t>
        </is>
      </c>
      <c r="C239" t="inlineStr">
        <is>
          <t>Yes</t>
        </is>
      </c>
      <c r="D239" t="inlineStr">
        <is>
          <t>Male</t>
        </is>
      </c>
      <c r="E239" t="inlineStr">
        <is>
          <t>45-54</t>
        </is>
      </c>
      <c r="F239" t="inlineStr">
        <is>
          <t>Postgraduate Diploma</t>
        </is>
      </c>
      <c r="G239" t="inlineStr">
        <is>
          <t>Microfinance bank</t>
        </is>
      </c>
      <c r="H239" t="inlineStr">
        <is>
          <t>IT/Technology</t>
        </is>
      </c>
      <c r="I239" t="inlineStr">
        <is>
          <t>2-5</t>
        </is>
      </c>
      <c r="J239" t="inlineStr">
        <is>
          <t>Yes</t>
        </is>
      </c>
      <c r="K239" t="n">
        <v>3</v>
      </c>
      <c r="L239" t="inlineStr">
        <is>
          <t>Yes</t>
        </is>
      </c>
      <c r="M239" t="inlineStr">
        <is>
          <t>Yes</t>
        </is>
      </c>
      <c r="N239" t="n">
        <v>4</v>
      </c>
      <c r="O239" t="n">
        <v>3</v>
      </c>
      <c r="P239" t="n">
        <v>5</v>
      </c>
      <c r="Q239" t="n">
        <v>3</v>
      </c>
      <c r="R239" t="n">
        <v>4</v>
      </c>
      <c r="S239" t="n">
        <v>4</v>
      </c>
      <c r="T239" t="n">
        <v>2</v>
      </c>
      <c r="U239" t="n">
        <v>3</v>
      </c>
      <c r="V239" t="n">
        <v>2</v>
      </c>
      <c r="W239" t="n">
        <v>3</v>
      </c>
      <c r="X239" t="n">
        <v>3</v>
      </c>
      <c r="Y239" t="n">
        <v>4</v>
      </c>
      <c r="Z239" t="n">
        <v>4</v>
      </c>
      <c r="AA239" t="n">
        <v>4</v>
      </c>
      <c r="AB239" t="n">
        <v>4</v>
      </c>
      <c r="AC239" t="n">
        <v>5</v>
      </c>
      <c r="AD239" t="n">
        <v>4</v>
      </c>
      <c r="AE239" t="n">
        <v>4</v>
      </c>
      <c r="AF239" t="n">
        <v>5</v>
      </c>
      <c r="AG239" t="n">
        <v>4</v>
      </c>
      <c r="AH239" t="n">
        <v>5</v>
      </c>
      <c r="AI239" t="n">
        <v>5</v>
      </c>
      <c r="AK239" t="n">
        <v>4</v>
      </c>
      <c r="AL239" t="n">
        <v>5</v>
      </c>
      <c r="AM239" t="n">
        <v>5</v>
      </c>
      <c r="AN239" t="n">
        <v>4</v>
      </c>
      <c r="AO239" t="n">
        <v>2</v>
      </c>
      <c r="AP239" t="n">
        <v>4</v>
      </c>
      <c r="AQ239" t="n">
        <v>3</v>
      </c>
      <c r="AR239" t="n">
        <v>4</v>
      </c>
      <c r="AS239" t="n">
        <v>3</v>
      </c>
      <c r="AT239" t="n">
        <v>3</v>
      </c>
      <c r="AU239" t="n">
        <v>3</v>
      </c>
      <c r="AV239" t="n">
        <v>4</v>
      </c>
      <c r="AW239" t="n">
        <v>4</v>
      </c>
      <c r="AX239" t="n">
        <v>4</v>
      </c>
      <c r="AY239" t="n">
        <v>4</v>
      </c>
      <c r="AZ239" t="n">
        <v>5</v>
      </c>
      <c r="BA239" t="n">
        <v>4</v>
      </c>
      <c r="BB239" t="n">
        <v>5</v>
      </c>
      <c r="BC239" t="n">
        <v>5</v>
      </c>
      <c r="BD239" t="n">
        <v>4</v>
      </c>
      <c r="BE239" t="n">
        <v>2</v>
      </c>
      <c r="BF239" t="n">
        <v>3</v>
      </c>
      <c r="BG239" t="n">
        <v>3</v>
      </c>
      <c r="BH239" t="n">
        <v>4</v>
      </c>
      <c r="BI239" t="n">
        <v>2</v>
      </c>
      <c r="BJ239" t="n">
        <v>4</v>
      </c>
      <c r="BK239" t="n">
        <v>2</v>
      </c>
      <c r="BL239" t="n">
        <v>2</v>
      </c>
      <c r="BM239" t="n">
        <v>4</v>
      </c>
      <c r="BN239" t="n">
        <v>1</v>
      </c>
      <c r="BO239" t="n">
        <v>2</v>
      </c>
      <c r="BP239" t="n">
        <v>3</v>
      </c>
      <c r="BQ239" t="n">
        <v>3</v>
      </c>
      <c r="BR239" t="n">
        <v>2</v>
      </c>
      <c r="BS239" s="56">
        <f>IF(COUNT(N239:W239)&gt;=8,AVERAGE(N239:W239),"")</f>
        <v/>
      </c>
      <c r="BT239" s="56">
        <f>IF(COUNT(X239:AE239)&gt;=7,AVERAGE(X239:AE239),"")</f>
        <v/>
      </c>
      <c r="BU239" s="56">
        <f>IF(COUNT(AF239:AM239)&gt;=7,AVERAGE(AF239:AM239),"")</f>
        <v/>
      </c>
      <c r="BV239" s="56">
        <f>IF(COUNT(AN239:AV239)&gt;=8,AVERAGE(AN239:AV239),"")</f>
        <v/>
      </c>
      <c r="BW239" s="56">
        <f>IF(COUNT(AW239:BD239)&gt;=7,AVERAGE(AW239:BD239),"")</f>
        <v/>
      </c>
      <c r="BX239" s="56">
        <f>IF(COUNT(BE239:BJ239)&gt;=5,AVERAGE(BE239:BJ239),"")</f>
        <v/>
      </c>
      <c r="BY239" s="56">
        <f>IF(COUNT(BK239:BR239)&gt;=7,AVERAGE(BK239:BR239),"")</f>
        <v/>
      </c>
    </row>
    <row r="240">
      <c r="A240" t="inlineStr">
        <is>
          <t>R209</t>
        </is>
      </c>
      <c r="B240" t="inlineStr">
        <is>
          <t>Yes</t>
        </is>
      </c>
      <c r="C240" t="inlineStr">
        <is>
          <t>Yes</t>
        </is>
      </c>
      <c r="D240" t="inlineStr">
        <is>
          <t>Male</t>
        </is>
      </c>
      <c r="E240" t="inlineStr">
        <is>
          <t>25-34</t>
        </is>
      </c>
      <c r="F240" t="inlineStr">
        <is>
          <t>Postgraduate Diploma</t>
        </is>
      </c>
      <c r="G240" t="inlineStr">
        <is>
          <t>Digital bank/neobank</t>
        </is>
      </c>
      <c r="H240" t="inlineStr">
        <is>
          <t>Digital Banking/Product</t>
        </is>
      </c>
      <c r="I240" t="inlineStr">
        <is>
          <t>16 or more</t>
        </is>
      </c>
      <c r="J240" t="inlineStr">
        <is>
          <t>Yes</t>
        </is>
      </c>
      <c r="K240" t="n">
        <v>3</v>
      </c>
      <c r="L240" t="inlineStr">
        <is>
          <t>Yes</t>
        </is>
      </c>
      <c r="M240" t="inlineStr">
        <is>
          <t>Yes</t>
        </is>
      </c>
      <c r="N240" t="n">
        <v>1</v>
      </c>
      <c r="O240" t="n">
        <v>2</v>
      </c>
      <c r="P240" t="n">
        <v>1</v>
      </c>
      <c r="Q240" t="n">
        <v>1</v>
      </c>
      <c r="R240" t="n">
        <v>1</v>
      </c>
      <c r="S240" t="n">
        <v>1</v>
      </c>
      <c r="T240" t="n">
        <v>2</v>
      </c>
      <c r="U240" t="n">
        <v>2</v>
      </c>
      <c r="V240" t="n">
        <v>2</v>
      </c>
      <c r="W240" t="n">
        <v>2</v>
      </c>
      <c r="X240" t="n">
        <v>5</v>
      </c>
      <c r="Y240" t="n">
        <v>3</v>
      </c>
      <c r="Z240" t="n">
        <v>4</v>
      </c>
      <c r="AA240" t="n">
        <v>3</v>
      </c>
      <c r="AB240" t="n">
        <v>2</v>
      </c>
      <c r="AC240" t="n">
        <v>3</v>
      </c>
      <c r="AD240" t="n">
        <v>4</v>
      </c>
      <c r="AE240" t="n">
        <v>3</v>
      </c>
      <c r="AF240" t="n">
        <v>4</v>
      </c>
      <c r="AG240" t="n">
        <v>4</v>
      </c>
      <c r="AH240" t="n">
        <v>4</v>
      </c>
      <c r="AI240" t="n">
        <v>4</v>
      </c>
      <c r="AJ240" t="n">
        <v>3</v>
      </c>
      <c r="AK240" t="n">
        <v>4</v>
      </c>
      <c r="AL240" t="n">
        <v>4</v>
      </c>
      <c r="AM240" t="n">
        <v>3</v>
      </c>
      <c r="AN240" t="n">
        <v>3</v>
      </c>
      <c r="AO240" t="n">
        <v>2</v>
      </c>
      <c r="AP240" t="n">
        <v>3</v>
      </c>
      <c r="AQ240" t="n">
        <v>1</v>
      </c>
      <c r="AR240" t="n">
        <v>4</v>
      </c>
      <c r="AS240" t="n">
        <v>4</v>
      </c>
      <c r="AT240" t="n">
        <v>4</v>
      </c>
      <c r="AU240" t="n">
        <v>2</v>
      </c>
      <c r="AV240" t="n">
        <v>3</v>
      </c>
      <c r="AW240" t="n">
        <v>4</v>
      </c>
      <c r="AX240" t="n">
        <v>4</v>
      </c>
      <c r="AY240" t="n">
        <v>4</v>
      </c>
      <c r="AZ240" t="n">
        <v>4</v>
      </c>
      <c r="BA240" t="n">
        <v>4</v>
      </c>
      <c r="BB240" t="n">
        <v>4</v>
      </c>
      <c r="BC240" t="n">
        <v>4</v>
      </c>
      <c r="BD240" t="n">
        <v>4</v>
      </c>
      <c r="BE240" t="n">
        <v>5</v>
      </c>
      <c r="BF240" t="n">
        <v>5</v>
      </c>
      <c r="BG240" t="n">
        <v>4</v>
      </c>
      <c r="BH240" t="n">
        <v>4</v>
      </c>
      <c r="BI240" t="n">
        <v>4</v>
      </c>
      <c r="BJ240" t="n">
        <v>3</v>
      </c>
      <c r="BK240" t="n">
        <v>4</v>
      </c>
      <c r="BL240" t="n">
        <v>3</v>
      </c>
      <c r="BM240" t="n">
        <v>3</v>
      </c>
      <c r="BN240" t="n">
        <v>3</v>
      </c>
      <c r="BO240" t="n">
        <v>3</v>
      </c>
      <c r="BP240" t="n">
        <v>2</v>
      </c>
      <c r="BQ240" t="n">
        <v>4</v>
      </c>
      <c r="BR240" t="n">
        <v>2</v>
      </c>
      <c r="BS240" s="56">
        <f>IF(COUNT(N240:W240)&gt;=8,AVERAGE(N240:W240),"")</f>
        <v/>
      </c>
      <c r="BT240" s="56">
        <f>IF(COUNT(X240:AE240)&gt;=7,AVERAGE(X240:AE240),"")</f>
        <v/>
      </c>
      <c r="BU240" s="56">
        <f>IF(COUNT(AF240:AM240)&gt;=7,AVERAGE(AF240:AM240),"")</f>
        <v/>
      </c>
      <c r="BV240" s="56">
        <f>IF(COUNT(AN240:AV240)&gt;=8,AVERAGE(AN240:AV240),"")</f>
        <v/>
      </c>
      <c r="BW240" s="56">
        <f>IF(COUNT(AW240:BD240)&gt;=7,AVERAGE(AW240:BD240),"")</f>
        <v/>
      </c>
      <c r="BX240" s="56">
        <f>IF(COUNT(BE240:BJ240)&gt;=5,AVERAGE(BE240:BJ240),"")</f>
        <v/>
      </c>
      <c r="BY240" s="56">
        <f>IF(COUNT(BK240:BR240)&gt;=7,AVERAGE(BK240:BR240),"")</f>
        <v/>
      </c>
    </row>
    <row r="241">
      <c r="A241" t="inlineStr">
        <is>
          <t>R210</t>
        </is>
      </c>
      <c r="B241" t="inlineStr">
        <is>
          <t>Yes</t>
        </is>
      </c>
      <c r="C241" t="inlineStr">
        <is>
          <t>Yes</t>
        </is>
      </c>
      <c r="D241" t="inlineStr">
        <is>
          <t>Male</t>
        </is>
      </c>
      <c r="E241" t="inlineStr">
        <is>
          <t>35-44</t>
        </is>
      </c>
      <c r="F241" t="inlineStr">
        <is>
          <t>Postgraduate Diploma</t>
        </is>
      </c>
      <c r="G241" t="inlineStr">
        <is>
          <t>Commercial bank</t>
        </is>
      </c>
      <c r="H241" t="inlineStr">
        <is>
          <t>Digital Banking/Product</t>
        </is>
      </c>
      <c r="I241" t="inlineStr">
        <is>
          <t>6-10</t>
        </is>
      </c>
      <c r="J241" t="inlineStr">
        <is>
          <t>Yes</t>
        </is>
      </c>
      <c r="K241" t="n">
        <v>2</v>
      </c>
      <c r="L241" t="inlineStr">
        <is>
          <t>Yes</t>
        </is>
      </c>
      <c r="M241" t="inlineStr">
        <is>
          <t>Yes</t>
        </is>
      </c>
      <c r="N241" t="n">
        <v>2</v>
      </c>
      <c r="O241" t="n">
        <v>1</v>
      </c>
      <c r="P241" t="n">
        <v>3</v>
      </c>
      <c r="Q241" t="n">
        <v>2</v>
      </c>
      <c r="R241" t="n">
        <v>1</v>
      </c>
      <c r="S241" t="n">
        <v>3</v>
      </c>
      <c r="T241" t="n">
        <v>2</v>
      </c>
      <c r="U241" t="n">
        <v>4</v>
      </c>
      <c r="V241" t="n">
        <v>4</v>
      </c>
      <c r="W241" t="n">
        <v>3</v>
      </c>
      <c r="X241" t="n">
        <v>3</v>
      </c>
      <c r="Y241" t="n">
        <v>3</v>
      </c>
      <c r="Z241" t="n">
        <v>3</v>
      </c>
      <c r="AA241" t="n">
        <v>3</v>
      </c>
      <c r="AB241" t="n">
        <v>3</v>
      </c>
      <c r="AC241" t="n">
        <v>2</v>
      </c>
      <c r="AD241" t="n">
        <v>3</v>
      </c>
      <c r="AE241" t="n">
        <v>4</v>
      </c>
      <c r="AF241" t="n">
        <v>2</v>
      </c>
      <c r="AG241" t="n">
        <v>4</v>
      </c>
      <c r="AH241" t="n">
        <v>2</v>
      </c>
      <c r="AI241" t="n">
        <v>3</v>
      </c>
      <c r="AJ241" t="n">
        <v>3</v>
      </c>
      <c r="AK241" t="n">
        <v>3</v>
      </c>
      <c r="AL241" t="n">
        <v>2</v>
      </c>
      <c r="AM241" t="n">
        <v>3</v>
      </c>
      <c r="AN241" t="n">
        <v>3</v>
      </c>
      <c r="AO241" t="n">
        <v>3</v>
      </c>
      <c r="AP241" t="n">
        <v>3</v>
      </c>
      <c r="AQ241" t="n">
        <v>2</v>
      </c>
      <c r="AR241" t="n">
        <v>3</v>
      </c>
      <c r="AS241" t="n">
        <v>2</v>
      </c>
      <c r="AT241" t="n">
        <v>3</v>
      </c>
      <c r="AU241" t="n">
        <v>2</v>
      </c>
      <c r="AV241" t="n">
        <v>3</v>
      </c>
      <c r="AW241" t="n">
        <v>3</v>
      </c>
      <c r="AX241" t="n">
        <v>3</v>
      </c>
      <c r="AY241" t="n">
        <v>3</v>
      </c>
      <c r="AZ241" t="n">
        <v>2</v>
      </c>
      <c r="BA241" t="n">
        <v>4</v>
      </c>
      <c r="BB241" t="n">
        <v>3</v>
      </c>
      <c r="BC241" t="n">
        <v>4</v>
      </c>
      <c r="BD241" t="n">
        <v>4</v>
      </c>
      <c r="BE241" t="n">
        <v>4</v>
      </c>
      <c r="BF241" t="n">
        <v>4</v>
      </c>
      <c r="BG241" t="n">
        <v>3</v>
      </c>
      <c r="BH241" t="n">
        <v>4</v>
      </c>
      <c r="BI241" t="n">
        <v>4</v>
      </c>
      <c r="BJ241" t="n">
        <v>2</v>
      </c>
      <c r="BK241" t="n">
        <v>4</v>
      </c>
      <c r="BL241" t="n">
        <v>4</v>
      </c>
      <c r="BM241" t="n">
        <v>4</v>
      </c>
      <c r="BN241" t="n">
        <v>4</v>
      </c>
      <c r="BO241" t="n">
        <v>4</v>
      </c>
      <c r="BP241" t="n">
        <v>3</v>
      </c>
      <c r="BQ241" t="n">
        <v>4</v>
      </c>
      <c r="BR241" t="n">
        <v>4</v>
      </c>
      <c r="BS241" s="56">
        <f>IF(COUNT(N241:W241)&gt;=8,AVERAGE(N241:W241),"")</f>
        <v/>
      </c>
      <c r="BT241" s="56">
        <f>IF(COUNT(X241:AE241)&gt;=7,AVERAGE(X241:AE241),"")</f>
        <v/>
      </c>
      <c r="BU241" s="56">
        <f>IF(COUNT(AF241:AM241)&gt;=7,AVERAGE(AF241:AM241),"")</f>
        <v/>
      </c>
      <c r="BV241" s="56">
        <f>IF(COUNT(AN241:AV241)&gt;=8,AVERAGE(AN241:AV241),"")</f>
        <v/>
      </c>
      <c r="BW241" s="56">
        <f>IF(COUNT(AW241:BD241)&gt;=7,AVERAGE(AW241:BD241),"")</f>
        <v/>
      </c>
      <c r="BX241" s="56">
        <f>IF(COUNT(BE241:BJ241)&gt;=5,AVERAGE(BE241:BJ241),"")</f>
        <v/>
      </c>
      <c r="BY241" s="56">
        <f>IF(COUNT(BK241:BR241)&gt;=7,AVERAGE(BK241:BR241),"")</f>
        <v/>
      </c>
    </row>
    <row r="242">
      <c r="A242" t="inlineStr">
        <is>
          <t>R211</t>
        </is>
      </c>
      <c r="B242" t="inlineStr">
        <is>
          <t>Yes</t>
        </is>
      </c>
      <c r="C242" t="inlineStr">
        <is>
          <t>Yes</t>
        </is>
      </c>
      <c r="D242" t="inlineStr">
        <is>
          <t>Female</t>
        </is>
      </c>
      <c r="E242" t="inlineStr">
        <is>
          <t>35-44</t>
        </is>
      </c>
      <c r="F242" t="inlineStr">
        <is>
          <t>Diploma/OND/NCE</t>
        </is>
      </c>
      <c r="G242" t="inlineStr">
        <is>
          <t>Merchant bank</t>
        </is>
      </c>
      <c r="H242" t="inlineStr">
        <is>
          <t>Data/Analytics/AI</t>
        </is>
      </c>
      <c r="I242" t="inlineStr">
        <is>
          <t>6-10</t>
        </is>
      </c>
      <c r="J242" t="inlineStr">
        <is>
          <t>Yes</t>
        </is>
      </c>
      <c r="K242" t="n">
        <v>2</v>
      </c>
      <c r="L242" t="inlineStr">
        <is>
          <t>Yes</t>
        </is>
      </c>
      <c r="M242" t="inlineStr">
        <is>
          <t>Yes</t>
        </is>
      </c>
      <c r="N242" t="n">
        <v>3</v>
      </c>
      <c r="O242" t="n">
        <v>4</v>
      </c>
      <c r="P242" t="n">
        <v>5</v>
      </c>
      <c r="Q242" t="n">
        <v>3</v>
      </c>
      <c r="R242" t="n">
        <v>4</v>
      </c>
      <c r="S242" t="n">
        <v>3</v>
      </c>
      <c r="T242" t="n">
        <v>3</v>
      </c>
      <c r="U242" t="n">
        <v>4</v>
      </c>
      <c r="V242" t="n">
        <v>4</v>
      </c>
      <c r="W242" t="n">
        <v>3</v>
      </c>
      <c r="X242" t="n">
        <v>2</v>
      </c>
      <c r="Y242" t="n">
        <v>1</v>
      </c>
      <c r="Z242" t="n">
        <v>2</v>
      </c>
      <c r="AA242" t="n">
        <v>2</v>
      </c>
      <c r="AB242" t="n">
        <v>3</v>
      </c>
      <c r="AC242" t="n">
        <v>2</v>
      </c>
      <c r="AD242" t="n">
        <v>3</v>
      </c>
      <c r="AE242" t="n">
        <v>1</v>
      </c>
      <c r="AF242" t="n">
        <v>3</v>
      </c>
      <c r="AG242" t="n">
        <v>3</v>
      </c>
      <c r="AH242" t="n">
        <v>2</v>
      </c>
      <c r="AI242" t="n">
        <v>4</v>
      </c>
      <c r="AJ242" t="n">
        <v>3</v>
      </c>
      <c r="AK242" t="n">
        <v>3</v>
      </c>
      <c r="AL242" t="n">
        <v>3</v>
      </c>
      <c r="AM242" t="n">
        <v>2</v>
      </c>
      <c r="AN242" t="n">
        <v>3</v>
      </c>
      <c r="AO242" t="n">
        <v>3</v>
      </c>
      <c r="AP242" t="n">
        <v>2</v>
      </c>
      <c r="AQ242" t="n">
        <v>1</v>
      </c>
      <c r="AR242" t="n">
        <v>3</v>
      </c>
      <c r="AS242" t="n">
        <v>1</v>
      </c>
      <c r="AT242" t="n">
        <v>3</v>
      </c>
      <c r="AU242" t="n">
        <v>2</v>
      </c>
      <c r="AV242" t="n">
        <v>3</v>
      </c>
      <c r="AW242" t="n">
        <v>1</v>
      </c>
      <c r="AX242" t="n">
        <v>2</v>
      </c>
      <c r="AY242" t="n">
        <v>1</v>
      </c>
      <c r="AZ242" t="n">
        <v>2</v>
      </c>
      <c r="BA242" t="n">
        <v>2</v>
      </c>
      <c r="BB242" t="n">
        <v>2</v>
      </c>
      <c r="BC242" t="n">
        <v>2</v>
      </c>
      <c r="BD242" t="n">
        <v>1</v>
      </c>
      <c r="BE242" t="n">
        <v>3</v>
      </c>
      <c r="BF242" t="n">
        <v>4</v>
      </c>
      <c r="BG242" t="n">
        <v>3</v>
      </c>
      <c r="BH242" t="n">
        <v>3</v>
      </c>
      <c r="BI242" t="n">
        <v>3</v>
      </c>
      <c r="BJ242" t="n">
        <v>3</v>
      </c>
      <c r="BK242" t="n">
        <v>4</v>
      </c>
      <c r="BL242" t="n">
        <v>3</v>
      </c>
      <c r="BM242" t="n">
        <v>3</v>
      </c>
      <c r="BN242" t="n">
        <v>2</v>
      </c>
      <c r="BO242" t="n">
        <v>3</v>
      </c>
      <c r="BP242" t="n">
        <v>3</v>
      </c>
      <c r="BQ242" t="n">
        <v>3</v>
      </c>
      <c r="BR242" t="n">
        <v>4</v>
      </c>
      <c r="BS242" s="56">
        <f>IF(COUNT(N242:W242)&gt;=8,AVERAGE(N242:W242),"")</f>
        <v/>
      </c>
      <c r="BT242" s="56">
        <f>IF(COUNT(X242:AE242)&gt;=7,AVERAGE(X242:AE242),"")</f>
        <v/>
      </c>
      <c r="BU242" s="56">
        <f>IF(COUNT(AF242:AM242)&gt;=7,AVERAGE(AF242:AM242),"")</f>
        <v/>
      </c>
      <c r="BV242" s="56">
        <f>IF(COUNT(AN242:AV242)&gt;=8,AVERAGE(AN242:AV242),"")</f>
        <v/>
      </c>
      <c r="BW242" s="56">
        <f>IF(COUNT(AW242:BD242)&gt;=7,AVERAGE(AW242:BD242),"")</f>
        <v/>
      </c>
      <c r="BX242" s="56">
        <f>IF(COUNT(BE242:BJ242)&gt;=5,AVERAGE(BE242:BJ242),"")</f>
        <v/>
      </c>
      <c r="BY242" s="56">
        <f>IF(COUNT(BK242:BR242)&gt;=7,AVERAGE(BK242:BR242),"")</f>
        <v/>
      </c>
    </row>
    <row r="243">
      <c r="A243" t="inlineStr">
        <is>
          <t>R212</t>
        </is>
      </c>
      <c r="B243" t="inlineStr">
        <is>
          <t>Yes</t>
        </is>
      </c>
      <c r="C243" t="inlineStr">
        <is>
          <t>Yes</t>
        </is>
      </c>
      <c r="D243" t="inlineStr">
        <is>
          <t>Male</t>
        </is>
      </c>
      <c r="E243" t="inlineStr">
        <is>
          <t>18-24</t>
        </is>
      </c>
      <c r="F243" t="inlineStr">
        <is>
          <t>Master's</t>
        </is>
      </c>
      <c r="G243" t="inlineStr">
        <is>
          <t>Fintech/payment provider</t>
        </is>
      </c>
      <c r="H243" t="inlineStr">
        <is>
          <t>Data/Analytics/AI</t>
        </is>
      </c>
      <c r="I243" t="inlineStr">
        <is>
          <t>6-10</t>
        </is>
      </c>
      <c r="J243" t="inlineStr">
        <is>
          <t>Yes</t>
        </is>
      </c>
      <c r="K243" t="n">
        <v>1</v>
      </c>
      <c r="L243" t="inlineStr">
        <is>
          <t>No</t>
        </is>
      </c>
      <c r="M243" t="inlineStr">
        <is>
          <t>Yes</t>
        </is>
      </c>
      <c r="N243" t="n">
        <v>2</v>
      </c>
      <c r="O243" t="n">
        <v>3</v>
      </c>
      <c r="P243" t="n">
        <v>4</v>
      </c>
      <c r="Q243" t="n">
        <v>3</v>
      </c>
      <c r="R243" t="n">
        <v>3</v>
      </c>
      <c r="S243" t="n">
        <v>2</v>
      </c>
      <c r="T243" t="n">
        <v>3</v>
      </c>
      <c r="U243" t="n">
        <v>2</v>
      </c>
      <c r="V243" t="n">
        <v>3</v>
      </c>
      <c r="W243" t="n">
        <v>3</v>
      </c>
      <c r="X243" t="n">
        <v>3</v>
      </c>
      <c r="Y243" t="n">
        <v>2</v>
      </c>
      <c r="Z243" t="n">
        <v>3</v>
      </c>
      <c r="AA243" t="n">
        <v>2</v>
      </c>
      <c r="AB243" t="n">
        <v>2</v>
      </c>
      <c r="AC243" t="n">
        <v>2</v>
      </c>
      <c r="AE243" t="n">
        <v>2</v>
      </c>
      <c r="AF243" t="n">
        <v>3</v>
      </c>
      <c r="AG243" t="n">
        <v>2</v>
      </c>
      <c r="AH243" t="n">
        <v>3</v>
      </c>
      <c r="AI243" t="n">
        <v>3</v>
      </c>
      <c r="AJ243" t="n">
        <v>3</v>
      </c>
      <c r="AK243" t="n">
        <v>2</v>
      </c>
      <c r="AL243" t="n">
        <v>3</v>
      </c>
      <c r="AM243" t="n">
        <v>3</v>
      </c>
      <c r="AN243" t="n">
        <v>5</v>
      </c>
      <c r="AO243" t="n">
        <v>4</v>
      </c>
      <c r="AP243" t="n">
        <v>5</v>
      </c>
      <c r="AQ243" t="n">
        <v>3</v>
      </c>
      <c r="AR243" t="n">
        <v>5</v>
      </c>
      <c r="AS243" t="n">
        <v>5</v>
      </c>
      <c r="AT243" t="n">
        <v>5</v>
      </c>
      <c r="AU243" t="n">
        <v>4</v>
      </c>
      <c r="AV243" t="n">
        <v>4</v>
      </c>
      <c r="AW243" t="n">
        <v>4</v>
      </c>
      <c r="AX243" t="n">
        <v>2</v>
      </c>
      <c r="AY243" t="n">
        <v>4</v>
      </c>
      <c r="AZ243" t="n">
        <v>2</v>
      </c>
      <c r="BA243" t="n">
        <v>3</v>
      </c>
      <c r="BB243" t="n">
        <v>2</v>
      </c>
      <c r="BC243" t="n">
        <v>3</v>
      </c>
      <c r="BD243" t="n">
        <v>3</v>
      </c>
      <c r="BE243" t="n">
        <v>3</v>
      </c>
      <c r="BF243" t="n">
        <v>3</v>
      </c>
      <c r="BG243" t="n">
        <v>3</v>
      </c>
      <c r="BH243" t="n">
        <v>3</v>
      </c>
      <c r="BI243" t="n">
        <v>3</v>
      </c>
      <c r="BJ243" t="n">
        <v>2</v>
      </c>
      <c r="BK243" t="n">
        <v>4</v>
      </c>
      <c r="BL243" t="n">
        <v>3</v>
      </c>
      <c r="BM243" t="n">
        <v>4</v>
      </c>
      <c r="BN243" t="n">
        <v>3</v>
      </c>
      <c r="BO243" t="n">
        <v>4</v>
      </c>
      <c r="BP243" t="n">
        <v>4</v>
      </c>
      <c r="BQ243" t="n">
        <v>4</v>
      </c>
      <c r="BR243" t="n">
        <v>3</v>
      </c>
      <c r="BS243" s="56">
        <f>IF(COUNT(N243:W243)&gt;=8,AVERAGE(N243:W243),"")</f>
        <v/>
      </c>
      <c r="BT243" s="56">
        <f>IF(COUNT(X243:AE243)&gt;=7,AVERAGE(X243:AE243),"")</f>
        <v/>
      </c>
      <c r="BU243" s="56">
        <f>IF(COUNT(AF243:AM243)&gt;=7,AVERAGE(AF243:AM243),"")</f>
        <v/>
      </c>
      <c r="BV243" s="56">
        <f>IF(COUNT(AN243:AV243)&gt;=8,AVERAGE(AN243:AV243),"")</f>
        <v/>
      </c>
      <c r="BW243" s="56">
        <f>IF(COUNT(AW243:BD243)&gt;=7,AVERAGE(AW243:BD243),"")</f>
        <v/>
      </c>
      <c r="BX243" s="56">
        <f>IF(COUNT(BE243:BJ243)&gt;=5,AVERAGE(BE243:BJ243),"")</f>
        <v/>
      </c>
      <c r="BY243" s="56">
        <f>IF(COUNT(BK243:BR243)&gt;=7,AVERAGE(BK243:BR243),"")</f>
        <v/>
      </c>
    </row>
    <row r="244">
      <c r="A244" t="inlineStr">
        <is>
          <t>R213</t>
        </is>
      </c>
      <c r="B244" t="inlineStr">
        <is>
          <t>Yes</t>
        </is>
      </c>
      <c r="C244" t="inlineStr">
        <is>
          <t>Yes</t>
        </is>
      </c>
      <c r="D244" t="inlineStr">
        <is>
          <t>Female</t>
        </is>
      </c>
      <c r="E244" t="inlineStr">
        <is>
          <t>25-34</t>
        </is>
      </c>
      <c r="F244" t="inlineStr">
        <is>
          <t>Bachelor/HND</t>
        </is>
      </c>
      <c r="G244" t="inlineStr">
        <is>
          <t>Commercial bank</t>
        </is>
      </c>
      <c r="H244" t="inlineStr">
        <is>
          <t>Risk/Compliance</t>
        </is>
      </c>
      <c r="I244" t="inlineStr">
        <is>
          <t>6-10</t>
        </is>
      </c>
      <c r="J244" t="inlineStr">
        <is>
          <t>Yes</t>
        </is>
      </c>
      <c r="K244" t="n">
        <v>4</v>
      </c>
      <c r="L244" t="inlineStr">
        <is>
          <t>No</t>
        </is>
      </c>
      <c r="M244" t="inlineStr">
        <is>
          <t>Yes</t>
        </is>
      </c>
      <c r="N244" t="n">
        <v>3</v>
      </c>
      <c r="O244" t="n">
        <v>2</v>
      </c>
      <c r="P244" t="n">
        <v>3</v>
      </c>
      <c r="Q244" t="n">
        <v>2</v>
      </c>
      <c r="R244" t="n">
        <v>2</v>
      </c>
      <c r="S244" t="n">
        <v>2</v>
      </c>
      <c r="T244" t="n">
        <v>2</v>
      </c>
      <c r="U244" t="n">
        <v>4</v>
      </c>
      <c r="V244" t="n">
        <v>3</v>
      </c>
      <c r="W244" t="n">
        <v>2</v>
      </c>
      <c r="X244" t="n">
        <v>4</v>
      </c>
      <c r="Y244" t="n">
        <v>3</v>
      </c>
      <c r="Z244" t="n">
        <v>4</v>
      </c>
      <c r="AA244" t="n">
        <v>3</v>
      </c>
      <c r="AB244" t="n">
        <v>4</v>
      </c>
      <c r="AC244" t="n">
        <v>4</v>
      </c>
      <c r="AD244" t="n">
        <v>5</v>
      </c>
      <c r="AE244" t="n">
        <v>3</v>
      </c>
      <c r="AF244" t="n">
        <v>4</v>
      </c>
      <c r="AG244" t="n">
        <v>4</v>
      </c>
      <c r="AH244" t="n">
        <v>5</v>
      </c>
      <c r="AI244" t="n">
        <v>4</v>
      </c>
      <c r="AJ244" t="n">
        <v>4</v>
      </c>
      <c r="AK244" t="n">
        <v>4</v>
      </c>
      <c r="AL244" t="n">
        <v>4</v>
      </c>
      <c r="AM244" t="n">
        <v>4</v>
      </c>
      <c r="AN244" t="n">
        <v>4</v>
      </c>
      <c r="AO244" t="n">
        <v>2</v>
      </c>
      <c r="AP244" t="n">
        <v>3</v>
      </c>
      <c r="AQ244" t="n">
        <v>3</v>
      </c>
      <c r="AR244" t="n">
        <v>3</v>
      </c>
      <c r="AS244" t="n">
        <v>3</v>
      </c>
      <c r="AT244" t="n">
        <v>2</v>
      </c>
      <c r="AU244" t="n">
        <v>2</v>
      </c>
      <c r="AV244" t="n">
        <v>3</v>
      </c>
      <c r="AW244" t="n">
        <v>5</v>
      </c>
      <c r="AX244" t="n">
        <v>4</v>
      </c>
      <c r="AY244" t="n">
        <v>4</v>
      </c>
      <c r="BA244" t="n">
        <v>3</v>
      </c>
      <c r="BB244" t="n">
        <v>3</v>
      </c>
      <c r="BC244" t="n">
        <v>4</v>
      </c>
      <c r="BD244" t="n">
        <v>3</v>
      </c>
      <c r="BE244" t="n">
        <v>3</v>
      </c>
      <c r="BF244" t="n">
        <v>4</v>
      </c>
      <c r="BG244" t="n">
        <v>3</v>
      </c>
      <c r="BH244" t="n">
        <v>4</v>
      </c>
      <c r="BI244" t="n">
        <v>3</v>
      </c>
      <c r="BJ244" t="n">
        <v>2</v>
      </c>
      <c r="BK244" t="n">
        <v>1</v>
      </c>
      <c r="BL244" t="n">
        <v>2</v>
      </c>
      <c r="BM244" t="n">
        <v>3</v>
      </c>
      <c r="BN244" t="n">
        <v>1</v>
      </c>
      <c r="BO244" t="n">
        <v>2</v>
      </c>
      <c r="BP244" t="n">
        <v>2</v>
      </c>
      <c r="BQ244" t="n">
        <v>1</v>
      </c>
      <c r="BR244" t="n">
        <v>1</v>
      </c>
      <c r="BS244" s="56">
        <f>IF(COUNT(N244:W244)&gt;=8,AVERAGE(N244:W244),"")</f>
        <v/>
      </c>
      <c r="BT244" s="56">
        <f>IF(COUNT(X244:AE244)&gt;=7,AVERAGE(X244:AE244),"")</f>
        <v/>
      </c>
      <c r="BU244" s="56">
        <f>IF(COUNT(AF244:AM244)&gt;=7,AVERAGE(AF244:AM244),"")</f>
        <v/>
      </c>
      <c r="BV244" s="56">
        <f>IF(COUNT(AN244:AV244)&gt;=8,AVERAGE(AN244:AV244),"")</f>
        <v/>
      </c>
      <c r="BW244" s="56">
        <f>IF(COUNT(AW244:BD244)&gt;=7,AVERAGE(AW244:BD244),"")</f>
        <v/>
      </c>
      <c r="BX244" s="56">
        <f>IF(COUNT(BE244:BJ244)&gt;=5,AVERAGE(BE244:BJ244),"")</f>
        <v/>
      </c>
      <c r="BY244" s="56">
        <f>IF(COUNT(BK244:BR244)&gt;=7,AVERAGE(BK244:BR244),"")</f>
        <v/>
      </c>
    </row>
    <row r="245">
      <c r="A245" t="inlineStr">
        <is>
          <t>R214</t>
        </is>
      </c>
      <c r="B245" t="inlineStr">
        <is>
          <t>Yes</t>
        </is>
      </c>
      <c r="C245" t="inlineStr">
        <is>
          <t>Yes</t>
        </is>
      </c>
      <c r="D245" t="inlineStr">
        <is>
          <t>Male</t>
        </is>
      </c>
      <c r="E245" t="inlineStr">
        <is>
          <t>25-34</t>
        </is>
      </c>
      <c r="F245" t="inlineStr">
        <is>
          <t>Postgraduate Diploma</t>
        </is>
      </c>
      <c r="G245" t="inlineStr">
        <is>
          <t>Microfinance bank</t>
        </is>
      </c>
      <c r="H245" t="inlineStr">
        <is>
          <t>IT/Technology</t>
        </is>
      </c>
      <c r="I245" t="inlineStr">
        <is>
          <t>11-15</t>
        </is>
      </c>
      <c r="J245" t="inlineStr">
        <is>
          <t>Yes</t>
        </is>
      </c>
      <c r="K245" t="n">
        <v>1</v>
      </c>
      <c r="L245" t="inlineStr">
        <is>
          <t>No</t>
        </is>
      </c>
      <c r="M245" t="inlineStr">
        <is>
          <t>Yes</t>
        </is>
      </c>
      <c r="N245" t="n">
        <v>4</v>
      </c>
      <c r="P245" t="n">
        <v>3</v>
      </c>
      <c r="Q245" t="n">
        <v>2</v>
      </c>
      <c r="R245" t="n">
        <v>3</v>
      </c>
      <c r="S245" t="n">
        <v>4</v>
      </c>
      <c r="T245" t="n">
        <v>2</v>
      </c>
      <c r="U245" t="n">
        <v>2</v>
      </c>
      <c r="V245" t="n">
        <v>5</v>
      </c>
      <c r="W245" t="n">
        <v>2</v>
      </c>
      <c r="X245" t="n">
        <v>3</v>
      </c>
      <c r="Y245" t="n">
        <v>3</v>
      </c>
      <c r="Z245" t="n">
        <v>3</v>
      </c>
      <c r="AA245" t="n">
        <v>2</v>
      </c>
      <c r="AB245" t="n">
        <v>3</v>
      </c>
      <c r="AC245" t="n">
        <v>4</v>
      </c>
      <c r="AD245" t="n">
        <v>3</v>
      </c>
      <c r="AE245" t="n">
        <v>3</v>
      </c>
      <c r="AF245" t="n">
        <v>4</v>
      </c>
      <c r="AG245" t="n">
        <v>4</v>
      </c>
      <c r="AH245" t="n">
        <v>4</v>
      </c>
      <c r="AI245" t="n">
        <v>3</v>
      </c>
      <c r="AK245" t="n">
        <v>5</v>
      </c>
      <c r="AL245" t="n">
        <v>3</v>
      </c>
      <c r="AM245" t="n">
        <v>4</v>
      </c>
      <c r="AN245" t="n">
        <v>4</v>
      </c>
      <c r="AO245" t="n">
        <v>3</v>
      </c>
      <c r="AP245" t="n">
        <v>2</v>
      </c>
      <c r="AQ245" t="n">
        <v>3</v>
      </c>
      <c r="AS245" t="n">
        <v>4</v>
      </c>
      <c r="AT245" t="n">
        <v>3</v>
      </c>
      <c r="AU245" t="n">
        <v>4</v>
      </c>
      <c r="AV245" t="n">
        <v>3</v>
      </c>
      <c r="AW245" t="n">
        <v>3</v>
      </c>
      <c r="AX245" t="n">
        <v>3</v>
      </c>
      <c r="AY245" t="n">
        <v>2</v>
      </c>
      <c r="AZ245" t="n">
        <v>3</v>
      </c>
      <c r="BA245" t="n">
        <v>4</v>
      </c>
      <c r="BB245" t="n">
        <v>2</v>
      </c>
      <c r="BC245" t="n">
        <v>3</v>
      </c>
      <c r="BD245" t="n">
        <v>3</v>
      </c>
      <c r="BE245" t="n">
        <v>1</v>
      </c>
      <c r="BF245" t="n">
        <v>3</v>
      </c>
      <c r="BG245" t="n">
        <v>2</v>
      </c>
      <c r="BH245" t="n">
        <v>2</v>
      </c>
      <c r="BI245" t="n">
        <v>1</v>
      </c>
      <c r="BJ245" t="n">
        <v>3</v>
      </c>
      <c r="BK245" t="n">
        <v>4</v>
      </c>
      <c r="BL245" t="n">
        <v>3</v>
      </c>
      <c r="BM245" t="n">
        <v>4</v>
      </c>
      <c r="BN245" t="n">
        <v>4</v>
      </c>
      <c r="BO245" t="n">
        <v>5</v>
      </c>
      <c r="BP245" t="n">
        <v>3</v>
      </c>
      <c r="BQ245" t="n">
        <v>4</v>
      </c>
      <c r="BR245" t="n">
        <v>4</v>
      </c>
      <c r="BS245" s="56">
        <f>IF(COUNT(N245:W245)&gt;=8,AVERAGE(N245:W245),"")</f>
        <v/>
      </c>
      <c r="BT245" s="56">
        <f>IF(COUNT(X245:AE245)&gt;=7,AVERAGE(X245:AE245),"")</f>
        <v/>
      </c>
      <c r="BU245" s="56">
        <f>IF(COUNT(AF245:AM245)&gt;=7,AVERAGE(AF245:AM245),"")</f>
        <v/>
      </c>
      <c r="BV245" s="56">
        <f>IF(COUNT(AN245:AV245)&gt;=8,AVERAGE(AN245:AV245),"")</f>
        <v/>
      </c>
      <c r="BW245" s="56">
        <f>IF(COUNT(AW245:BD245)&gt;=7,AVERAGE(AW245:BD245),"")</f>
        <v/>
      </c>
      <c r="BX245" s="56">
        <f>IF(COUNT(BE245:BJ245)&gt;=5,AVERAGE(BE245:BJ245),"")</f>
        <v/>
      </c>
      <c r="BY245" s="56">
        <f>IF(COUNT(BK245:BR245)&gt;=7,AVERAGE(BK245:BR245),"")</f>
        <v/>
      </c>
    </row>
    <row r="246">
      <c r="A246" t="inlineStr">
        <is>
          <t>R215</t>
        </is>
      </c>
      <c r="B246" t="inlineStr">
        <is>
          <t>Yes</t>
        </is>
      </c>
      <c r="C246" t="inlineStr">
        <is>
          <t>Yes</t>
        </is>
      </c>
      <c r="D246" t="inlineStr">
        <is>
          <t>Female</t>
        </is>
      </c>
      <c r="E246" t="inlineStr">
        <is>
          <t>35-44</t>
        </is>
      </c>
      <c r="F246" t="inlineStr">
        <is>
          <t>Master's</t>
        </is>
      </c>
      <c r="G246" t="inlineStr">
        <is>
          <t>Digital bank/neobank</t>
        </is>
      </c>
      <c r="H246" t="inlineStr">
        <is>
          <t>Other</t>
        </is>
      </c>
      <c r="I246" t="inlineStr">
        <is>
          <t>16 or more</t>
        </is>
      </c>
      <c r="J246" t="inlineStr">
        <is>
          <t>Yes</t>
        </is>
      </c>
      <c r="K246" t="n">
        <v>2</v>
      </c>
      <c r="L246" t="inlineStr">
        <is>
          <t>Yes</t>
        </is>
      </c>
      <c r="M246" t="inlineStr">
        <is>
          <t>Yes</t>
        </is>
      </c>
      <c r="N246" t="n">
        <v>3</v>
      </c>
      <c r="P246" t="n">
        <v>4</v>
      </c>
      <c r="Q246" t="n">
        <v>3</v>
      </c>
      <c r="R246" t="n">
        <v>3</v>
      </c>
      <c r="S246" t="n">
        <v>4</v>
      </c>
      <c r="T246" t="n">
        <v>3</v>
      </c>
      <c r="U246" t="n">
        <v>3</v>
      </c>
      <c r="V246" t="n">
        <v>4</v>
      </c>
      <c r="W246" t="n">
        <v>4</v>
      </c>
      <c r="X246" t="n">
        <v>2</v>
      </c>
      <c r="Z246" t="n">
        <v>2</v>
      </c>
      <c r="AA246" t="n">
        <v>2</v>
      </c>
      <c r="AB246" t="n">
        <v>1</v>
      </c>
      <c r="AC246" t="n">
        <v>1</v>
      </c>
      <c r="AD246" t="n">
        <v>3</v>
      </c>
      <c r="AE246" t="n">
        <v>1</v>
      </c>
      <c r="AF246" t="n">
        <v>4</v>
      </c>
      <c r="AG246" t="n">
        <v>4</v>
      </c>
      <c r="AH246" t="n">
        <v>2</v>
      </c>
      <c r="AI246" t="n">
        <v>4</v>
      </c>
      <c r="AJ246" t="n">
        <v>4</v>
      </c>
      <c r="AK246" t="n">
        <v>4</v>
      </c>
      <c r="AL246" t="n">
        <v>3</v>
      </c>
      <c r="AM246" t="n">
        <v>3</v>
      </c>
      <c r="AN246" t="n">
        <v>2</v>
      </c>
      <c r="AO246" t="n">
        <v>2</v>
      </c>
      <c r="AP246" t="n">
        <v>3</v>
      </c>
      <c r="AQ246" t="n">
        <v>1</v>
      </c>
      <c r="AR246" t="n">
        <v>3</v>
      </c>
      <c r="AS246" t="n">
        <v>2</v>
      </c>
      <c r="AT246" t="n">
        <v>2</v>
      </c>
      <c r="AU246" t="n">
        <v>1</v>
      </c>
      <c r="AV246" t="n">
        <v>2</v>
      </c>
      <c r="AW246" t="n">
        <v>3</v>
      </c>
      <c r="AX246" t="n">
        <v>2</v>
      </c>
      <c r="AY246" t="n">
        <v>2</v>
      </c>
      <c r="AZ246" t="n">
        <v>3</v>
      </c>
      <c r="BA246" t="n">
        <v>4</v>
      </c>
      <c r="BB246" t="n">
        <v>2</v>
      </c>
      <c r="BC246" t="n">
        <v>3</v>
      </c>
      <c r="BE246" t="n">
        <v>3</v>
      </c>
      <c r="BF246" t="n">
        <v>3</v>
      </c>
      <c r="BG246" t="n">
        <v>2</v>
      </c>
      <c r="BH246" t="n">
        <v>3</v>
      </c>
      <c r="BI246" t="n">
        <v>3</v>
      </c>
      <c r="BJ246" t="n">
        <v>1</v>
      </c>
      <c r="BK246" t="n">
        <v>2</v>
      </c>
      <c r="BL246" t="n">
        <v>2</v>
      </c>
      <c r="BM246" t="n">
        <v>3</v>
      </c>
      <c r="BN246" t="n">
        <v>3</v>
      </c>
      <c r="BP246" t="n">
        <v>3</v>
      </c>
      <c r="BQ246" t="n">
        <v>3</v>
      </c>
      <c r="BR246" t="n">
        <v>3</v>
      </c>
      <c r="BS246" s="56">
        <f>IF(COUNT(N246:W246)&gt;=8,AVERAGE(N246:W246),"")</f>
        <v/>
      </c>
      <c r="BT246" s="56">
        <f>IF(COUNT(X246:AE246)&gt;=7,AVERAGE(X246:AE246),"")</f>
        <v/>
      </c>
      <c r="BU246" s="56">
        <f>IF(COUNT(AF246:AM246)&gt;=7,AVERAGE(AF246:AM246),"")</f>
        <v/>
      </c>
      <c r="BV246" s="56">
        <f>IF(COUNT(AN246:AV246)&gt;=8,AVERAGE(AN246:AV246),"")</f>
        <v/>
      </c>
      <c r="BW246" s="56">
        <f>IF(COUNT(AW246:BD246)&gt;=7,AVERAGE(AW246:BD246),"")</f>
        <v/>
      </c>
      <c r="BX246" s="56">
        <f>IF(COUNT(BE246:BJ246)&gt;=5,AVERAGE(BE246:BJ246),"")</f>
        <v/>
      </c>
      <c r="BY246" s="56">
        <f>IF(COUNT(BK246:BR246)&gt;=7,AVERAGE(BK246:BR246),"")</f>
        <v/>
      </c>
    </row>
    <row r="247">
      <c r="A247" t="inlineStr">
        <is>
          <t>R216</t>
        </is>
      </c>
      <c r="B247" t="inlineStr">
        <is>
          <t>Yes</t>
        </is>
      </c>
      <c r="C247" t="inlineStr">
        <is>
          <t>Yes</t>
        </is>
      </c>
      <c r="D247" t="inlineStr">
        <is>
          <t>Female</t>
        </is>
      </c>
      <c r="E247" t="inlineStr">
        <is>
          <t>25-34</t>
        </is>
      </c>
      <c r="F247" t="inlineStr">
        <is>
          <t>Postgraduate Diploma</t>
        </is>
      </c>
      <c r="G247" t="inlineStr">
        <is>
          <t>Commercial bank</t>
        </is>
      </c>
      <c r="H247" t="inlineStr">
        <is>
          <t>Management/Strategy</t>
        </is>
      </c>
      <c r="I247" t="inlineStr">
        <is>
          <t>6-10</t>
        </is>
      </c>
      <c r="J247" t="inlineStr">
        <is>
          <t>Yes</t>
        </is>
      </c>
      <c r="K247" t="n">
        <v>2</v>
      </c>
      <c r="L247" t="inlineStr">
        <is>
          <t>Yes</t>
        </is>
      </c>
      <c r="M247" t="inlineStr">
        <is>
          <t>Yes</t>
        </is>
      </c>
      <c r="N247" t="n">
        <v>4</v>
      </c>
      <c r="O247" t="n">
        <v>5</v>
      </c>
      <c r="P247" t="n">
        <v>5</v>
      </c>
      <c r="Q247" t="n">
        <v>4</v>
      </c>
      <c r="R247" t="n">
        <v>4</v>
      </c>
      <c r="S247" t="n">
        <v>4</v>
      </c>
      <c r="T247" t="n">
        <v>3</v>
      </c>
      <c r="U247" t="n">
        <v>4</v>
      </c>
      <c r="V247" t="n">
        <v>5</v>
      </c>
      <c r="W247" t="n">
        <v>3</v>
      </c>
      <c r="X247" t="n">
        <v>1</v>
      </c>
      <c r="Y247" t="n">
        <v>2</v>
      </c>
      <c r="AA247" t="n">
        <v>1</v>
      </c>
      <c r="AB247" t="n">
        <v>2</v>
      </c>
      <c r="AC247" t="n">
        <v>2</v>
      </c>
      <c r="AD247" t="n">
        <v>2</v>
      </c>
      <c r="AE247" t="n">
        <v>3</v>
      </c>
      <c r="AG247" t="n">
        <v>2</v>
      </c>
      <c r="AH247" t="n">
        <v>1</v>
      </c>
      <c r="AI247" t="n">
        <v>3</v>
      </c>
      <c r="AJ247" t="n">
        <v>2</v>
      </c>
      <c r="AK247" t="n">
        <v>3</v>
      </c>
      <c r="AL247" t="n">
        <v>3</v>
      </c>
      <c r="AM247" t="n">
        <v>1</v>
      </c>
      <c r="AN247" t="n">
        <v>3</v>
      </c>
      <c r="AO247" t="n">
        <v>3</v>
      </c>
      <c r="AP247" t="n">
        <v>3</v>
      </c>
      <c r="AQ247" t="n">
        <v>3</v>
      </c>
      <c r="AR247" t="n">
        <v>4</v>
      </c>
      <c r="AS247" t="n">
        <v>4</v>
      </c>
      <c r="AT247" t="n">
        <v>4</v>
      </c>
      <c r="AU247" t="n">
        <v>3</v>
      </c>
      <c r="AV247" t="n">
        <v>2</v>
      </c>
      <c r="AW247" t="n">
        <v>4</v>
      </c>
      <c r="AX247" t="n">
        <v>3</v>
      </c>
      <c r="AY247" t="n">
        <v>3</v>
      </c>
      <c r="AZ247" t="n">
        <v>3</v>
      </c>
      <c r="BA247" t="n">
        <v>4</v>
      </c>
      <c r="BB247" t="n">
        <v>3</v>
      </c>
      <c r="BC247" t="n">
        <v>2</v>
      </c>
      <c r="BD247" t="n">
        <v>3</v>
      </c>
      <c r="BE247" t="n">
        <v>2</v>
      </c>
      <c r="BF247" t="n">
        <v>5</v>
      </c>
      <c r="BG247" t="n">
        <v>4</v>
      </c>
      <c r="BH247" t="n">
        <v>5</v>
      </c>
      <c r="BI247" t="n">
        <v>4</v>
      </c>
      <c r="BJ247" t="n">
        <v>4</v>
      </c>
      <c r="BK247" t="n">
        <v>2</v>
      </c>
      <c r="BL247" t="n">
        <v>3</v>
      </c>
      <c r="BM247" t="n">
        <v>3</v>
      </c>
      <c r="BN247" t="n">
        <v>3</v>
      </c>
      <c r="BO247" t="n">
        <v>4</v>
      </c>
      <c r="BP247" t="n">
        <v>3</v>
      </c>
      <c r="BQ247" t="n">
        <v>4</v>
      </c>
      <c r="BR247" t="n">
        <v>3</v>
      </c>
      <c r="BS247" s="56">
        <f>IF(COUNT(N247:W247)&gt;=8,AVERAGE(N247:W247),"")</f>
        <v/>
      </c>
      <c r="BT247" s="56">
        <f>IF(COUNT(X247:AE247)&gt;=7,AVERAGE(X247:AE247),"")</f>
        <v/>
      </c>
      <c r="BU247" s="56">
        <f>IF(COUNT(AF247:AM247)&gt;=7,AVERAGE(AF247:AM247),"")</f>
        <v/>
      </c>
      <c r="BV247" s="56">
        <f>IF(COUNT(AN247:AV247)&gt;=8,AVERAGE(AN247:AV247),"")</f>
        <v/>
      </c>
      <c r="BW247" s="56">
        <f>IF(COUNT(AW247:BD247)&gt;=7,AVERAGE(AW247:BD247),"")</f>
        <v/>
      </c>
      <c r="BX247" s="56">
        <f>IF(COUNT(BE247:BJ247)&gt;=5,AVERAGE(BE247:BJ247),"")</f>
        <v/>
      </c>
      <c r="BY247" s="56">
        <f>IF(COUNT(BK247:BR247)&gt;=7,AVERAGE(BK247:BR247),"")</f>
        <v/>
      </c>
    </row>
    <row r="248">
      <c r="A248" t="inlineStr">
        <is>
          <t>R217</t>
        </is>
      </c>
      <c r="B248" t="inlineStr">
        <is>
          <t>Yes</t>
        </is>
      </c>
      <c r="C248" t="inlineStr">
        <is>
          <t>Yes</t>
        </is>
      </c>
      <c r="D248" t="inlineStr">
        <is>
          <t>Male</t>
        </is>
      </c>
      <c r="E248" t="inlineStr">
        <is>
          <t>25-34</t>
        </is>
      </c>
      <c r="F248" t="inlineStr">
        <is>
          <t>Bachelor/HND</t>
        </is>
      </c>
      <c r="G248" t="inlineStr">
        <is>
          <t>Commercial bank</t>
        </is>
      </c>
      <c r="H248" t="inlineStr">
        <is>
          <t>Digital Banking/Product</t>
        </is>
      </c>
      <c r="I248" t="inlineStr">
        <is>
          <t>2-5</t>
        </is>
      </c>
      <c r="J248" t="inlineStr">
        <is>
          <t>Yes</t>
        </is>
      </c>
      <c r="K248" t="n">
        <v>3</v>
      </c>
      <c r="L248" t="inlineStr">
        <is>
          <t>Yes</t>
        </is>
      </c>
      <c r="M248" t="inlineStr">
        <is>
          <t>Yes</t>
        </is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3</v>
      </c>
      <c r="U248" t="n">
        <v>5</v>
      </c>
      <c r="V248" t="n">
        <v>4</v>
      </c>
      <c r="W248" t="n">
        <v>3</v>
      </c>
      <c r="X248" t="n">
        <v>5</v>
      </c>
      <c r="Y248" t="n">
        <v>3</v>
      </c>
      <c r="Z248" t="n">
        <v>4</v>
      </c>
      <c r="AA248" t="n">
        <v>4</v>
      </c>
      <c r="AB248" t="n">
        <v>4</v>
      </c>
      <c r="AC248" t="n">
        <v>3</v>
      </c>
      <c r="AD248" t="n">
        <v>4</v>
      </c>
      <c r="AE248" t="n">
        <v>3</v>
      </c>
      <c r="AF248" t="n">
        <v>2</v>
      </c>
      <c r="AG248" t="n">
        <v>3</v>
      </c>
      <c r="AH248" t="n">
        <v>3</v>
      </c>
      <c r="AI248" t="n">
        <v>3</v>
      </c>
      <c r="AJ248" t="n">
        <v>3</v>
      </c>
      <c r="AK248" t="n">
        <v>4</v>
      </c>
      <c r="AL248" t="n">
        <v>3</v>
      </c>
      <c r="AM248" t="n">
        <v>2</v>
      </c>
      <c r="AN248" t="n">
        <v>3</v>
      </c>
      <c r="AO248" t="n">
        <v>3</v>
      </c>
      <c r="AP248" t="n">
        <v>3</v>
      </c>
      <c r="AQ248" t="n">
        <v>3</v>
      </c>
      <c r="AR248" t="n">
        <v>4</v>
      </c>
      <c r="AS248" t="n">
        <v>3</v>
      </c>
      <c r="AT248" t="n">
        <v>3</v>
      </c>
      <c r="AU248" t="n">
        <v>2</v>
      </c>
      <c r="AV248" t="n">
        <v>3</v>
      </c>
      <c r="AW248" t="n">
        <v>2</v>
      </c>
      <c r="AX248" t="n">
        <v>2</v>
      </c>
      <c r="AY248" t="n">
        <v>3</v>
      </c>
      <c r="AZ248" t="n">
        <v>3</v>
      </c>
      <c r="BA248" t="n">
        <v>3</v>
      </c>
      <c r="BB248" t="n">
        <v>2</v>
      </c>
      <c r="BC248" t="n">
        <v>3</v>
      </c>
      <c r="BD248" t="n">
        <v>1</v>
      </c>
      <c r="BE248" t="n">
        <v>3</v>
      </c>
      <c r="BF248" t="n">
        <v>3</v>
      </c>
      <c r="BG248" t="n">
        <v>3</v>
      </c>
      <c r="BH248" t="n">
        <v>4</v>
      </c>
      <c r="BI248" t="n">
        <v>3</v>
      </c>
      <c r="BK248" t="n">
        <v>3</v>
      </c>
      <c r="BL248" t="n">
        <v>2</v>
      </c>
      <c r="BM248" t="n">
        <v>3</v>
      </c>
      <c r="BN248" t="n">
        <v>2</v>
      </c>
      <c r="BO248" t="n">
        <v>3</v>
      </c>
      <c r="BQ248" t="n">
        <v>3</v>
      </c>
      <c r="BR248" t="n">
        <v>3</v>
      </c>
      <c r="BS248" s="56">
        <f>IF(COUNT(N248:W248)&gt;=8,AVERAGE(N248:W248),"")</f>
        <v/>
      </c>
      <c r="BT248" s="56">
        <f>IF(COUNT(X248:AE248)&gt;=7,AVERAGE(X248:AE248),"")</f>
        <v/>
      </c>
      <c r="BU248" s="56">
        <f>IF(COUNT(AF248:AM248)&gt;=7,AVERAGE(AF248:AM248),"")</f>
        <v/>
      </c>
      <c r="BV248" s="56">
        <f>IF(COUNT(AN248:AV248)&gt;=8,AVERAGE(AN248:AV248),"")</f>
        <v/>
      </c>
      <c r="BW248" s="56">
        <f>IF(COUNT(AW248:BD248)&gt;=7,AVERAGE(AW248:BD248),"")</f>
        <v/>
      </c>
      <c r="BX248" s="56">
        <f>IF(COUNT(BE248:BJ248)&gt;=5,AVERAGE(BE248:BJ248),"")</f>
        <v/>
      </c>
      <c r="BY248" s="56">
        <f>IF(COUNT(BK248:BR248)&gt;=7,AVERAGE(BK248:BR248),"")</f>
        <v/>
      </c>
    </row>
    <row r="249">
      <c r="A249" t="inlineStr">
        <is>
          <t>R218</t>
        </is>
      </c>
      <c r="B249" t="inlineStr">
        <is>
          <t>Yes</t>
        </is>
      </c>
      <c r="C249" t="inlineStr">
        <is>
          <t>Yes</t>
        </is>
      </c>
      <c r="D249" t="inlineStr">
        <is>
          <t>Male</t>
        </is>
      </c>
      <c r="E249" t="inlineStr">
        <is>
          <t>25-34</t>
        </is>
      </c>
      <c r="F249" t="inlineStr">
        <is>
          <t>Bachelor/HND</t>
        </is>
      </c>
      <c r="G249" t="inlineStr">
        <is>
          <t>Commercial bank</t>
        </is>
      </c>
      <c r="H249" t="inlineStr">
        <is>
          <t>IT/Technology</t>
        </is>
      </c>
      <c r="I249" t="inlineStr">
        <is>
          <t>Less than 2</t>
        </is>
      </c>
      <c r="J249" t="inlineStr">
        <is>
          <t>Yes</t>
        </is>
      </c>
      <c r="K249" t="n">
        <v>1</v>
      </c>
      <c r="L249" t="inlineStr">
        <is>
          <t>Yes</t>
        </is>
      </c>
      <c r="M249" t="inlineStr">
        <is>
          <t>Yes</t>
        </is>
      </c>
      <c r="N249" t="n">
        <v>2</v>
      </c>
      <c r="O249" t="n">
        <v>2</v>
      </c>
      <c r="P249" t="n">
        <v>3</v>
      </c>
      <c r="Q249" t="n">
        <v>2</v>
      </c>
      <c r="R249" t="n">
        <v>3</v>
      </c>
      <c r="S249" t="n">
        <v>3</v>
      </c>
      <c r="T249" t="n">
        <v>1</v>
      </c>
      <c r="U249" t="n">
        <v>2</v>
      </c>
      <c r="V249" t="n">
        <v>3</v>
      </c>
      <c r="W249" t="n">
        <v>3</v>
      </c>
      <c r="X249" t="n">
        <v>3</v>
      </c>
      <c r="Y249" t="n">
        <v>2</v>
      </c>
      <c r="Z249" t="n">
        <v>2</v>
      </c>
      <c r="AA249" t="n">
        <v>2</v>
      </c>
      <c r="AB249" t="n">
        <v>3</v>
      </c>
      <c r="AD249" t="n">
        <v>2</v>
      </c>
      <c r="AE249" t="n">
        <v>3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2</v>
      </c>
      <c r="AL249" t="n">
        <v>1</v>
      </c>
      <c r="AM249" t="n">
        <v>1</v>
      </c>
      <c r="AN249" t="n">
        <v>2</v>
      </c>
      <c r="AO249" t="n">
        <v>4</v>
      </c>
      <c r="AP249" t="n">
        <v>3</v>
      </c>
      <c r="AQ249" t="n">
        <v>2</v>
      </c>
      <c r="AR249" t="n">
        <v>2</v>
      </c>
      <c r="AS249" t="n">
        <v>2</v>
      </c>
      <c r="AT249" t="n">
        <v>3</v>
      </c>
      <c r="AU249" t="n">
        <v>2</v>
      </c>
      <c r="AV249" t="n">
        <v>2</v>
      </c>
      <c r="AW249" t="n">
        <v>2</v>
      </c>
      <c r="AX249" t="n">
        <v>2</v>
      </c>
      <c r="AY249" t="n">
        <v>1</v>
      </c>
      <c r="AZ249" t="n">
        <v>1</v>
      </c>
      <c r="BA249" t="n">
        <v>2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1</v>
      </c>
      <c r="BH249" t="n">
        <v>3</v>
      </c>
      <c r="BI249" t="n">
        <v>3</v>
      </c>
      <c r="BJ249" t="n">
        <v>2</v>
      </c>
      <c r="BK249" t="n">
        <v>3</v>
      </c>
      <c r="BL249" t="n">
        <v>2</v>
      </c>
      <c r="BM249" t="n">
        <v>5</v>
      </c>
      <c r="BN249" t="n">
        <v>4</v>
      </c>
      <c r="BO249" t="n">
        <v>4</v>
      </c>
      <c r="BP249" t="n">
        <v>3</v>
      </c>
      <c r="BQ249" t="n">
        <v>3</v>
      </c>
      <c r="BR249" t="n">
        <v>3</v>
      </c>
      <c r="BS249" s="56">
        <f>IF(COUNT(N249:W249)&gt;=8,AVERAGE(N249:W249),"")</f>
        <v/>
      </c>
      <c r="BT249" s="56">
        <f>IF(COUNT(X249:AE249)&gt;=7,AVERAGE(X249:AE249),"")</f>
        <v/>
      </c>
      <c r="BU249" s="56">
        <f>IF(COUNT(AF249:AM249)&gt;=7,AVERAGE(AF249:AM249),"")</f>
        <v/>
      </c>
      <c r="BV249" s="56">
        <f>IF(COUNT(AN249:AV249)&gt;=8,AVERAGE(AN249:AV249),"")</f>
        <v/>
      </c>
      <c r="BW249" s="56">
        <f>IF(COUNT(AW249:BD249)&gt;=7,AVERAGE(AW249:BD249),"")</f>
        <v/>
      </c>
      <c r="BX249" s="56">
        <f>IF(COUNT(BE249:BJ249)&gt;=5,AVERAGE(BE249:BJ249),"")</f>
        <v/>
      </c>
      <c r="BY249" s="56">
        <f>IF(COUNT(BK249:BR249)&gt;=7,AVERAGE(BK249:BR249),"")</f>
        <v/>
      </c>
    </row>
    <row r="250">
      <c r="A250" t="inlineStr">
        <is>
          <t>R219</t>
        </is>
      </c>
      <c r="B250" t="inlineStr">
        <is>
          <t>Yes</t>
        </is>
      </c>
      <c r="C250" t="inlineStr">
        <is>
          <t>Yes</t>
        </is>
      </c>
      <c r="D250" t="inlineStr">
        <is>
          <t>Female</t>
        </is>
      </c>
      <c r="E250" t="inlineStr">
        <is>
          <t>25-34</t>
        </is>
      </c>
      <c r="F250" t="inlineStr">
        <is>
          <t>Master's</t>
        </is>
      </c>
      <c r="G250" t="inlineStr">
        <is>
          <t>Commercial bank</t>
        </is>
      </c>
      <c r="H250" t="inlineStr">
        <is>
          <t>Digital Banking/Product</t>
        </is>
      </c>
      <c r="I250" t="inlineStr">
        <is>
          <t>11-15</t>
        </is>
      </c>
      <c r="J250" t="inlineStr">
        <is>
          <t>Yes</t>
        </is>
      </c>
      <c r="K250" t="n">
        <v>1</v>
      </c>
      <c r="L250" t="inlineStr">
        <is>
          <t>Yes</t>
        </is>
      </c>
      <c r="M250" t="inlineStr">
        <is>
          <t>Yes</t>
        </is>
      </c>
      <c r="N250" t="n">
        <v>4</v>
      </c>
      <c r="O250" t="n">
        <v>4</v>
      </c>
      <c r="P250" t="n">
        <v>5</v>
      </c>
      <c r="Q250" t="n">
        <v>5</v>
      </c>
      <c r="R250" t="n">
        <v>5</v>
      </c>
      <c r="S250" t="n">
        <v>5</v>
      </c>
      <c r="T250" t="n">
        <v>4</v>
      </c>
      <c r="U250" t="n">
        <v>4</v>
      </c>
      <c r="V250" t="n">
        <v>4</v>
      </c>
      <c r="W250" t="n">
        <v>3</v>
      </c>
      <c r="X250" t="n">
        <v>2</v>
      </c>
      <c r="Y250" t="n">
        <v>3</v>
      </c>
      <c r="Z250" t="n">
        <v>3</v>
      </c>
      <c r="AA250" t="n">
        <v>2</v>
      </c>
      <c r="AB250" t="n">
        <v>2</v>
      </c>
      <c r="AC250" t="n">
        <v>2</v>
      </c>
      <c r="AD250" t="n">
        <v>3</v>
      </c>
      <c r="AE250" t="n">
        <v>3</v>
      </c>
      <c r="AF250" t="n">
        <v>3</v>
      </c>
      <c r="AG250" t="n">
        <v>4</v>
      </c>
      <c r="AH250" t="n">
        <v>4</v>
      </c>
      <c r="AI250" t="n">
        <v>3</v>
      </c>
      <c r="AJ250" t="n">
        <v>2</v>
      </c>
      <c r="AK250" t="n">
        <v>2</v>
      </c>
      <c r="AL250" t="n">
        <v>3</v>
      </c>
      <c r="AM250" t="n">
        <v>2</v>
      </c>
      <c r="AN250" t="n">
        <v>3</v>
      </c>
      <c r="AO250" t="n">
        <v>3</v>
      </c>
      <c r="AP250" t="n">
        <v>2</v>
      </c>
      <c r="AQ250" t="n">
        <v>3</v>
      </c>
      <c r="AR250" t="n">
        <v>3</v>
      </c>
      <c r="AS250" t="n">
        <v>2</v>
      </c>
      <c r="AT250" t="n">
        <v>3</v>
      </c>
      <c r="AV250" t="n">
        <v>4</v>
      </c>
      <c r="AW250" t="n">
        <v>4</v>
      </c>
      <c r="AX250" t="n">
        <v>2</v>
      </c>
      <c r="AY250" t="n">
        <v>2</v>
      </c>
      <c r="AZ250" t="n">
        <v>2</v>
      </c>
      <c r="BA250" t="n">
        <v>3</v>
      </c>
      <c r="BB250" t="n">
        <v>3</v>
      </c>
      <c r="BC250" t="n">
        <v>3</v>
      </c>
      <c r="BD250" t="n">
        <v>4</v>
      </c>
      <c r="BE250" t="n">
        <v>2</v>
      </c>
      <c r="BF250" t="n">
        <v>3</v>
      </c>
      <c r="BG250" t="n">
        <v>3</v>
      </c>
      <c r="BH250" t="n">
        <v>3</v>
      </c>
      <c r="BI250" t="n">
        <v>2</v>
      </c>
      <c r="BJ250" t="n">
        <v>3</v>
      </c>
      <c r="BK250" t="n">
        <v>3</v>
      </c>
      <c r="BL250" t="n">
        <v>3</v>
      </c>
      <c r="BM250" t="n">
        <v>3</v>
      </c>
      <c r="BN250" t="n">
        <v>2</v>
      </c>
      <c r="BO250" t="n">
        <v>2</v>
      </c>
      <c r="BP250" t="n">
        <v>2</v>
      </c>
      <c r="BQ250" t="n">
        <v>3</v>
      </c>
      <c r="BR250" t="n">
        <v>1</v>
      </c>
      <c r="BS250" s="56">
        <f>IF(COUNT(N250:W250)&gt;=8,AVERAGE(N250:W250),"")</f>
        <v/>
      </c>
      <c r="BT250" s="56">
        <f>IF(COUNT(X250:AE250)&gt;=7,AVERAGE(X250:AE250),"")</f>
        <v/>
      </c>
      <c r="BU250" s="56">
        <f>IF(COUNT(AF250:AM250)&gt;=7,AVERAGE(AF250:AM250),"")</f>
        <v/>
      </c>
      <c r="BV250" s="56">
        <f>IF(COUNT(AN250:AV250)&gt;=8,AVERAGE(AN250:AV250),"")</f>
        <v/>
      </c>
      <c r="BW250" s="56">
        <f>IF(COUNT(AW250:BD250)&gt;=7,AVERAGE(AW250:BD250),"")</f>
        <v/>
      </c>
      <c r="BX250" s="56">
        <f>IF(COUNT(BE250:BJ250)&gt;=5,AVERAGE(BE250:BJ250),"")</f>
        <v/>
      </c>
      <c r="BY250" s="56">
        <f>IF(COUNT(BK250:BR250)&gt;=7,AVERAGE(BK250:BR250),"")</f>
        <v/>
      </c>
    </row>
    <row r="251">
      <c r="A251" t="inlineStr">
        <is>
          <t>R220</t>
        </is>
      </c>
      <c r="B251" t="inlineStr">
        <is>
          <t>Yes</t>
        </is>
      </c>
      <c r="C251" t="inlineStr">
        <is>
          <t>Yes</t>
        </is>
      </c>
      <c r="D251" t="inlineStr">
        <is>
          <t>Female</t>
        </is>
      </c>
      <c r="E251" t="inlineStr">
        <is>
          <t>35-44</t>
        </is>
      </c>
      <c r="F251" t="inlineStr">
        <is>
          <t>Bachelor/HND</t>
        </is>
      </c>
      <c r="G251" t="inlineStr">
        <is>
          <t>Commercial bank</t>
        </is>
      </c>
      <c r="H251" t="inlineStr">
        <is>
          <t>Digital Banking/Product</t>
        </is>
      </c>
      <c r="I251" t="inlineStr">
        <is>
          <t>2-5</t>
        </is>
      </c>
      <c r="J251" t="inlineStr">
        <is>
          <t>Yes</t>
        </is>
      </c>
      <c r="K251" t="n">
        <v>0</v>
      </c>
      <c r="L251" t="inlineStr">
        <is>
          <t>Do not know</t>
        </is>
      </c>
      <c r="M251" t="inlineStr">
        <is>
          <t>Yes</t>
        </is>
      </c>
      <c r="N251" t="n">
        <v>4</v>
      </c>
      <c r="O251" t="n">
        <v>4</v>
      </c>
      <c r="P251" t="n">
        <v>5</v>
      </c>
      <c r="Q251" t="n">
        <v>3</v>
      </c>
      <c r="R251" t="n">
        <v>4</v>
      </c>
      <c r="S251" t="n">
        <v>4</v>
      </c>
      <c r="T251" t="n">
        <v>3</v>
      </c>
      <c r="U251" t="n">
        <v>4</v>
      </c>
      <c r="V251" t="n">
        <v>4</v>
      </c>
      <c r="W251" t="n">
        <v>3</v>
      </c>
      <c r="X251" t="n">
        <v>2</v>
      </c>
      <c r="Y251" t="n">
        <v>2</v>
      </c>
      <c r="Z251" t="n">
        <v>3</v>
      </c>
      <c r="AA251" t="n">
        <v>2</v>
      </c>
      <c r="AB251" t="n">
        <v>2</v>
      </c>
      <c r="AC251" t="n">
        <v>2</v>
      </c>
      <c r="AD251" t="n">
        <v>1</v>
      </c>
      <c r="AE251" t="n">
        <v>2</v>
      </c>
      <c r="AF251" t="n">
        <v>4</v>
      </c>
      <c r="AG251" t="n">
        <v>3</v>
      </c>
      <c r="AH251" t="n">
        <v>4</v>
      </c>
      <c r="AI251" t="n">
        <v>4</v>
      </c>
      <c r="AJ251" t="n">
        <v>4</v>
      </c>
      <c r="AK251" t="n">
        <v>4</v>
      </c>
      <c r="AL251" t="n">
        <v>4</v>
      </c>
      <c r="AM251" t="n">
        <v>3</v>
      </c>
      <c r="AN251" t="n">
        <v>1</v>
      </c>
      <c r="AO251" t="n">
        <v>2</v>
      </c>
      <c r="AP251" t="n">
        <v>1</v>
      </c>
      <c r="AQ251" t="n">
        <v>1</v>
      </c>
      <c r="AR251" t="n">
        <v>3</v>
      </c>
      <c r="AS251" t="n">
        <v>2</v>
      </c>
      <c r="AT251" t="n">
        <v>3</v>
      </c>
      <c r="AU251" t="n">
        <v>2</v>
      </c>
      <c r="AV251" t="n">
        <v>1</v>
      </c>
      <c r="AW251" t="n">
        <v>4</v>
      </c>
      <c r="AX251" t="n">
        <v>3</v>
      </c>
      <c r="AY251" t="n">
        <v>3</v>
      </c>
      <c r="AZ251" t="n">
        <v>2</v>
      </c>
      <c r="BA251" t="n">
        <v>5</v>
      </c>
      <c r="BB251" t="n">
        <v>4</v>
      </c>
      <c r="BC251" t="n">
        <v>4</v>
      </c>
      <c r="BD251" t="n">
        <v>3</v>
      </c>
      <c r="BE251" t="n">
        <v>5</v>
      </c>
      <c r="BF251" t="n">
        <v>3</v>
      </c>
      <c r="BG251" t="n">
        <v>3</v>
      </c>
      <c r="BH251" t="n">
        <v>4</v>
      </c>
      <c r="BI251" t="n">
        <v>4</v>
      </c>
      <c r="BJ251" t="n">
        <v>3</v>
      </c>
      <c r="BK251" t="n">
        <v>3</v>
      </c>
      <c r="BL251" t="n">
        <v>3</v>
      </c>
      <c r="BM251" t="n">
        <v>3</v>
      </c>
      <c r="BN251" t="n">
        <v>3</v>
      </c>
      <c r="BO251" t="n">
        <v>4</v>
      </c>
      <c r="BP251" t="n">
        <v>3</v>
      </c>
      <c r="BQ251" t="n">
        <v>3</v>
      </c>
      <c r="BR251" t="n">
        <v>3</v>
      </c>
      <c r="BS251" s="56">
        <f>IF(COUNT(N251:W251)&gt;=8,AVERAGE(N251:W251),"")</f>
        <v/>
      </c>
      <c r="BT251" s="56">
        <f>IF(COUNT(X251:AE251)&gt;=7,AVERAGE(X251:AE251),"")</f>
        <v/>
      </c>
      <c r="BU251" s="56">
        <f>IF(COUNT(AF251:AM251)&gt;=7,AVERAGE(AF251:AM251),"")</f>
        <v/>
      </c>
      <c r="BV251" s="56">
        <f>IF(COUNT(AN251:AV251)&gt;=8,AVERAGE(AN251:AV251),"")</f>
        <v/>
      </c>
      <c r="BW251" s="56">
        <f>IF(COUNT(AW251:BD251)&gt;=7,AVERAGE(AW251:BD251),"")</f>
        <v/>
      </c>
      <c r="BX251" s="56">
        <f>IF(COUNT(BE251:BJ251)&gt;=5,AVERAGE(BE251:BJ251),"")</f>
        <v/>
      </c>
      <c r="BY251" s="56">
        <f>IF(COUNT(BK251:BR251)&gt;=7,AVERAGE(BK251:BR251),"")</f>
        <v/>
      </c>
    </row>
    <row r="252">
      <c r="A252" t="inlineStr">
        <is>
          <t>R221</t>
        </is>
      </c>
      <c r="B252" t="inlineStr">
        <is>
          <t>Yes</t>
        </is>
      </c>
      <c r="C252" t="inlineStr">
        <is>
          <t>Yes</t>
        </is>
      </c>
      <c r="D252" t="inlineStr">
        <is>
          <t>Prefer not to say</t>
        </is>
      </c>
      <c r="E252" t="inlineStr">
        <is>
          <t>35-44</t>
        </is>
      </c>
      <c r="F252" t="inlineStr">
        <is>
          <t>Postgraduate Diploma</t>
        </is>
      </c>
      <c r="G252" t="inlineStr">
        <is>
          <t>Commercial bank</t>
        </is>
      </c>
      <c r="H252" t="inlineStr">
        <is>
          <t>Risk/Compliance</t>
        </is>
      </c>
      <c r="I252" t="inlineStr">
        <is>
          <t>16 or more</t>
        </is>
      </c>
      <c r="J252" t="inlineStr">
        <is>
          <t>Yes</t>
        </is>
      </c>
      <c r="K252" t="n">
        <v>4</v>
      </c>
      <c r="L252" t="inlineStr">
        <is>
          <t>Yes</t>
        </is>
      </c>
      <c r="M252" t="inlineStr">
        <is>
          <t>Yes</t>
        </is>
      </c>
      <c r="N252" t="n">
        <v>4</v>
      </c>
      <c r="O252" t="n">
        <v>3</v>
      </c>
      <c r="P252" t="n">
        <v>4</v>
      </c>
      <c r="Q252" t="n">
        <v>3</v>
      </c>
      <c r="R252" t="n">
        <v>3</v>
      </c>
      <c r="S252" t="n">
        <v>3</v>
      </c>
      <c r="T252" t="n">
        <v>2</v>
      </c>
      <c r="U252" t="n">
        <v>2</v>
      </c>
      <c r="V252" t="n">
        <v>3</v>
      </c>
      <c r="W252" t="n">
        <v>2</v>
      </c>
      <c r="X252" t="n">
        <v>2</v>
      </c>
      <c r="Z252" t="n">
        <v>2</v>
      </c>
      <c r="AA252" t="n">
        <v>2</v>
      </c>
      <c r="AB252" t="n">
        <v>2</v>
      </c>
      <c r="AC252" t="n">
        <v>1</v>
      </c>
      <c r="AD252" t="n">
        <v>2</v>
      </c>
      <c r="AE252" t="n">
        <v>2</v>
      </c>
      <c r="AF252" t="n">
        <v>1</v>
      </c>
      <c r="AG252" t="n">
        <v>2</v>
      </c>
      <c r="AH252" t="n">
        <v>3</v>
      </c>
      <c r="AI252" t="n">
        <v>1</v>
      </c>
      <c r="AJ252" t="n">
        <v>1</v>
      </c>
      <c r="AK252" t="n">
        <v>1</v>
      </c>
      <c r="AL252" t="n">
        <v>2</v>
      </c>
      <c r="AM252" t="n">
        <v>3</v>
      </c>
      <c r="AN252" t="n">
        <v>4</v>
      </c>
      <c r="AO252" t="n">
        <v>3</v>
      </c>
      <c r="AP252" t="n">
        <v>2</v>
      </c>
      <c r="AQ252" t="n">
        <v>3</v>
      </c>
      <c r="AR252" t="n">
        <v>4</v>
      </c>
      <c r="AS252" t="n">
        <v>5</v>
      </c>
      <c r="AT252" t="n">
        <v>4</v>
      </c>
      <c r="AU252" t="n">
        <v>3</v>
      </c>
      <c r="AV252" t="n">
        <v>4</v>
      </c>
      <c r="AW252" t="n">
        <v>3</v>
      </c>
      <c r="AX252" t="n">
        <v>3</v>
      </c>
      <c r="AY252" t="n">
        <v>4</v>
      </c>
      <c r="AZ252" t="n">
        <v>1</v>
      </c>
      <c r="BA252" t="n">
        <v>3</v>
      </c>
      <c r="BB252" t="n">
        <v>3</v>
      </c>
      <c r="BC252" t="n">
        <v>2</v>
      </c>
      <c r="BD252" t="n">
        <v>3</v>
      </c>
      <c r="BE252" t="n">
        <v>4</v>
      </c>
      <c r="BF252" t="n">
        <v>4</v>
      </c>
      <c r="BG252" t="n">
        <v>2</v>
      </c>
      <c r="BH252" t="n">
        <v>5</v>
      </c>
      <c r="BI252" t="n">
        <v>3</v>
      </c>
      <c r="BJ252" t="n">
        <v>3</v>
      </c>
      <c r="BK252" t="n">
        <v>4</v>
      </c>
      <c r="BL252" t="n">
        <v>2</v>
      </c>
      <c r="BM252" t="n">
        <v>3</v>
      </c>
      <c r="BN252" t="n">
        <v>3</v>
      </c>
      <c r="BO252" t="n">
        <v>4</v>
      </c>
      <c r="BP252" t="n">
        <v>4</v>
      </c>
      <c r="BQ252" t="n">
        <v>4</v>
      </c>
      <c r="BR252" t="n">
        <v>2</v>
      </c>
      <c r="BS252" s="56">
        <f>IF(COUNT(N252:W252)&gt;=8,AVERAGE(N252:W252),"")</f>
        <v/>
      </c>
      <c r="BT252" s="56">
        <f>IF(COUNT(X252:AE252)&gt;=7,AVERAGE(X252:AE252),"")</f>
        <v/>
      </c>
      <c r="BU252" s="56">
        <f>IF(COUNT(AF252:AM252)&gt;=7,AVERAGE(AF252:AM252),"")</f>
        <v/>
      </c>
      <c r="BV252" s="56">
        <f>IF(COUNT(AN252:AV252)&gt;=8,AVERAGE(AN252:AV252),"")</f>
        <v/>
      </c>
      <c r="BW252" s="56">
        <f>IF(COUNT(AW252:BD252)&gt;=7,AVERAGE(AW252:BD252),"")</f>
        <v/>
      </c>
      <c r="BX252" s="56">
        <f>IF(COUNT(BE252:BJ252)&gt;=5,AVERAGE(BE252:BJ252),"")</f>
        <v/>
      </c>
      <c r="BY252" s="56">
        <f>IF(COUNT(BK252:BR252)&gt;=7,AVERAGE(BK252:BR252),"")</f>
        <v/>
      </c>
    </row>
    <row r="253">
      <c r="A253" t="inlineStr">
        <is>
          <t>R222</t>
        </is>
      </c>
      <c r="B253" t="inlineStr">
        <is>
          <t>Yes</t>
        </is>
      </c>
      <c r="C253" t="inlineStr">
        <is>
          <t>Yes</t>
        </is>
      </c>
      <c r="D253" t="inlineStr">
        <is>
          <t>Female</t>
        </is>
      </c>
      <c r="E253" t="inlineStr">
        <is>
          <t>25-34</t>
        </is>
      </c>
      <c r="F253" t="inlineStr">
        <is>
          <t>Diploma/OND/NCE</t>
        </is>
      </c>
      <c r="G253" t="inlineStr">
        <is>
          <t>Digital bank/neobank</t>
        </is>
      </c>
      <c r="H253" t="inlineStr">
        <is>
          <t>Digital Banking/Product</t>
        </is>
      </c>
      <c r="I253" t="inlineStr">
        <is>
          <t>Less than 2</t>
        </is>
      </c>
      <c r="J253" t="inlineStr">
        <is>
          <t>Yes</t>
        </is>
      </c>
      <c r="K253" t="n">
        <v>2</v>
      </c>
      <c r="L253" t="inlineStr">
        <is>
          <t>Yes</t>
        </is>
      </c>
      <c r="M253" t="inlineStr">
        <is>
          <t>Yes</t>
        </is>
      </c>
      <c r="N253" t="n">
        <v>2</v>
      </c>
      <c r="O253" t="n">
        <v>2</v>
      </c>
      <c r="P253" t="n">
        <v>2</v>
      </c>
      <c r="Q253" t="n">
        <v>1</v>
      </c>
      <c r="R253" t="n">
        <v>2</v>
      </c>
      <c r="S253" t="n">
        <v>2</v>
      </c>
      <c r="T253" t="n">
        <v>2</v>
      </c>
      <c r="U253" t="n">
        <v>1</v>
      </c>
      <c r="V253" t="n">
        <v>3</v>
      </c>
      <c r="W253" t="n">
        <v>2</v>
      </c>
      <c r="X253" t="n">
        <v>3</v>
      </c>
      <c r="Y253" t="n">
        <v>4</v>
      </c>
      <c r="Z253" t="n">
        <v>3</v>
      </c>
      <c r="AA253" t="n">
        <v>2</v>
      </c>
      <c r="AB253" t="n">
        <v>3</v>
      </c>
      <c r="AC253" t="n">
        <v>4</v>
      </c>
      <c r="AD253" t="n">
        <v>3</v>
      </c>
      <c r="AE253" t="n">
        <v>3</v>
      </c>
      <c r="AF253" t="n">
        <v>3</v>
      </c>
      <c r="AG253" t="n">
        <v>4</v>
      </c>
      <c r="AI253" t="n">
        <v>4</v>
      </c>
      <c r="AJ253" t="n">
        <v>3</v>
      </c>
      <c r="AK253" t="n">
        <v>4</v>
      </c>
      <c r="AL253" t="n">
        <v>4</v>
      </c>
      <c r="AM253" t="n">
        <v>2</v>
      </c>
      <c r="AN253" t="n">
        <v>4</v>
      </c>
      <c r="AO253" t="n">
        <v>3</v>
      </c>
      <c r="AP253" t="n">
        <v>2</v>
      </c>
      <c r="AQ253" t="n">
        <v>3</v>
      </c>
      <c r="AR253" t="n">
        <v>4</v>
      </c>
      <c r="AS253" t="n">
        <v>3</v>
      </c>
      <c r="AT253" t="n">
        <v>4</v>
      </c>
      <c r="AU253" t="n">
        <v>4</v>
      </c>
      <c r="AV253" t="n">
        <v>3</v>
      </c>
      <c r="AW253" t="n">
        <v>4</v>
      </c>
      <c r="AX253" t="n">
        <v>3</v>
      </c>
      <c r="AZ253" t="n">
        <v>3</v>
      </c>
      <c r="BA253" t="n">
        <v>3</v>
      </c>
      <c r="BB253" t="n">
        <v>3</v>
      </c>
      <c r="BC253" t="n">
        <v>4</v>
      </c>
      <c r="BD253" t="n">
        <v>3</v>
      </c>
      <c r="BE253" t="n">
        <v>4</v>
      </c>
      <c r="BF253" t="n">
        <v>4</v>
      </c>
      <c r="BG253" t="n">
        <v>2</v>
      </c>
      <c r="BH253" t="n">
        <v>3</v>
      </c>
      <c r="BJ253" t="n">
        <v>3</v>
      </c>
      <c r="BK253" t="n">
        <v>3</v>
      </c>
      <c r="BL253" t="n">
        <v>3</v>
      </c>
      <c r="BM253" t="n">
        <v>3</v>
      </c>
      <c r="BN253" t="n">
        <v>4</v>
      </c>
      <c r="BO253" t="n">
        <v>5</v>
      </c>
      <c r="BP253" t="n">
        <v>2</v>
      </c>
      <c r="BQ253" t="n">
        <v>4</v>
      </c>
      <c r="BR253" t="n">
        <v>3</v>
      </c>
      <c r="BS253" s="56">
        <f>IF(COUNT(N253:W253)&gt;=8,AVERAGE(N253:W253),"")</f>
        <v/>
      </c>
      <c r="BT253" s="56">
        <f>IF(COUNT(X253:AE253)&gt;=7,AVERAGE(X253:AE253),"")</f>
        <v/>
      </c>
      <c r="BU253" s="56">
        <f>IF(COUNT(AF253:AM253)&gt;=7,AVERAGE(AF253:AM253),"")</f>
        <v/>
      </c>
      <c r="BV253" s="56">
        <f>IF(COUNT(AN253:AV253)&gt;=8,AVERAGE(AN253:AV253),"")</f>
        <v/>
      </c>
      <c r="BW253" s="56">
        <f>IF(COUNT(AW253:BD253)&gt;=7,AVERAGE(AW253:BD253),"")</f>
        <v/>
      </c>
      <c r="BX253" s="56">
        <f>IF(COUNT(BE253:BJ253)&gt;=5,AVERAGE(BE253:BJ253),"")</f>
        <v/>
      </c>
      <c r="BY253" s="56">
        <f>IF(COUNT(BK253:BR253)&gt;=7,AVERAGE(BK253:BR253),"")</f>
        <v/>
      </c>
    </row>
    <row r="254">
      <c r="A254" t="inlineStr">
        <is>
          <t>R223</t>
        </is>
      </c>
      <c r="B254" t="inlineStr">
        <is>
          <t>Yes</t>
        </is>
      </c>
      <c r="C254" t="inlineStr">
        <is>
          <t>Yes</t>
        </is>
      </c>
      <c r="D254" t="inlineStr">
        <is>
          <t>Female</t>
        </is>
      </c>
      <c r="E254" t="inlineStr">
        <is>
          <t>35-44</t>
        </is>
      </c>
      <c r="F254" t="inlineStr">
        <is>
          <t>Bachelor/HND</t>
        </is>
      </c>
      <c r="G254" t="inlineStr">
        <is>
          <t>Commercial bank</t>
        </is>
      </c>
      <c r="H254" t="inlineStr">
        <is>
          <t>Customer Experience/Service</t>
        </is>
      </c>
      <c r="I254" t="inlineStr">
        <is>
          <t>2-5</t>
        </is>
      </c>
      <c r="J254" t="inlineStr">
        <is>
          <t>Yes</t>
        </is>
      </c>
      <c r="K254" t="n">
        <v>2</v>
      </c>
      <c r="L254" t="inlineStr">
        <is>
          <t>Yes</t>
        </is>
      </c>
      <c r="M254" t="inlineStr">
        <is>
          <t>Yes</t>
        </is>
      </c>
      <c r="N254" t="n">
        <v>5</v>
      </c>
      <c r="O254" t="n">
        <v>4</v>
      </c>
      <c r="P254" t="n">
        <v>5</v>
      </c>
      <c r="Q254" t="n">
        <v>4</v>
      </c>
      <c r="R254" t="n">
        <v>4</v>
      </c>
      <c r="S254" t="n">
        <v>2</v>
      </c>
      <c r="T254" t="n">
        <v>4</v>
      </c>
      <c r="U254" t="n">
        <v>3</v>
      </c>
      <c r="V254" t="n">
        <v>4</v>
      </c>
      <c r="W254" t="n">
        <v>3</v>
      </c>
      <c r="X254" t="n">
        <v>4</v>
      </c>
      <c r="Y254" t="n">
        <v>2</v>
      </c>
      <c r="Z254" t="n">
        <v>3</v>
      </c>
      <c r="AA254" t="n">
        <v>2</v>
      </c>
      <c r="AB254" t="n">
        <v>3</v>
      </c>
      <c r="AC254" t="n">
        <v>3</v>
      </c>
      <c r="AD254" t="n">
        <v>2</v>
      </c>
      <c r="AE254" t="n">
        <v>2</v>
      </c>
      <c r="AF254" t="n">
        <v>2</v>
      </c>
      <c r="AG254" t="n">
        <v>4</v>
      </c>
      <c r="AH254" t="n">
        <v>1</v>
      </c>
      <c r="AI254" t="n">
        <v>3</v>
      </c>
      <c r="AJ254" t="n">
        <v>3</v>
      </c>
      <c r="AK254" t="n">
        <v>2</v>
      </c>
      <c r="AL254" t="n">
        <v>2</v>
      </c>
      <c r="AM254" t="n">
        <v>2</v>
      </c>
      <c r="AN254" t="n">
        <v>4</v>
      </c>
      <c r="AO254" t="n">
        <v>2</v>
      </c>
      <c r="AP254" t="n">
        <v>4</v>
      </c>
      <c r="AQ254" t="n">
        <v>2</v>
      </c>
      <c r="AR254" t="n">
        <v>4</v>
      </c>
      <c r="AS254" t="n">
        <v>4</v>
      </c>
      <c r="AT254" t="n">
        <v>3</v>
      </c>
      <c r="AU254" t="n">
        <v>1</v>
      </c>
      <c r="AV254" t="n">
        <v>3</v>
      </c>
      <c r="AW254" t="n">
        <v>2</v>
      </c>
      <c r="AX254" t="n">
        <v>2</v>
      </c>
      <c r="AY254" t="n">
        <v>2</v>
      </c>
      <c r="AZ254" t="n">
        <v>2</v>
      </c>
      <c r="BA254" t="n">
        <v>1</v>
      </c>
      <c r="BB254" t="n">
        <v>1</v>
      </c>
      <c r="BC254" t="n">
        <v>2</v>
      </c>
      <c r="BD254" t="n">
        <v>1</v>
      </c>
      <c r="BE254" t="n">
        <v>2</v>
      </c>
      <c r="BF254" t="n">
        <v>3</v>
      </c>
      <c r="BG254" t="n">
        <v>1</v>
      </c>
      <c r="BH254" t="n">
        <v>3</v>
      </c>
      <c r="BI254" t="n">
        <v>3</v>
      </c>
      <c r="BJ254" t="n">
        <v>3</v>
      </c>
      <c r="BK254" t="n">
        <v>3</v>
      </c>
      <c r="BL254" t="n">
        <v>3</v>
      </c>
      <c r="BM254" t="n">
        <v>2</v>
      </c>
      <c r="BN254" t="n">
        <v>3</v>
      </c>
      <c r="BO254" t="n">
        <v>2</v>
      </c>
      <c r="BP254" t="n">
        <v>3</v>
      </c>
      <c r="BR254" t="n">
        <v>3</v>
      </c>
      <c r="BS254" s="56">
        <f>IF(COUNT(N254:W254)&gt;=8,AVERAGE(N254:W254),"")</f>
        <v/>
      </c>
      <c r="BT254" s="56">
        <f>IF(COUNT(X254:AE254)&gt;=7,AVERAGE(X254:AE254),"")</f>
        <v/>
      </c>
      <c r="BU254" s="56">
        <f>IF(COUNT(AF254:AM254)&gt;=7,AVERAGE(AF254:AM254),"")</f>
        <v/>
      </c>
      <c r="BV254" s="56">
        <f>IF(COUNT(AN254:AV254)&gt;=8,AVERAGE(AN254:AV254),"")</f>
        <v/>
      </c>
      <c r="BW254" s="56">
        <f>IF(COUNT(AW254:BD254)&gt;=7,AVERAGE(AW254:BD254),"")</f>
        <v/>
      </c>
      <c r="BX254" s="56">
        <f>IF(COUNT(BE254:BJ254)&gt;=5,AVERAGE(BE254:BJ254),"")</f>
        <v/>
      </c>
      <c r="BY254" s="56">
        <f>IF(COUNT(BK254:BR254)&gt;=7,AVERAGE(BK254:BR254),"")</f>
        <v/>
      </c>
    </row>
    <row r="255">
      <c r="A255" t="inlineStr">
        <is>
          <t>R224</t>
        </is>
      </c>
      <c r="B255" t="inlineStr">
        <is>
          <t>Yes</t>
        </is>
      </c>
      <c r="C255" t="inlineStr">
        <is>
          <t>Yes</t>
        </is>
      </c>
      <c r="D255" t="inlineStr">
        <is>
          <t>Male</t>
        </is>
      </c>
      <c r="E255" t="inlineStr">
        <is>
          <t>18-24</t>
        </is>
      </c>
      <c r="F255" t="inlineStr">
        <is>
          <t>Diploma/OND/NCE</t>
        </is>
      </c>
      <c r="G255" t="inlineStr">
        <is>
          <t>Insurance/investment/other licensed financial institution</t>
        </is>
      </c>
      <c r="H255" t="inlineStr">
        <is>
          <t>Risk/Compliance</t>
        </is>
      </c>
      <c r="I255" t="inlineStr">
        <is>
          <t>16 or more</t>
        </is>
      </c>
      <c r="J255" t="inlineStr">
        <is>
          <t>Yes</t>
        </is>
      </c>
      <c r="K255" t="n">
        <v>1</v>
      </c>
      <c r="L255" t="inlineStr">
        <is>
          <t>No</t>
        </is>
      </c>
      <c r="M255" t="inlineStr">
        <is>
          <t>Yes</t>
        </is>
      </c>
      <c r="N255" t="n">
        <v>3</v>
      </c>
      <c r="O255" t="n">
        <v>4</v>
      </c>
      <c r="P255" t="n">
        <v>4</v>
      </c>
      <c r="Q255" t="n">
        <v>2</v>
      </c>
      <c r="R255" t="n">
        <v>3</v>
      </c>
      <c r="S255" t="n">
        <v>3</v>
      </c>
      <c r="T255" t="n">
        <v>3</v>
      </c>
      <c r="U255" t="n">
        <v>4</v>
      </c>
      <c r="V255" t="n">
        <v>4</v>
      </c>
      <c r="W255" t="n">
        <v>3</v>
      </c>
      <c r="X255" t="n">
        <v>4</v>
      </c>
      <c r="Y255" t="n">
        <v>4</v>
      </c>
      <c r="Z255" t="n">
        <v>5</v>
      </c>
      <c r="AA255" t="n">
        <v>3</v>
      </c>
      <c r="AD255" t="n">
        <v>4</v>
      </c>
      <c r="AE255" t="n">
        <v>4</v>
      </c>
      <c r="AF255" t="n">
        <v>3</v>
      </c>
      <c r="AH255" t="n">
        <v>2</v>
      </c>
      <c r="AI255" t="n">
        <v>4</v>
      </c>
      <c r="AJ255" t="n">
        <v>4</v>
      </c>
      <c r="AK255" t="n">
        <v>4</v>
      </c>
      <c r="AL255" t="n">
        <v>3</v>
      </c>
      <c r="AM255" t="n">
        <v>3</v>
      </c>
      <c r="AN255" t="n">
        <v>3</v>
      </c>
      <c r="AO255" t="n">
        <v>3</v>
      </c>
      <c r="AP255" t="n">
        <v>4</v>
      </c>
      <c r="AQ255" t="n">
        <v>2</v>
      </c>
      <c r="AR255" t="n">
        <v>2</v>
      </c>
      <c r="AS255" t="n">
        <v>4</v>
      </c>
      <c r="AT255" t="n">
        <v>3</v>
      </c>
      <c r="AU255" t="n">
        <v>3</v>
      </c>
      <c r="AV255" t="n">
        <v>4</v>
      </c>
      <c r="AW255" t="n">
        <v>3</v>
      </c>
      <c r="AX255" t="n">
        <v>3</v>
      </c>
      <c r="AY255" t="n">
        <v>2</v>
      </c>
      <c r="AZ255" t="n">
        <v>2</v>
      </c>
      <c r="BA255" t="n">
        <v>4</v>
      </c>
      <c r="BB255" t="n">
        <v>2</v>
      </c>
      <c r="BC255" t="n">
        <v>3</v>
      </c>
      <c r="BD255" t="n">
        <v>2</v>
      </c>
      <c r="BE255" t="n">
        <v>1</v>
      </c>
      <c r="BF255" t="n">
        <v>2</v>
      </c>
      <c r="BG255" t="n">
        <v>2</v>
      </c>
      <c r="BH255" t="n">
        <v>3</v>
      </c>
      <c r="BI255" t="n">
        <v>1</v>
      </c>
      <c r="BK255" t="n">
        <v>4</v>
      </c>
      <c r="BL255" t="n">
        <v>2</v>
      </c>
      <c r="BM255" t="n">
        <v>3</v>
      </c>
      <c r="BN255" t="n">
        <v>2</v>
      </c>
      <c r="BO255" t="n">
        <v>3</v>
      </c>
      <c r="BP255" t="n">
        <v>3</v>
      </c>
      <c r="BQ255" t="n">
        <v>4</v>
      </c>
      <c r="BR255" t="n">
        <v>2</v>
      </c>
      <c r="BS255" s="56">
        <f>IF(COUNT(N255:W255)&gt;=8,AVERAGE(N255:W255),"")</f>
        <v/>
      </c>
      <c r="BT255" s="56">
        <f>IF(COUNT(X255:AE255)&gt;=7,AVERAGE(X255:AE255),"")</f>
        <v/>
      </c>
      <c r="BU255" s="56">
        <f>IF(COUNT(AF255:AM255)&gt;=7,AVERAGE(AF255:AM255),"")</f>
        <v/>
      </c>
      <c r="BV255" s="56">
        <f>IF(COUNT(AN255:AV255)&gt;=8,AVERAGE(AN255:AV255),"")</f>
        <v/>
      </c>
      <c r="BW255" s="56">
        <f>IF(COUNT(AW255:BD255)&gt;=7,AVERAGE(AW255:BD255),"")</f>
        <v/>
      </c>
      <c r="BX255" s="56">
        <f>IF(COUNT(BE255:BJ255)&gt;=5,AVERAGE(BE255:BJ255),"")</f>
        <v/>
      </c>
      <c r="BY255" s="56">
        <f>IF(COUNT(BK255:BR255)&gt;=7,AVERAGE(BK255:BR255),"")</f>
        <v/>
      </c>
    </row>
    <row r="256">
      <c r="A256" t="inlineStr">
        <is>
          <t>R225</t>
        </is>
      </c>
      <c r="B256" t="inlineStr">
        <is>
          <t>Yes</t>
        </is>
      </c>
      <c r="C256" t="inlineStr">
        <is>
          <t>Yes</t>
        </is>
      </c>
      <c r="D256" t="inlineStr">
        <is>
          <t>Female</t>
        </is>
      </c>
      <c r="E256" t="inlineStr">
        <is>
          <t>35-44</t>
        </is>
      </c>
      <c r="F256" t="inlineStr">
        <is>
          <t>Diploma/OND/NCE</t>
        </is>
      </c>
      <c r="G256" t="inlineStr">
        <is>
          <t>Insurance/investment/other licensed financial institution</t>
        </is>
      </c>
      <c r="H256" t="inlineStr">
        <is>
          <t>Data/Analytics/AI</t>
        </is>
      </c>
      <c r="I256" t="inlineStr">
        <is>
          <t>2-5</t>
        </is>
      </c>
      <c r="J256" t="inlineStr">
        <is>
          <t>Yes</t>
        </is>
      </c>
      <c r="K256" t="n">
        <v>4</v>
      </c>
      <c r="L256" t="inlineStr">
        <is>
          <t>Yes</t>
        </is>
      </c>
      <c r="M256" t="inlineStr">
        <is>
          <t>Yes</t>
        </is>
      </c>
      <c r="N256" t="n">
        <v>4</v>
      </c>
      <c r="O256" t="n">
        <v>5</v>
      </c>
      <c r="P256" t="n">
        <v>5</v>
      </c>
      <c r="Q256" t="n">
        <v>4</v>
      </c>
      <c r="R256" t="n">
        <v>4</v>
      </c>
      <c r="S256" t="n">
        <v>3</v>
      </c>
      <c r="T256" t="n">
        <v>3</v>
      </c>
      <c r="V256" t="n">
        <v>4</v>
      </c>
      <c r="W256" t="n">
        <v>4</v>
      </c>
      <c r="X256" t="n">
        <v>4</v>
      </c>
      <c r="Y256" t="n">
        <v>3</v>
      </c>
      <c r="Z256" t="n">
        <v>5</v>
      </c>
      <c r="AA256" t="n">
        <v>4</v>
      </c>
      <c r="AB256" t="n">
        <v>3</v>
      </c>
      <c r="AC256" t="n">
        <v>4</v>
      </c>
      <c r="AD256" t="n">
        <v>3</v>
      </c>
      <c r="AE256" t="n">
        <v>4</v>
      </c>
      <c r="AF256" t="n">
        <v>2</v>
      </c>
      <c r="AG256" t="n">
        <v>2</v>
      </c>
      <c r="AH256" t="n">
        <v>2</v>
      </c>
      <c r="AI256" t="n">
        <v>4</v>
      </c>
      <c r="AJ256" t="n">
        <v>2</v>
      </c>
      <c r="AK256" t="n">
        <v>2</v>
      </c>
      <c r="AL256" t="n">
        <v>1</v>
      </c>
      <c r="AM256" t="n">
        <v>4</v>
      </c>
      <c r="AN256" t="n">
        <v>4</v>
      </c>
      <c r="AO256" t="n">
        <v>4</v>
      </c>
      <c r="AP256" t="n">
        <v>4</v>
      </c>
      <c r="AQ256" t="n">
        <v>4</v>
      </c>
      <c r="AR256" t="n">
        <v>3</v>
      </c>
      <c r="AS256" t="n">
        <v>3</v>
      </c>
      <c r="AT256" t="n">
        <v>4</v>
      </c>
      <c r="AU256" t="n">
        <v>4</v>
      </c>
      <c r="AV256" t="n">
        <v>4</v>
      </c>
      <c r="AW256" t="n">
        <v>3</v>
      </c>
      <c r="AX256" t="n">
        <v>2</v>
      </c>
      <c r="AY256" t="n">
        <v>3</v>
      </c>
      <c r="AZ256" t="n">
        <v>3</v>
      </c>
      <c r="BA256" t="n">
        <v>3</v>
      </c>
      <c r="BB256" t="n">
        <v>3</v>
      </c>
      <c r="BC256" t="n">
        <v>3</v>
      </c>
      <c r="BD256" t="n">
        <v>3</v>
      </c>
      <c r="BE256" t="n">
        <v>3</v>
      </c>
      <c r="BF256" t="n">
        <v>3</v>
      </c>
      <c r="BG256" t="n">
        <v>3</v>
      </c>
      <c r="BI256" t="n">
        <v>3</v>
      </c>
      <c r="BJ256" t="n">
        <v>3</v>
      </c>
      <c r="BK256" t="n">
        <v>2</v>
      </c>
      <c r="BL256" t="n">
        <v>1</v>
      </c>
      <c r="BM256" t="n">
        <v>1</v>
      </c>
      <c r="BN256" t="n">
        <v>2</v>
      </c>
      <c r="BO256" t="n">
        <v>3</v>
      </c>
      <c r="BP256" t="n">
        <v>2</v>
      </c>
      <c r="BQ256" t="n">
        <v>3</v>
      </c>
      <c r="BR256" t="n">
        <v>2</v>
      </c>
      <c r="BS256" s="56">
        <f>IF(COUNT(N256:W256)&gt;=8,AVERAGE(N256:W256),"")</f>
        <v/>
      </c>
      <c r="BT256" s="56">
        <f>IF(COUNT(X256:AE256)&gt;=7,AVERAGE(X256:AE256),"")</f>
        <v/>
      </c>
      <c r="BU256" s="56">
        <f>IF(COUNT(AF256:AM256)&gt;=7,AVERAGE(AF256:AM256),"")</f>
        <v/>
      </c>
      <c r="BV256" s="56">
        <f>IF(COUNT(AN256:AV256)&gt;=8,AVERAGE(AN256:AV256),"")</f>
        <v/>
      </c>
      <c r="BW256" s="56">
        <f>IF(COUNT(AW256:BD256)&gt;=7,AVERAGE(AW256:BD256),"")</f>
        <v/>
      </c>
      <c r="BX256" s="56">
        <f>IF(COUNT(BE256:BJ256)&gt;=5,AVERAGE(BE256:BJ256),"")</f>
        <v/>
      </c>
      <c r="BY256" s="56">
        <f>IF(COUNT(BK256:BR256)&gt;=7,AVERAGE(BK256:BR256),"")</f>
        <v/>
      </c>
    </row>
    <row r="257">
      <c r="A257" t="inlineStr">
        <is>
          <t>R226</t>
        </is>
      </c>
      <c r="B257" t="inlineStr">
        <is>
          <t>Yes</t>
        </is>
      </c>
      <c r="C257" t="inlineStr">
        <is>
          <t>Yes</t>
        </is>
      </c>
      <c r="D257" t="inlineStr">
        <is>
          <t>Male</t>
        </is>
      </c>
      <c r="E257" t="inlineStr">
        <is>
          <t>35-44</t>
        </is>
      </c>
      <c r="F257" t="inlineStr">
        <is>
          <t>Diploma/OND/NCE</t>
        </is>
      </c>
      <c r="G257" t="inlineStr">
        <is>
          <t>Commercial bank</t>
        </is>
      </c>
      <c r="H257" t="inlineStr">
        <is>
          <t>Customer Experience/Service</t>
        </is>
      </c>
      <c r="I257" t="inlineStr">
        <is>
          <t>2-5</t>
        </is>
      </c>
      <c r="J257" t="inlineStr">
        <is>
          <t>Yes</t>
        </is>
      </c>
      <c r="K257" t="n">
        <v>4</v>
      </c>
      <c r="L257" t="inlineStr">
        <is>
          <t>Yes</t>
        </is>
      </c>
      <c r="M257" t="inlineStr">
        <is>
          <t>Yes</t>
        </is>
      </c>
      <c r="N257" t="n">
        <v>2</v>
      </c>
      <c r="O257" t="n">
        <v>1</v>
      </c>
      <c r="P257" t="n">
        <v>2</v>
      </c>
      <c r="Q257" t="n">
        <v>2</v>
      </c>
      <c r="R257" t="n">
        <v>3</v>
      </c>
      <c r="S257" t="n">
        <v>2</v>
      </c>
      <c r="T257" t="n">
        <v>2</v>
      </c>
      <c r="U257" t="n">
        <v>3</v>
      </c>
      <c r="V257" t="n">
        <v>3</v>
      </c>
      <c r="W257" t="n">
        <v>1</v>
      </c>
      <c r="X257" t="n">
        <v>2</v>
      </c>
      <c r="Y257" t="n">
        <v>3</v>
      </c>
      <c r="Z257" t="n">
        <v>3</v>
      </c>
      <c r="AB257" t="n">
        <v>3</v>
      </c>
      <c r="AC257" t="n">
        <v>3</v>
      </c>
      <c r="AD257" t="n">
        <v>3</v>
      </c>
      <c r="AE257" t="n">
        <v>3</v>
      </c>
      <c r="AF257" t="n">
        <v>4</v>
      </c>
      <c r="AG257" t="n">
        <v>4</v>
      </c>
      <c r="AH257" t="n">
        <v>3</v>
      </c>
      <c r="AI257" t="n">
        <v>4</v>
      </c>
      <c r="AJ257" t="n">
        <v>4</v>
      </c>
      <c r="AK257" t="n">
        <v>5</v>
      </c>
      <c r="AL257" t="n">
        <v>3</v>
      </c>
      <c r="AM257" t="n">
        <v>4</v>
      </c>
      <c r="AN257" t="n">
        <v>4</v>
      </c>
      <c r="AO257" t="n">
        <v>3</v>
      </c>
      <c r="AP257" t="n">
        <v>4</v>
      </c>
      <c r="AQ257" t="n">
        <v>4</v>
      </c>
      <c r="AR257" t="n">
        <v>4</v>
      </c>
      <c r="AS257" t="n">
        <v>3</v>
      </c>
      <c r="AT257" t="n">
        <v>3</v>
      </c>
      <c r="AU257" t="n">
        <v>3</v>
      </c>
      <c r="AV257" t="n">
        <v>4</v>
      </c>
      <c r="AW257" t="n">
        <v>4</v>
      </c>
      <c r="AX257" t="n">
        <v>4</v>
      </c>
      <c r="AY257" t="n">
        <v>4</v>
      </c>
      <c r="AZ257" t="n">
        <v>3</v>
      </c>
      <c r="BA257" t="n">
        <v>3</v>
      </c>
      <c r="BB257" t="n">
        <v>3</v>
      </c>
      <c r="BC257" t="n">
        <v>3</v>
      </c>
      <c r="BD257" t="n">
        <v>3</v>
      </c>
      <c r="BE257" t="n">
        <v>5</v>
      </c>
      <c r="BF257" t="n">
        <v>5</v>
      </c>
      <c r="BG257" t="n">
        <v>4</v>
      </c>
      <c r="BH257" t="n">
        <v>5</v>
      </c>
      <c r="BI257" t="n">
        <v>5</v>
      </c>
      <c r="BJ257" t="n">
        <v>4</v>
      </c>
      <c r="BK257" t="n">
        <v>4</v>
      </c>
      <c r="BL257" t="n">
        <v>3</v>
      </c>
      <c r="BM257" t="n">
        <v>5</v>
      </c>
      <c r="BN257" t="n">
        <v>4</v>
      </c>
      <c r="BO257" t="n">
        <v>4</v>
      </c>
      <c r="BP257" t="n">
        <v>4</v>
      </c>
      <c r="BQ257" t="n">
        <v>4</v>
      </c>
      <c r="BR257" t="n">
        <v>4</v>
      </c>
      <c r="BS257" s="56">
        <f>IF(COUNT(N257:W257)&gt;=8,AVERAGE(N257:W257),"")</f>
        <v/>
      </c>
      <c r="BT257" s="56">
        <f>IF(COUNT(X257:AE257)&gt;=7,AVERAGE(X257:AE257),"")</f>
        <v/>
      </c>
      <c r="BU257" s="56">
        <f>IF(COUNT(AF257:AM257)&gt;=7,AVERAGE(AF257:AM257),"")</f>
        <v/>
      </c>
      <c r="BV257" s="56">
        <f>IF(COUNT(AN257:AV257)&gt;=8,AVERAGE(AN257:AV257),"")</f>
        <v/>
      </c>
      <c r="BW257" s="56">
        <f>IF(COUNT(AW257:BD257)&gt;=7,AVERAGE(AW257:BD257),"")</f>
        <v/>
      </c>
      <c r="BX257" s="56">
        <f>IF(COUNT(BE257:BJ257)&gt;=5,AVERAGE(BE257:BJ257),"")</f>
        <v/>
      </c>
      <c r="BY257" s="56">
        <f>IF(COUNT(BK257:BR257)&gt;=7,AVERAGE(BK257:BR257),"")</f>
        <v/>
      </c>
    </row>
    <row r="258">
      <c r="A258" t="inlineStr">
        <is>
          <t>R227</t>
        </is>
      </c>
      <c r="B258" t="inlineStr">
        <is>
          <t>Yes</t>
        </is>
      </c>
      <c r="C258" t="inlineStr">
        <is>
          <t>Yes</t>
        </is>
      </c>
      <c r="D258" t="inlineStr">
        <is>
          <t>Prefer not to say</t>
        </is>
      </c>
      <c r="E258" t="inlineStr">
        <is>
          <t>35-44</t>
        </is>
      </c>
      <c r="F258" t="inlineStr">
        <is>
          <t>Master's</t>
        </is>
      </c>
      <c r="G258" t="inlineStr">
        <is>
          <t>Insurance/investment/other licensed financial institution</t>
        </is>
      </c>
      <c r="H258" t="inlineStr">
        <is>
          <t>Digital Banking/Product</t>
        </is>
      </c>
      <c r="I258" t="inlineStr">
        <is>
          <t>6-10</t>
        </is>
      </c>
      <c r="J258" t="inlineStr">
        <is>
          <t>Yes</t>
        </is>
      </c>
      <c r="K258" t="n">
        <v>2</v>
      </c>
      <c r="L258" t="inlineStr">
        <is>
          <t>Yes</t>
        </is>
      </c>
      <c r="M258" t="inlineStr">
        <is>
          <t>Yes</t>
        </is>
      </c>
      <c r="N258" t="n">
        <v>4</v>
      </c>
      <c r="O258" t="n">
        <v>3</v>
      </c>
      <c r="P258" t="n">
        <v>3</v>
      </c>
      <c r="Q258" t="n">
        <v>3</v>
      </c>
      <c r="R258" t="n">
        <v>3</v>
      </c>
      <c r="S258" t="n">
        <v>4</v>
      </c>
      <c r="T258" t="n">
        <v>4</v>
      </c>
      <c r="U258" t="n">
        <v>4</v>
      </c>
      <c r="V258" t="n">
        <v>3</v>
      </c>
      <c r="W258" t="n">
        <v>3</v>
      </c>
      <c r="X258" t="n">
        <v>4</v>
      </c>
      <c r="Y258" t="n">
        <v>3</v>
      </c>
      <c r="Z258" t="n">
        <v>5</v>
      </c>
      <c r="AA258" t="n">
        <v>3</v>
      </c>
      <c r="AB258" t="n">
        <v>4</v>
      </c>
      <c r="AC258" t="n">
        <v>4</v>
      </c>
      <c r="AD258" t="n">
        <v>4</v>
      </c>
      <c r="AE258" t="n">
        <v>4</v>
      </c>
      <c r="AF258" t="n">
        <v>3</v>
      </c>
      <c r="AG258" t="n">
        <v>3</v>
      </c>
      <c r="AH258" t="n">
        <v>2</v>
      </c>
      <c r="AI258" t="n">
        <v>4</v>
      </c>
      <c r="AJ258" t="n">
        <v>2</v>
      </c>
      <c r="AK258" t="n">
        <v>2</v>
      </c>
      <c r="AL258" t="n">
        <v>4</v>
      </c>
      <c r="AM258" t="n">
        <v>2</v>
      </c>
      <c r="AN258" t="n">
        <v>2</v>
      </c>
      <c r="AO258" t="n">
        <v>2</v>
      </c>
      <c r="AP258" t="n">
        <v>3</v>
      </c>
      <c r="AQ258" t="n">
        <v>2</v>
      </c>
      <c r="AR258" t="n">
        <v>3</v>
      </c>
      <c r="AS258" t="n">
        <v>2</v>
      </c>
      <c r="AT258" t="n">
        <v>2</v>
      </c>
      <c r="AU258" t="n">
        <v>2</v>
      </c>
      <c r="AV258" t="n">
        <v>3</v>
      </c>
      <c r="AW258" t="n">
        <v>4</v>
      </c>
      <c r="AX258" t="n">
        <v>3</v>
      </c>
      <c r="AY258" t="n">
        <v>3</v>
      </c>
      <c r="AZ258" t="n">
        <v>3</v>
      </c>
      <c r="BA258" t="n">
        <v>3</v>
      </c>
      <c r="BB258" t="n">
        <v>3</v>
      </c>
      <c r="BC258" t="n">
        <v>4</v>
      </c>
      <c r="BD258" t="n">
        <v>4</v>
      </c>
      <c r="BE258" t="n">
        <v>3</v>
      </c>
      <c r="BF258" t="n">
        <v>3</v>
      </c>
      <c r="BG258" t="n">
        <v>2</v>
      </c>
      <c r="BH258" t="n">
        <v>3</v>
      </c>
      <c r="BI258" t="n">
        <v>3</v>
      </c>
      <c r="BJ258" t="n">
        <v>3</v>
      </c>
      <c r="BK258" t="n">
        <v>2</v>
      </c>
      <c r="BL258" t="n">
        <v>2</v>
      </c>
      <c r="BM258" t="n">
        <v>2</v>
      </c>
      <c r="BN258" t="n">
        <v>2</v>
      </c>
      <c r="BO258" t="n">
        <v>2</v>
      </c>
      <c r="BP258" t="n">
        <v>2</v>
      </c>
      <c r="BQ258" t="n">
        <v>2</v>
      </c>
      <c r="BR258" t="n">
        <v>2</v>
      </c>
      <c r="BS258" s="56">
        <f>IF(COUNT(N258:W258)&gt;=8,AVERAGE(N258:W258),"")</f>
        <v/>
      </c>
      <c r="BT258" s="56">
        <f>IF(COUNT(X258:AE258)&gt;=7,AVERAGE(X258:AE258),"")</f>
        <v/>
      </c>
      <c r="BU258" s="56">
        <f>IF(COUNT(AF258:AM258)&gt;=7,AVERAGE(AF258:AM258),"")</f>
        <v/>
      </c>
      <c r="BV258" s="56">
        <f>IF(COUNT(AN258:AV258)&gt;=8,AVERAGE(AN258:AV258),"")</f>
        <v/>
      </c>
      <c r="BW258" s="56">
        <f>IF(COUNT(AW258:BD258)&gt;=7,AVERAGE(AW258:BD258),"")</f>
        <v/>
      </c>
      <c r="BX258" s="56">
        <f>IF(COUNT(BE258:BJ258)&gt;=5,AVERAGE(BE258:BJ258),"")</f>
        <v/>
      </c>
      <c r="BY258" s="56">
        <f>IF(COUNT(BK258:BR258)&gt;=7,AVERAGE(BK258:BR258),"")</f>
        <v/>
      </c>
    </row>
    <row r="259">
      <c r="A259" t="inlineStr">
        <is>
          <t>R228</t>
        </is>
      </c>
      <c r="B259" t="inlineStr">
        <is>
          <t>Yes</t>
        </is>
      </c>
      <c r="C259" t="inlineStr">
        <is>
          <t>Yes</t>
        </is>
      </c>
      <c r="D259" t="inlineStr">
        <is>
          <t>Male</t>
        </is>
      </c>
      <c r="E259" t="inlineStr">
        <is>
          <t>25-34</t>
        </is>
      </c>
      <c r="F259" t="inlineStr">
        <is>
          <t>Postgraduate Diploma</t>
        </is>
      </c>
      <c r="G259" t="inlineStr">
        <is>
          <t>Commercial bank</t>
        </is>
      </c>
      <c r="H259" t="inlineStr">
        <is>
          <t>Other</t>
        </is>
      </c>
      <c r="I259" t="inlineStr">
        <is>
          <t>2-5</t>
        </is>
      </c>
      <c r="J259" t="inlineStr">
        <is>
          <t>Yes</t>
        </is>
      </c>
      <c r="K259" t="n">
        <v>3</v>
      </c>
      <c r="L259" t="inlineStr">
        <is>
          <t>Yes</t>
        </is>
      </c>
      <c r="M259" t="inlineStr">
        <is>
          <t>Yes</t>
        </is>
      </c>
      <c r="N259" t="n">
        <v>3</v>
      </c>
      <c r="O259" t="n">
        <v>2</v>
      </c>
      <c r="P259" t="n">
        <v>4</v>
      </c>
      <c r="Q259" t="n">
        <v>2</v>
      </c>
      <c r="R259" t="n">
        <v>4</v>
      </c>
      <c r="S259" t="n">
        <v>3</v>
      </c>
      <c r="T259" t="n">
        <v>4</v>
      </c>
      <c r="U259" t="n">
        <v>3</v>
      </c>
      <c r="V259" t="n">
        <v>3</v>
      </c>
      <c r="W259" t="n">
        <v>4</v>
      </c>
      <c r="X259" t="n">
        <v>3</v>
      </c>
      <c r="Y259" t="n">
        <v>3</v>
      </c>
      <c r="Z259" t="n">
        <v>3</v>
      </c>
      <c r="AA259" t="n">
        <v>3</v>
      </c>
      <c r="AB259" t="n">
        <v>3</v>
      </c>
      <c r="AC259" t="n">
        <v>3</v>
      </c>
      <c r="AD259" t="n">
        <v>4</v>
      </c>
      <c r="AE259" t="n">
        <v>4</v>
      </c>
      <c r="AF259" t="n">
        <v>2</v>
      </c>
      <c r="AG259" t="n">
        <v>3</v>
      </c>
      <c r="AH259" t="n">
        <v>3</v>
      </c>
      <c r="AI259" t="n">
        <v>3</v>
      </c>
      <c r="AJ259" t="n">
        <v>3</v>
      </c>
      <c r="AK259" t="n">
        <v>2</v>
      </c>
      <c r="AL259" t="n">
        <v>3</v>
      </c>
      <c r="AM259" t="n">
        <v>3</v>
      </c>
      <c r="AN259" t="n">
        <v>4</v>
      </c>
      <c r="AO259" t="n">
        <v>3</v>
      </c>
      <c r="AP259" t="n">
        <v>4</v>
      </c>
      <c r="AQ259" t="n">
        <v>3</v>
      </c>
      <c r="AR259" t="n">
        <v>4</v>
      </c>
      <c r="AS259" t="n">
        <v>3</v>
      </c>
      <c r="AT259" t="n">
        <v>4</v>
      </c>
      <c r="AU259" t="n">
        <v>3</v>
      </c>
      <c r="AV259" t="n">
        <v>4</v>
      </c>
      <c r="AW259" t="n">
        <v>3</v>
      </c>
      <c r="AX259" t="n">
        <v>3</v>
      </c>
      <c r="AY259" t="n">
        <v>3</v>
      </c>
      <c r="AZ259" t="n">
        <v>3</v>
      </c>
      <c r="BA259" t="n">
        <v>4</v>
      </c>
      <c r="BB259" t="n">
        <v>2</v>
      </c>
      <c r="BC259" t="n">
        <v>3</v>
      </c>
      <c r="BD259" t="n">
        <v>3</v>
      </c>
      <c r="BE259" t="n">
        <v>3</v>
      </c>
      <c r="BF259" t="n">
        <v>4</v>
      </c>
      <c r="BG259" t="n">
        <v>2</v>
      </c>
      <c r="BH259" t="n">
        <v>4</v>
      </c>
      <c r="BI259" t="n">
        <v>3</v>
      </c>
      <c r="BJ259" t="n">
        <v>2</v>
      </c>
      <c r="BK259" t="n">
        <v>2</v>
      </c>
      <c r="BL259" t="n">
        <v>1</v>
      </c>
      <c r="BM259" t="n">
        <v>3</v>
      </c>
      <c r="BN259" t="n">
        <v>1</v>
      </c>
      <c r="BO259" t="n">
        <v>1</v>
      </c>
      <c r="BP259" t="n">
        <v>2</v>
      </c>
      <c r="BR259" t="n">
        <v>1</v>
      </c>
      <c r="BS259" s="56">
        <f>IF(COUNT(N259:W259)&gt;=8,AVERAGE(N259:W259),"")</f>
        <v/>
      </c>
      <c r="BT259" s="56">
        <f>IF(COUNT(X259:AE259)&gt;=7,AVERAGE(X259:AE259),"")</f>
        <v/>
      </c>
      <c r="BU259" s="56">
        <f>IF(COUNT(AF259:AM259)&gt;=7,AVERAGE(AF259:AM259),"")</f>
        <v/>
      </c>
      <c r="BV259" s="56">
        <f>IF(COUNT(AN259:AV259)&gt;=8,AVERAGE(AN259:AV259),"")</f>
        <v/>
      </c>
      <c r="BW259" s="56">
        <f>IF(COUNT(AW259:BD259)&gt;=7,AVERAGE(AW259:BD259),"")</f>
        <v/>
      </c>
      <c r="BX259" s="56">
        <f>IF(COUNT(BE259:BJ259)&gt;=5,AVERAGE(BE259:BJ259),"")</f>
        <v/>
      </c>
      <c r="BY259" s="56">
        <f>IF(COUNT(BK259:BR259)&gt;=7,AVERAGE(BK259:BR259),"")</f>
        <v/>
      </c>
    </row>
    <row r="260">
      <c r="A260" t="inlineStr">
        <is>
          <t>R229</t>
        </is>
      </c>
      <c r="B260" t="inlineStr">
        <is>
          <t>Yes</t>
        </is>
      </c>
      <c r="C260" t="inlineStr">
        <is>
          <t>Yes</t>
        </is>
      </c>
      <c r="D260" t="inlineStr">
        <is>
          <t>Female</t>
        </is>
      </c>
      <c r="E260" t="inlineStr">
        <is>
          <t>25-34</t>
        </is>
      </c>
      <c r="F260" t="inlineStr">
        <is>
          <t>Bachelor/HND</t>
        </is>
      </c>
      <c r="G260" t="inlineStr">
        <is>
          <t>Commercial bank</t>
        </is>
      </c>
      <c r="H260" t="inlineStr">
        <is>
          <t>Relationship/Marketing</t>
        </is>
      </c>
      <c r="I260" t="inlineStr">
        <is>
          <t>6-10</t>
        </is>
      </c>
      <c r="J260" t="inlineStr">
        <is>
          <t>Yes</t>
        </is>
      </c>
      <c r="K260" t="n">
        <v>2</v>
      </c>
      <c r="L260" t="inlineStr">
        <is>
          <t>No</t>
        </is>
      </c>
      <c r="M260" t="inlineStr">
        <is>
          <t>Yes</t>
        </is>
      </c>
      <c r="N260" t="n">
        <v>3</v>
      </c>
      <c r="O260" t="n">
        <v>4</v>
      </c>
      <c r="P260" t="n">
        <v>5</v>
      </c>
      <c r="Q260" t="n">
        <v>3</v>
      </c>
      <c r="R260" t="n">
        <v>4</v>
      </c>
      <c r="S260" t="n">
        <v>4</v>
      </c>
      <c r="T260" t="n">
        <v>3</v>
      </c>
      <c r="U260" t="n">
        <v>3</v>
      </c>
      <c r="V260" t="n">
        <v>4</v>
      </c>
      <c r="W260" t="n">
        <v>4</v>
      </c>
      <c r="X260" t="n">
        <v>4</v>
      </c>
      <c r="Y260" t="n">
        <v>4</v>
      </c>
      <c r="Z260" t="n">
        <v>4</v>
      </c>
      <c r="AA260" t="n">
        <v>4</v>
      </c>
      <c r="AB260" t="n">
        <v>3</v>
      </c>
      <c r="AC260" t="n">
        <v>4</v>
      </c>
      <c r="AD260" t="n">
        <v>4</v>
      </c>
      <c r="AE260" t="n">
        <v>3</v>
      </c>
      <c r="AF260" t="n">
        <v>4</v>
      </c>
      <c r="AH260" t="n">
        <v>1</v>
      </c>
      <c r="AJ260" t="n">
        <v>3</v>
      </c>
      <c r="AK260" t="n">
        <v>3</v>
      </c>
      <c r="AL260" t="n">
        <v>3</v>
      </c>
      <c r="AM260" t="n">
        <v>2</v>
      </c>
      <c r="AO260" t="n">
        <v>2</v>
      </c>
      <c r="AP260" t="n">
        <v>3</v>
      </c>
      <c r="AQ260" t="n">
        <v>3</v>
      </c>
      <c r="AR260" t="n">
        <v>3</v>
      </c>
      <c r="AS260" t="n">
        <v>3</v>
      </c>
      <c r="AT260" t="n">
        <v>5</v>
      </c>
      <c r="AU260" t="n">
        <v>2</v>
      </c>
      <c r="AV260" t="n">
        <v>3</v>
      </c>
      <c r="AW260" t="n">
        <v>4</v>
      </c>
      <c r="AX260" t="n">
        <v>3</v>
      </c>
      <c r="AY260" t="n">
        <v>4</v>
      </c>
      <c r="AZ260" t="n">
        <v>3</v>
      </c>
      <c r="BB260" t="n">
        <v>4</v>
      </c>
      <c r="BC260" t="n">
        <v>3</v>
      </c>
      <c r="BD260" t="n">
        <v>3</v>
      </c>
      <c r="BE260" t="n">
        <v>3</v>
      </c>
      <c r="BF260" t="n">
        <v>4</v>
      </c>
      <c r="BG260" t="n">
        <v>2</v>
      </c>
      <c r="BH260" t="n">
        <v>3</v>
      </c>
      <c r="BI260" t="n">
        <v>3</v>
      </c>
      <c r="BJ260" t="n">
        <v>4</v>
      </c>
      <c r="BK260" t="n">
        <v>3</v>
      </c>
      <c r="BL260" t="n">
        <v>1</v>
      </c>
      <c r="BM260" t="n">
        <v>2</v>
      </c>
      <c r="BN260" t="n">
        <v>2</v>
      </c>
      <c r="BO260" t="n">
        <v>2</v>
      </c>
      <c r="BP260" t="n">
        <v>3</v>
      </c>
      <c r="BQ260" t="n">
        <v>2</v>
      </c>
      <c r="BR260" t="n">
        <v>2</v>
      </c>
      <c r="BS260" s="56">
        <f>IF(COUNT(N260:W260)&gt;=8,AVERAGE(N260:W260),"")</f>
        <v/>
      </c>
      <c r="BT260" s="56">
        <f>IF(COUNT(X260:AE260)&gt;=7,AVERAGE(X260:AE260),"")</f>
        <v/>
      </c>
      <c r="BU260" s="56">
        <f>IF(COUNT(AF260:AM260)&gt;=7,AVERAGE(AF260:AM260),"")</f>
        <v/>
      </c>
      <c r="BV260" s="56">
        <f>IF(COUNT(AN260:AV260)&gt;=8,AVERAGE(AN260:AV260),"")</f>
        <v/>
      </c>
      <c r="BW260" s="56">
        <f>IF(COUNT(AW260:BD260)&gt;=7,AVERAGE(AW260:BD260),"")</f>
        <v/>
      </c>
      <c r="BX260" s="56">
        <f>IF(COUNT(BE260:BJ260)&gt;=5,AVERAGE(BE260:BJ260),"")</f>
        <v/>
      </c>
      <c r="BY260" s="56">
        <f>IF(COUNT(BK260:BR260)&gt;=7,AVERAGE(BK260:BR260),"")</f>
        <v/>
      </c>
    </row>
    <row r="261">
      <c r="A261" t="inlineStr">
        <is>
          <t>R230</t>
        </is>
      </c>
      <c r="B261" t="inlineStr">
        <is>
          <t>Yes</t>
        </is>
      </c>
      <c r="C261" t="inlineStr">
        <is>
          <t>Yes</t>
        </is>
      </c>
      <c r="D261" t="inlineStr">
        <is>
          <t>Male</t>
        </is>
      </c>
      <c r="E261" t="inlineStr">
        <is>
          <t>35-44</t>
        </is>
      </c>
      <c r="F261" t="inlineStr">
        <is>
          <t>Postgraduate Diploma</t>
        </is>
      </c>
      <c r="G261" t="inlineStr">
        <is>
          <t>Fintech/payment provider</t>
        </is>
      </c>
      <c r="H261" t="inlineStr">
        <is>
          <t>Risk/Compliance</t>
        </is>
      </c>
      <c r="I261" t="inlineStr">
        <is>
          <t>16 or more</t>
        </is>
      </c>
      <c r="J261" t="inlineStr">
        <is>
          <t>Yes</t>
        </is>
      </c>
      <c r="K261" t="n">
        <v>3</v>
      </c>
      <c r="L261" t="inlineStr">
        <is>
          <t>Yes</t>
        </is>
      </c>
      <c r="M261" t="inlineStr">
        <is>
          <t>Yes</t>
        </is>
      </c>
      <c r="N261" t="n">
        <v>3</v>
      </c>
      <c r="O261" t="n">
        <v>2</v>
      </c>
      <c r="P261" t="n">
        <v>3</v>
      </c>
      <c r="Q261" t="n">
        <v>2</v>
      </c>
      <c r="R261" t="n">
        <v>3</v>
      </c>
      <c r="S261" t="n">
        <v>4</v>
      </c>
      <c r="T261" t="n">
        <v>2</v>
      </c>
      <c r="U261" t="n">
        <v>2</v>
      </c>
      <c r="V261" t="n">
        <v>2</v>
      </c>
      <c r="W261" t="n">
        <v>2</v>
      </c>
      <c r="X261" t="n">
        <v>4</v>
      </c>
      <c r="Y261" t="n">
        <v>2</v>
      </c>
      <c r="Z261" t="n">
        <v>4</v>
      </c>
      <c r="AA261" t="n">
        <v>2</v>
      </c>
      <c r="AB261" t="n">
        <v>3</v>
      </c>
      <c r="AC261" t="n">
        <v>2</v>
      </c>
      <c r="AD261" t="n">
        <v>3</v>
      </c>
      <c r="AE261" t="n">
        <v>2</v>
      </c>
      <c r="AF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3</v>
      </c>
      <c r="AO261" t="n">
        <v>2</v>
      </c>
      <c r="AP261" t="n">
        <v>3</v>
      </c>
      <c r="AQ261" t="n">
        <v>2</v>
      </c>
      <c r="AR261" t="n">
        <v>2</v>
      </c>
      <c r="AS261" t="n">
        <v>3</v>
      </c>
      <c r="AT261" t="n">
        <v>3</v>
      </c>
      <c r="AU261" t="n">
        <v>2</v>
      </c>
      <c r="AV261" t="n">
        <v>3</v>
      </c>
      <c r="AW261" t="n">
        <v>4</v>
      </c>
      <c r="AX261" t="n">
        <v>3</v>
      </c>
      <c r="AY261" t="n">
        <v>3</v>
      </c>
      <c r="AZ261" t="n">
        <v>2</v>
      </c>
      <c r="BA261" t="n">
        <v>2</v>
      </c>
      <c r="BB261" t="n">
        <v>2</v>
      </c>
      <c r="BC261" t="n">
        <v>4</v>
      </c>
      <c r="BD261" t="n">
        <v>2</v>
      </c>
      <c r="BE261" t="n">
        <v>4</v>
      </c>
      <c r="BF261" t="n">
        <v>5</v>
      </c>
      <c r="BG261" t="n">
        <v>4</v>
      </c>
      <c r="BH261" t="n">
        <v>4</v>
      </c>
      <c r="BI261" t="n">
        <v>4</v>
      </c>
      <c r="BJ261" t="n">
        <v>3</v>
      </c>
      <c r="BK261" t="n">
        <v>3</v>
      </c>
      <c r="BL261" t="n">
        <v>3</v>
      </c>
      <c r="BM261" t="n">
        <v>3</v>
      </c>
      <c r="BN261" t="n">
        <v>4</v>
      </c>
      <c r="BO261" t="n">
        <v>4</v>
      </c>
      <c r="BP261" t="n">
        <v>4</v>
      </c>
      <c r="BQ261" t="n">
        <v>4</v>
      </c>
      <c r="BR261" t="n">
        <v>3</v>
      </c>
      <c r="BS261" s="56">
        <f>IF(COUNT(N261:W261)&gt;=8,AVERAGE(N261:W261),"")</f>
        <v/>
      </c>
      <c r="BT261" s="56">
        <f>IF(COUNT(X261:AE261)&gt;=7,AVERAGE(X261:AE261),"")</f>
        <v/>
      </c>
      <c r="BU261" s="56">
        <f>IF(COUNT(AF261:AM261)&gt;=7,AVERAGE(AF261:AM261),"")</f>
        <v/>
      </c>
      <c r="BV261" s="56">
        <f>IF(COUNT(AN261:AV261)&gt;=8,AVERAGE(AN261:AV261),"")</f>
        <v/>
      </c>
      <c r="BW261" s="56">
        <f>IF(COUNT(AW261:BD261)&gt;=7,AVERAGE(AW261:BD261),"")</f>
        <v/>
      </c>
      <c r="BX261" s="56">
        <f>IF(COUNT(BE261:BJ261)&gt;=5,AVERAGE(BE261:BJ261),"")</f>
        <v/>
      </c>
      <c r="BY261" s="56">
        <f>IF(COUNT(BK261:BR261)&gt;=7,AVERAGE(BK261:BR261),"")</f>
        <v/>
      </c>
    </row>
    <row r="262">
      <c r="A262" t="inlineStr">
        <is>
          <t>R231</t>
        </is>
      </c>
      <c r="B262" t="inlineStr">
        <is>
          <t>Yes</t>
        </is>
      </c>
      <c r="C262" t="inlineStr">
        <is>
          <t>Yes</t>
        </is>
      </c>
      <c r="D262" t="inlineStr">
        <is>
          <t>Male</t>
        </is>
      </c>
      <c r="E262" t="inlineStr">
        <is>
          <t>25-34</t>
        </is>
      </c>
      <c r="F262" t="inlineStr">
        <is>
          <t>Master's</t>
        </is>
      </c>
      <c r="G262" t="inlineStr">
        <is>
          <t>Insurance/investment/other licensed financial institution</t>
        </is>
      </c>
      <c r="H262" t="inlineStr">
        <is>
          <t>Data/Analytics/AI</t>
        </is>
      </c>
      <c r="I262" t="inlineStr">
        <is>
          <t>2-5</t>
        </is>
      </c>
      <c r="J262" t="inlineStr">
        <is>
          <t>Yes</t>
        </is>
      </c>
      <c r="K262" t="n">
        <v>1</v>
      </c>
      <c r="L262" t="inlineStr">
        <is>
          <t>No</t>
        </is>
      </c>
      <c r="M262" t="inlineStr">
        <is>
          <t>Yes</t>
        </is>
      </c>
      <c r="N262" t="n">
        <v>4</v>
      </c>
      <c r="O262" t="n">
        <v>4</v>
      </c>
      <c r="P262" t="n">
        <v>4</v>
      </c>
      <c r="Q262" t="n">
        <v>4</v>
      </c>
      <c r="R262" t="n">
        <v>4</v>
      </c>
      <c r="S262" t="n">
        <v>4</v>
      </c>
      <c r="T262" t="n">
        <v>3</v>
      </c>
      <c r="U262" t="n">
        <v>4</v>
      </c>
      <c r="V262" t="n">
        <v>4</v>
      </c>
      <c r="W262" t="n">
        <v>4</v>
      </c>
      <c r="X262" t="n">
        <v>2</v>
      </c>
      <c r="Y262" t="n">
        <v>2</v>
      </c>
      <c r="Z262" t="n">
        <v>3</v>
      </c>
      <c r="AA262" t="n">
        <v>2</v>
      </c>
      <c r="AB262" t="n">
        <v>2</v>
      </c>
      <c r="AC262" t="n">
        <v>2</v>
      </c>
      <c r="AD262" t="n">
        <v>2</v>
      </c>
      <c r="AE262" t="n">
        <v>3</v>
      </c>
      <c r="AF262" t="n">
        <v>2</v>
      </c>
      <c r="AG262" t="n">
        <v>3</v>
      </c>
      <c r="AH262" t="n">
        <v>3</v>
      </c>
      <c r="AI262" t="n">
        <v>4</v>
      </c>
      <c r="AJ262" t="n">
        <v>2</v>
      </c>
      <c r="AK262" t="n">
        <v>4</v>
      </c>
      <c r="AL262" t="n">
        <v>2</v>
      </c>
      <c r="AM262" t="n">
        <v>3</v>
      </c>
      <c r="AN262" t="n">
        <v>2</v>
      </c>
      <c r="AO262" t="n">
        <v>1</v>
      </c>
      <c r="AP262" t="n">
        <v>1</v>
      </c>
      <c r="AQ262" t="n">
        <v>1</v>
      </c>
      <c r="AR262" t="n">
        <v>1</v>
      </c>
      <c r="AS262" t="n">
        <v>2</v>
      </c>
      <c r="AT262" t="n">
        <v>2</v>
      </c>
      <c r="AU262" t="n">
        <v>2</v>
      </c>
      <c r="AV262" t="n">
        <v>2</v>
      </c>
      <c r="AW262" t="n">
        <v>4</v>
      </c>
      <c r="AX262" t="n">
        <v>1</v>
      </c>
      <c r="AY262" t="n">
        <v>3</v>
      </c>
      <c r="AZ262" t="n">
        <v>2</v>
      </c>
      <c r="BA262" t="n">
        <v>3</v>
      </c>
      <c r="BB262" t="n">
        <v>2</v>
      </c>
      <c r="BC262" t="n">
        <v>2</v>
      </c>
      <c r="BD262" t="n">
        <v>3</v>
      </c>
      <c r="BE262" t="n">
        <v>2</v>
      </c>
      <c r="BF262" t="n">
        <v>3</v>
      </c>
      <c r="BG262" t="n">
        <v>2</v>
      </c>
      <c r="BH262" t="n">
        <v>3</v>
      </c>
      <c r="BI262" t="n">
        <v>3</v>
      </c>
      <c r="BJ262" t="n">
        <v>3</v>
      </c>
      <c r="BL262" t="n">
        <v>1</v>
      </c>
      <c r="BM262" t="n">
        <v>3</v>
      </c>
      <c r="BN262" t="n">
        <v>4</v>
      </c>
      <c r="BO262" t="n">
        <v>3</v>
      </c>
      <c r="BP262" t="n">
        <v>3</v>
      </c>
      <c r="BQ262" t="n">
        <v>3</v>
      </c>
      <c r="BR262" t="n">
        <v>3</v>
      </c>
      <c r="BS262" s="56">
        <f>IF(COUNT(N262:W262)&gt;=8,AVERAGE(N262:W262),"")</f>
        <v/>
      </c>
      <c r="BT262" s="56">
        <f>IF(COUNT(X262:AE262)&gt;=7,AVERAGE(X262:AE262),"")</f>
        <v/>
      </c>
      <c r="BU262" s="56">
        <f>IF(COUNT(AF262:AM262)&gt;=7,AVERAGE(AF262:AM262),"")</f>
        <v/>
      </c>
      <c r="BV262" s="56">
        <f>IF(COUNT(AN262:AV262)&gt;=8,AVERAGE(AN262:AV262),"")</f>
        <v/>
      </c>
      <c r="BW262" s="56">
        <f>IF(COUNT(AW262:BD262)&gt;=7,AVERAGE(AW262:BD262),"")</f>
        <v/>
      </c>
      <c r="BX262" s="56">
        <f>IF(COUNT(BE262:BJ262)&gt;=5,AVERAGE(BE262:BJ262),"")</f>
        <v/>
      </c>
      <c r="BY262" s="56">
        <f>IF(COUNT(BK262:BR262)&gt;=7,AVERAGE(BK262:BR262),"")</f>
        <v/>
      </c>
    </row>
    <row r="263">
      <c r="A263" t="inlineStr">
        <is>
          <t>R232</t>
        </is>
      </c>
      <c r="B263" t="inlineStr">
        <is>
          <t>Yes</t>
        </is>
      </c>
      <c r="C263" t="inlineStr">
        <is>
          <t>Yes</t>
        </is>
      </c>
      <c r="D263" t="inlineStr">
        <is>
          <t>Male</t>
        </is>
      </c>
      <c r="E263" t="inlineStr">
        <is>
          <t>25-34</t>
        </is>
      </c>
      <c r="F263" t="inlineStr">
        <is>
          <t>Master's</t>
        </is>
      </c>
      <c r="G263" t="inlineStr">
        <is>
          <t>Microfinance bank</t>
        </is>
      </c>
      <c r="H263" t="inlineStr">
        <is>
          <t>Customer Experience/Service</t>
        </is>
      </c>
      <c r="I263" t="inlineStr">
        <is>
          <t>16 or more</t>
        </is>
      </c>
      <c r="J263" t="inlineStr">
        <is>
          <t>Yes</t>
        </is>
      </c>
      <c r="K263" t="n">
        <v>2</v>
      </c>
      <c r="L263" t="inlineStr">
        <is>
          <t>Yes</t>
        </is>
      </c>
      <c r="M263" t="inlineStr">
        <is>
          <t>Yes</t>
        </is>
      </c>
      <c r="N263" t="n">
        <v>1</v>
      </c>
      <c r="O263" t="n">
        <v>2</v>
      </c>
      <c r="P263" t="n">
        <v>3</v>
      </c>
      <c r="Q263" t="n">
        <v>2</v>
      </c>
      <c r="R263" t="n">
        <v>2</v>
      </c>
      <c r="T263" t="n">
        <v>3</v>
      </c>
      <c r="U263" t="n">
        <v>1</v>
      </c>
      <c r="V263" t="n">
        <v>2</v>
      </c>
      <c r="W263" t="n">
        <v>2</v>
      </c>
      <c r="X263" t="n">
        <v>2</v>
      </c>
      <c r="Y263" t="n">
        <v>4</v>
      </c>
      <c r="Z263" t="n">
        <v>3</v>
      </c>
      <c r="AA263" t="n">
        <v>2</v>
      </c>
      <c r="AB263" t="n">
        <v>2</v>
      </c>
      <c r="AC263" t="n">
        <v>3</v>
      </c>
      <c r="AD263" t="n">
        <v>3</v>
      </c>
      <c r="AF263" t="n">
        <v>2</v>
      </c>
      <c r="AG263" t="n">
        <v>4</v>
      </c>
      <c r="AH263" t="n">
        <v>2</v>
      </c>
      <c r="AI263" t="n">
        <v>2</v>
      </c>
      <c r="AJ263" t="n">
        <v>2</v>
      </c>
      <c r="AK263" t="n">
        <v>2</v>
      </c>
      <c r="AL263" t="n">
        <v>2</v>
      </c>
      <c r="AM263" t="n">
        <v>3</v>
      </c>
      <c r="AN263" t="n">
        <v>4</v>
      </c>
      <c r="AO263" t="n">
        <v>2</v>
      </c>
      <c r="AP263" t="n">
        <v>2</v>
      </c>
      <c r="AQ263" t="n">
        <v>3</v>
      </c>
      <c r="AR263" t="n">
        <v>4</v>
      </c>
      <c r="AS263" t="n">
        <v>4</v>
      </c>
      <c r="AT263" t="n">
        <v>4</v>
      </c>
      <c r="AU263" t="n">
        <v>4</v>
      </c>
      <c r="AV263" t="n">
        <v>3</v>
      </c>
      <c r="AW263" t="n">
        <v>4</v>
      </c>
      <c r="AX263" t="n">
        <v>1</v>
      </c>
      <c r="AY263" t="n">
        <v>3</v>
      </c>
      <c r="AZ263" t="n">
        <v>3</v>
      </c>
      <c r="BA263" t="n">
        <v>3</v>
      </c>
      <c r="BB263" t="n">
        <v>3</v>
      </c>
      <c r="BC263" t="n">
        <v>2</v>
      </c>
      <c r="BD263" t="n">
        <v>2</v>
      </c>
      <c r="BE263" t="n">
        <v>3</v>
      </c>
      <c r="BF263" t="n">
        <v>3</v>
      </c>
      <c r="BG263" t="n">
        <v>3</v>
      </c>
      <c r="BH263" t="n">
        <v>4</v>
      </c>
      <c r="BI263" t="n">
        <v>3</v>
      </c>
      <c r="BJ263" t="n">
        <v>4</v>
      </c>
      <c r="BK263" t="n">
        <v>3</v>
      </c>
      <c r="BL263" t="n">
        <v>3</v>
      </c>
      <c r="BM263" t="n">
        <v>2</v>
      </c>
      <c r="BN263" t="n">
        <v>3</v>
      </c>
      <c r="BO263" t="n">
        <v>3</v>
      </c>
      <c r="BP263" t="n">
        <v>2</v>
      </c>
      <c r="BQ263" t="n">
        <v>3</v>
      </c>
      <c r="BR263" t="n">
        <v>2</v>
      </c>
      <c r="BS263" s="56">
        <f>IF(COUNT(N263:W263)&gt;=8,AVERAGE(N263:W263),"")</f>
        <v/>
      </c>
      <c r="BT263" s="56">
        <f>IF(COUNT(X263:AE263)&gt;=7,AVERAGE(X263:AE263),"")</f>
        <v/>
      </c>
      <c r="BU263" s="56">
        <f>IF(COUNT(AF263:AM263)&gt;=7,AVERAGE(AF263:AM263),"")</f>
        <v/>
      </c>
      <c r="BV263" s="56">
        <f>IF(COUNT(AN263:AV263)&gt;=8,AVERAGE(AN263:AV263),"")</f>
        <v/>
      </c>
      <c r="BW263" s="56">
        <f>IF(COUNT(AW263:BD263)&gt;=7,AVERAGE(AW263:BD263),"")</f>
        <v/>
      </c>
      <c r="BX263" s="56">
        <f>IF(COUNT(BE263:BJ263)&gt;=5,AVERAGE(BE263:BJ263),"")</f>
        <v/>
      </c>
      <c r="BY263" s="56">
        <f>IF(COUNT(BK263:BR263)&gt;=7,AVERAGE(BK263:BR263),"")</f>
        <v/>
      </c>
    </row>
    <row r="264">
      <c r="A264" t="inlineStr">
        <is>
          <t>R233</t>
        </is>
      </c>
      <c r="B264" t="inlineStr">
        <is>
          <t>Yes</t>
        </is>
      </c>
      <c r="C264" t="inlineStr">
        <is>
          <t>Yes</t>
        </is>
      </c>
      <c r="D264" t="inlineStr">
        <is>
          <t>Female</t>
        </is>
      </c>
      <c r="E264" t="inlineStr">
        <is>
          <t>25-34</t>
        </is>
      </c>
      <c r="F264" t="inlineStr">
        <is>
          <t>Bachelor/HND</t>
        </is>
      </c>
      <c r="G264" t="inlineStr">
        <is>
          <t>Commercial bank</t>
        </is>
      </c>
      <c r="H264" t="inlineStr">
        <is>
          <t>Relationship/Marketing</t>
        </is>
      </c>
      <c r="I264" t="inlineStr">
        <is>
          <t>6-10</t>
        </is>
      </c>
      <c r="J264" t="inlineStr">
        <is>
          <t>Yes</t>
        </is>
      </c>
      <c r="K264" t="n">
        <v>1</v>
      </c>
      <c r="L264" t="inlineStr">
        <is>
          <t>No</t>
        </is>
      </c>
      <c r="M264" t="inlineStr">
        <is>
          <t>Yes</t>
        </is>
      </c>
      <c r="N264" t="n">
        <v>3</v>
      </c>
      <c r="P264" t="n">
        <v>4</v>
      </c>
      <c r="Q264" t="n">
        <v>3</v>
      </c>
      <c r="R264" t="n">
        <v>3</v>
      </c>
      <c r="S264" t="n">
        <v>4</v>
      </c>
      <c r="T264" t="n">
        <v>3</v>
      </c>
      <c r="U264" t="n">
        <v>3</v>
      </c>
      <c r="V264" t="n">
        <v>4</v>
      </c>
      <c r="W264" t="n">
        <v>3</v>
      </c>
      <c r="X264" t="n">
        <v>3</v>
      </c>
      <c r="Y264" t="n">
        <v>3</v>
      </c>
      <c r="Z264" t="n">
        <v>4</v>
      </c>
      <c r="AB264" t="n">
        <v>3</v>
      </c>
      <c r="AC264" t="n">
        <v>4</v>
      </c>
      <c r="AD264" t="n">
        <v>2</v>
      </c>
      <c r="AE264" t="n">
        <v>2</v>
      </c>
      <c r="AF264" t="n">
        <v>3</v>
      </c>
      <c r="AG264" t="n">
        <v>2</v>
      </c>
      <c r="AH264" t="n">
        <v>2</v>
      </c>
      <c r="AI264" t="n">
        <v>3</v>
      </c>
      <c r="AJ264" t="n">
        <v>3</v>
      </c>
      <c r="AK264" t="n">
        <v>3</v>
      </c>
      <c r="AL264" t="n">
        <v>2</v>
      </c>
      <c r="AM264" t="n">
        <v>2</v>
      </c>
      <c r="AN264" t="n">
        <v>3</v>
      </c>
      <c r="AO264" t="n">
        <v>3</v>
      </c>
      <c r="AP264" t="n">
        <v>3</v>
      </c>
      <c r="AQ264" t="n">
        <v>2</v>
      </c>
      <c r="AR264" t="n">
        <v>3</v>
      </c>
      <c r="AS264" t="n">
        <v>3</v>
      </c>
      <c r="AT264" t="n">
        <v>4</v>
      </c>
      <c r="AV264" t="n">
        <v>3</v>
      </c>
      <c r="AW264" t="n">
        <v>3</v>
      </c>
      <c r="AX264" t="n">
        <v>2</v>
      </c>
      <c r="AY264" t="n">
        <v>3</v>
      </c>
      <c r="BA264" t="n">
        <v>4</v>
      </c>
      <c r="BB264" t="n">
        <v>3</v>
      </c>
      <c r="BC264" t="n">
        <v>3</v>
      </c>
      <c r="BD264" t="n">
        <v>2</v>
      </c>
      <c r="BE264" t="n">
        <v>4</v>
      </c>
      <c r="BF264" t="n">
        <v>3</v>
      </c>
      <c r="BG264" t="n">
        <v>3</v>
      </c>
      <c r="BH264" t="n">
        <v>4</v>
      </c>
      <c r="BI264" t="n">
        <v>4</v>
      </c>
      <c r="BJ264" t="n">
        <v>3</v>
      </c>
      <c r="BK264" t="n">
        <v>2</v>
      </c>
      <c r="BL264" t="n">
        <v>3</v>
      </c>
      <c r="BM264" t="n">
        <v>4</v>
      </c>
      <c r="BN264" t="n">
        <v>3</v>
      </c>
      <c r="BO264" t="n">
        <v>3</v>
      </c>
      <c r="BP264" t="n">
        <v>3</v>
      </c>
      <c r="BQ264" t="n">
        <v>5</v>
      </c>
      <c r="BR264" t="n">
        <v>3</v>
      </c>
      <c r="BS264" s="56">
        <f>IF(COUNT(N264:W264)&gt;=8,AVERAGE(N264:W264),"")</f>
        <v/>
      </c>
      <c r="BT264" s="56">
        <f>IF(COUNT(X264:AE264)&gt;=7,AVERAGE(X264:AE264),"")</f>
        <v/>
      </c>
      <c r="BU264" s="56">
        <f>IF(COUNT(AF264:AM264)&gt;=7,AVERAGE(AF264:AM264),"")</f>
        <v/>
      </c>
      <c r="BV264" s="56">
        <f>IF(COUNT(AN264:AV264)&gt;=8,AVERAGE(AN264:AV264),"")</f>
        <v/>
      </c>
      <c r="BW264" s="56">
        <f>IF(COUNT(AW264:BD264)&gt;=7,AVERAGE(AW264:BD264),"")</f>
        <v/>
      </c>
      <c r="BX264" s="56">
        <f>IF(COUNT(BE264:BJ264)&gt;=5,AVERAGE(BE264:BJ264),"")</f>
        <v/>
      </c>
      <c r="BY264" s="56">
        <f>IF(COUNT(BK264:BR264)&gt;=7,AVERAGE(BK264:BR264),"")</f>
        <v/>
      </c>
    </row>
    <row r="265">
      <c r="A265" t="inlineStr">
        <is>
          <t>R234</t>
        </is>
      </c>
      <c r="B265" t="inlineStr">
        <is>
          <t>Yes</t>
        </is>
      </c>
      <c r="C265" t="inlineStr">
        <is>
          <t>Yes</t>
        </is>
      </c>
      <c r="D265" t="inlineStr">
        <is>
          <t>Male</t>
        </is>
      </c>
      <c r="E265" t="inlineStr">
        <is>
          <t>55 or above</t>
        </is>
      </c>
      <c r="F265" t="inlineStr">
        <is>
          <t>Diploma/OND/NCE</t>
        </is>
      </c>
      <c r="G265" t="inlineStr">
        <is>
          <t>Merchant bank</t>
        </is>
      </c>
      <c r="H265" t="inlineStr">
        <is>
          <t>Customer Experience/Service</t>
        </is>
      </c>
      <c r="I265" t="inlineStr">
        <is>
          <t>2-5</t>
        </is>
      </c>
      <c r="J265" t="inlineStr">
        <is>
          <t>Yes</t>
        </is>
      </c>
      <c r="K265" t="n">
        <v>3</v>
      </c>
      <c r="L265" t="inlineStr">
        <is>
          <t>Yes</t>
        </is>
      </c>
      <c r="M265" t="inlineStr">
        <is>
          <t>Yes</t>
        </is>
      </c>
      <c r="N265" t="n">
        <v>3</v>
      </c>
      <c r="O265" t="n">
        <v>3</v>
      </c>
      <c r="P265" t="n">
        <v>3</v>
      </c>
      <c r="Q265" t="n">
        <v>3</v>
      </c>
      <c r="R265" t="n">
        <v>4</v>
      </c>
      <c r="S265" t="n">
        <v>4</v>
      </c>
      <c r="T265" t="n">
        <v>3</v>
      </c>
      <c r="U265" t="n">
        <v>2</v>
      </c>
      <c r="V265" t="n">
        <v>4</v>
      </c>
      <c r="W265" t="n">
        <v>2</v>
      </c>
      <c r="X265" t="n">
        <v>3</v>
      </c>
      <c r="Y265" t="n">
        <v>1</v>
      </c>
      <c r="Z265" t="n">
        <v>3</v>
      </c>
      <c r="AA265" t="n">
        <v>3</v>
      </c>
      <c r="AB265" t="n">
        <v>3</v>
      </c>
      <c r="AC265" t="n">
        <v>3</v>
      </c>
      <c r="AD265" t="n">
        <v>3</v>
      </c>
      <c r="AE265" t="n">
        <v>3</v>
      </c>
      <c r="AF265" t="n">
        <v>3</v>
      </c>
      <c r="AG265" t="n">
        <v>5</v>
      </c>
      <c r="AH265" t="n">
        <v>4</v>
      </c>
      <c r="AI265" t="n">
        <v>5</v>
      </c>
      <c r="AJ265" t="n">
        <v>4</v>
      </c>
      <c r="AK265" t="n">
        <v>4</v>
      </c>
      <c r="AL265" t="n">
        <v>2</v>
      </c>
      <c r="AM265" t="n">
        <v>4</v>
      </c>
      <c r="AN265" t="n">
        <v>4</v>
      </c>
      <c r="AO265" t="n">
        <v>3</v>
      </c>
      <c r="AP265" t="n">
        <v>4</v>
      </c>
      <c r="AQ265" t="n">
        <v>3</v>
      </c>
      <c r="AR265" t="n">
        <v>4</v>
      </c>
      <c r="AS265" t="n">
        <v>4</v>
      </c>
      <c r="AT265" t="n">
        <v>5</v>
      </c>
      <c r="AU265" t="n">
        <v>4</v>
      </c>
      <c r="AV265" t="n">
        <v>5</v>
      </c>
      <c r="AW265" t="n">
        <v>5</v>
      </c>
      <c r="AX265" t="n">
        <v>3</v>
      </c>
      <c r="AZ265" t="n">
        <v>3</v>
      </c>
      <c r="BA265" t="n">
        <v>5</v>
      </c>
      <c r="BB265" t="n">
        <v>5</v>
      </c>
      <c r="BC265" t="n">
        <v>4</v>
      </c>
      <c r="BD265" t="n">
        <v>3</v>
      </c>
      <c r="BE265" t="n">
        <v>4</v>
      </c>
      <c r="BF265" t="n">
        <v>4</v>
      </c>
      <c r="BG265" t="n">
        <v>2</v>
      </c>
      <c r="BH265" t="n">
        <v>5</v>
      </c>
      <c r="BI265" t="n">
        <v>5</v>
      </c>
      <c r="BJ265" t="n">
        <v>3</v>
      </c>
      <c r="BK265" t="n">
        <v>4</v>
      </c>
      <c r="BL265" t="n">
        <v>3</v>
      </c>
      <c r="BM265" t="n">
        <v>4</v>
      </c>
      <c r="BN265" t="n">
        <v>2</v>
      </c>
      <c r="BO265" t="n">
        <v>3</v>
      </c>
      <c r="BP265" t="n">
        <v>3</v>
      </c>
      <c r="BQ265" t="n">
        <v>3</v>
      </c>
      <c r="BR265" t="n">
        <v>3</v>
      </c>
      <c r="BS265" s="56">
        <f>IF(COUNT(N265:W265)&gt;=8,AVERAGE(N265:W265),"")</f>
        <v/>
      </c>
      <c r="BT265" s="56">
        <f>IF(COUNT(X265:AE265)&gt;=7,AVERAGE(X265:AE265),"")</f>
        <v/>
      </c>
      <c r="BU265" s="56">
        <f>IF(COUNT(AF265:AM265)&gt;=7,AVERAGE(AF265:AM265),"")</f>
        <v/>
      </c>
      <c r="BV265" s="56">
        <f>IF(COUNT(AN265:AV265)&gt;=8,AVERAGE(AN265:AV265),"")</f>
        <v/>
      </c>
      <c r="BW265" s="56">
        <f>IF(COUNT(AW265:BD265)&gt;=7,AVERAGE(AW265:BD265),"")</f>
        <v/>
      </c>
      <c r="BX265" s="56">
        <f>IF(COUNT(BE265:BJ265)&gt;=5,AVERAGE(BE265:BJ265),"")</f>
        <v/>
      </c>
      <c r="BY265" s="56">
        <f>IF(COUNT(BK265:BR265)&gt;=7,AVERAGE(BK265:BR265),"")</f>
        <v/>
      </c>
    </row>
    <row r="266">
      <c r="A266" t="inlineStr">
        <is>
          <t>R235</t>
        </is>
      </c>
      <c r="B266" t="inlineStr">
        <is>
          <t>Yes</t>
        </is>
      </c>
      <c r="C266" t="inlineStr">
        <is>
          <t>Yes</t>
        </is>
      </c>
      <c r="D266" t="inlineStr">
        <is>
          <t>Male</t>
        </is>
      </c>
      <c r="E266" t="inlineStr">
        <is>
          <t>25-34</t>
        </is>
      </c>
      <c r="F266" t="inlineStr">
        <is>
          <t>Bachelor/HND</t>
        </is>
      </c>
      <c r="G266" t="inlineStr">
        <is>
          <t>Microfinance bank</t>
        </is>
      </c>
      <c r="H266" t="inlineStr">
        <is>
          <t>Other</t>
        </is>
      </c>
      <c r="I266" t="inlineStr">
        <is>
          <t>6-10</t>
        </is>
      </c>
      <c r="J266" t="inlineStr">
        <is>
          <t>Yes</t>
        </is>
      </c>
      <c r="K266" t="n">
        <v>2</v>
      </c>
      <c r="L266" t="inlineStr">
        <is>
          <t>Yes</t>
        </is>
      </c>
      <c r="M266" t="inlineStr">
        <is>
          <t>Yes</t>
        </is>
      </c>
      <c r="N266" t="n">
        <v>4</v>
      </c>
      <c r="O266" t="n">
        <v>4</v>
      </c>
      <c r="P266" t="n">
        <v>5</v>
      </c>
      <c r="Q266" t="n">
        <v>3</v>
      </c>
      <c r="R266" t="n">
        <v>3</v>
      </c>
      <c r="S266" t="n">
        <v>5</v>
      </c>
      <c r="T266" t="n">
        <v>3</v>
      </c>
      <c r="U266" t="n">
        <v>4</v>
      </c>
      <c r="V266" t="n">
        <v>5</v>
      </c>
      <c r="W266" t="n">
        <v>3</v>
      </c>
      <c r="X266" t="n">
        <v>2</v>
      </c>
      <c r="Y266" t="n">
        <v>2</v>
      </c>
      <c r="Z266" t="n">
        <v>3</v>
      </c>
      <c r="AA266" t="n">
        <v>1</v>
      </c>
      <c r="AB266" t="n">
        <v>3</v>
      </c>
      <c r="AC266" t="n">
        <v>3</v>
      </c>
      <c r="AD266" t="n">
        <v>3</v>
      </c>
      <c r="AE266" t="n">
        <v>2</v>
      </c>
      <c r="AF266" t="n">
        <v>3</v>
      </c>
      <c r="AG266" t="n">
        <v>4</v>
      </c>
      <c r="AH266" t="n">
        <v>3</v>
      </c>
      <c r="AI266" t="n">
        <v>3</v>
      </c>
      <c r="AJ266" t="n">
        <v>2</v>
      </c>
      <c r="AK266" t="n">
        <v>4</v>
      </c>
      <c r="AL266" t="n">
        <v>4</v>
      </c>
      <c r="AM266" t="n">
        <v>4</v>
      </c>
      <c r="AN266" t="n">
        <v>3</v>
      </c>
      <c r="AO266" t="n">
        <v>3</v>
      </c>
      <c r="AP266" t="n">
        <v>3</v>
      </c>
      <c r="AQ266" t="n">
        <v>2</v>
      </c>
      <c r="AR266" t="n">
        <v>4</v>
      </c>
      <c r="AS266" t="n">
        <v>3</v>
      </c>
      <c r="AT266" t="n">
        <v>3</v>
      </c>
      <c r="AU266" t="n">
        <v>3</v>
      </c>
      <c r="AV266" t="n">
        <v>2</v>
      </c>
      <c r="AW266" t="n">
        <v>4</v>
      </c>
      <c r="AX266" t="n">
        <v>4</v>
      </c>
      <c r="AY266" t="n">
        <v>4</v>
      </c>
      <c r="AZ266" t="n">
        <v>4</v>
      </c>
      <c r="BA266" t="n">
        <v>3</v>
      </c>
      <c r="BB266" t="n">
        <v>2</v>
      </c>
      <c r="BC266" t="n">
        <v>3</v>
      </c>
      <c r="BD266" t="n">
        <v>3</v>
      </c>
      <c r="BE266" t="n">
        <v>2</v>
      </c>
      <c r="BF266" t="n">
        <v>4</v>
      </c>
      <c r="BG266" t="n">
        <v>3</v>
      </c>
      <c r="BH266" t="n">
        <v>5</v>
      </c>
      <c r="BI266" t="n">
        <v>4</v>
      </c>
      <c r="BJ266" t="n">
        <v>4</v>
      </c>
      <c r="BK266" t="n">
        <v>4</v>
      </c>
      <c r="BL266" t="n">
        <v>2</v>
      </c>
      <c r="BM266" t="n">
        <v>4</v>
      </c>
      <c r="BN266" t="n">
        <v>4</v>
      </c>
      <c r="BO266" t="n">
        <v>4</v>
      </c>
      <c r="BP266" t="n">
        <v>4</v>
      </c>
      <c r="BQ266" t="n">
        <v>3</v>
      </c>
      <c r="BR266" t="n">
        <v>4</v>
      </c>
      <c r="BS266" s="56">
        <f>IF(COUNT(N266:W266)&gt;=8,AVERAGE(N266:W266),"")</f>
        <v/>
      </c>
      <c r="BT266" s="56">
        <f>IF(COUNT(X266:AE266)&gt;=7,AVERAGE(X266:AE266),"")</f>
        <v/>
      </c>
      <c r="BU266" s="56">
        <f>IF(COUNT(AF266:AM266)&gt;=7,AVERAGE(AF266:AM266),"")</f>
        <v/>
      </c>
      <c r="BV266" s="56">
        <f>IF(COUNT(AN266:AV266)&gt;=8,AVERAGE(AN266:AV266),"")</f>
        <v/>
      </c>
      <c r="BW266" s="56">
        <f>IF(COUNT(AW266:BD266)&gt;=7,AVERAGE(AW266:BD266),"")</f>
        <v/>
      </c>
      <c r="BX266" s="56">
        <f>IF(COUNT(BE266:BJ266)&gt;=5,AVERAGE(BE266:BJ266),"")</f>
        <v/>
      </c>
      <c r="BY266" s="56">
        <f>IF(COUNT(BK266:BR266)&gt;=7,AVERAGE(BK266:BR266),"")</f>
        <v/>
      </c>
    </row>
    <row r="267">
      <c r="A267" t="inlineStr">
        <is>
          <t>R236</t>
        </is>
      </c>
      <c r="B267" t="inlineStr">
        <is>
          <t>Yes</t>
        </is>
      </c>
      <c r="C267" t="inlineStr">
        <is>
          <t>Yes</t>
        </is>
      </c>
      <c r="D267" t="inlineStr">
        <is>
          <t>Male</t>
        </is>
      </c>
      <c r="E267" t="inlineStr">
        <is>
          <t>25-34</t>
        </is>
      </c>
      <c r="F267" t="inlineStr">
        <is>
          <t>Postgraduate Diploma</t>
        </is>
      </c>
      <c r="G267" t="inlineStr">
        <is>
          <t>Commercial bank</t>
        </is>
      </c>
      <c r="H267" t="inlineStr">
        <is>
          <t>Digital Banking/Product</t>
        </is>
      </c>
      <c r="I267" t="inlineStr">
        <is>
          <t>11-15</t>
        </is>
      </c>
      <c r="J267" t="inlineStr">
        <is>
          <t>Yes</t>
        </is>
      </c>
      <c r="K267" t="n">
        <v>3</v>
      </c>
      <c r="L267" t="inlineStr">
        <is>
          <t>Yes</t>
        </is>
      </c>
      <c r="M267" t="inlineStr">
        <is>
          <t>Yes</t>
        </is>
      </c>
      <c r="N267" t="n">
        <v>2</v>
      </c>
      <c r="O267" t="n">
        <v>2</v>
      </c>
      <c r="P267" t="n">
        <v>2</v>
      </c>
      <c r="Q267" t="n">
        <v>1</v>
      </c>
      <c r="R267" t="n">
        <v>2</v>
      </c>
      <c r="S267" t="n">
        <v>2</v>
      </c>
      <c r="T267" t="n">
        <v>1</v>
      </c>
      <c r="U267" t="n">
        <v>3</v>
      </c>
      <c r="V267" t="n">
        <v>2</v>
      </c>
      <c r="W267" t="n">
        <v>1</v>
      </c>
      <c r="X267" t="n">
        <v>5</v>
      </c>
      <c r="Y267" t="n">
        <v>5</v>
      </c>
      <c r="Z267" t="n">
        <v>4</v>
      </c>
      <c r="AA267" t="n">
        <v>3</v>
      </c>
      <c r="AB267" t="n">
        <v>3</v>
      </c>
      <c r="AC267" t="n">
        <v>4</v>
      </c>
      <c r="AD267" t="n">
        <v>4</v>
      </c>
      <c r="AE267" t="n">
        <v>3</v>
      </c>
      <c r="AF267" t="n">
        <v>4</v>
      </c>
      <c r="AG267" t="n">
        <v>4</v>
      </c>
      <c r="AH267" t="n">
        <v>3</v>
      </c>
      <c r="AI267" t="n">
        <v>4</v>
      </c>
      <c r="AJ267" t="n">
        <v>4</v>
      </c>
      <c r="AK267" t="n">
        <v>4</v>
      </c>
      <c r="AL267" t="n">
        <v>3</v>
      </c>
      <c r="AN267" t="n">
        <v>4</v>
      </c>
      <c r="AO267" t="n">
        <v>3</v>
      </c>
      <c r="AP267" t="n">
        <v>4</v>
      </c>
      <c r="AQ267" t="n">
        <v>4</v>
      </c>
      <c r="AR267" t="n">
        <v>4</v>
      </c>
      <c r="AS267" t="n">
        <v>3</v>
      </c>
      <c r="AT267" t="n">
        <v>4</v>
      </c>
      <c r="AU267" t="n">
        <v>3</v>
      </c>
      <c r="AV267" t="n">
        <v>3</v>
      </c>
      <c r="AW267" t="n">
        <v>4</v>
      </c>
      <c r="AX267" t="n">
        <v>1</v>
      </c>
      <c r="AY267" t="n">
        <v>3</v>
      </c>
      <c r="AZ267" t="n">
        <v>4</v>
      </c>
      <c r="BA267" t="n">
        <v>4</v>
      </c>
      <c r="BB267" t="n">
        <v>3</v>
      </c>
      <c r="BC267" t="n">
        <v>2</v>
      </c>
      <c r="BD267" t="n">
        <v>3</v>
      </c>
      <c r="BE267" t="n">
        <v>3</v>
      </c>
      <c r="BF267" t="n">
        <v>3</v>
      </c>
      <c r="BG267" t="n">
        <v>3</v>
      </c>
      <c r="BH267" t="n">
        <v>4</v>
      </c>
      <c r="BI267" t="n">
        <v>3</v>
      </c>
      <c r="BJ267" t="n">
        <v>4</v>
      </c>
      <c r="BK267" t="n">
        <v>3</v>
      </c>
      <c r="BL267" t="n">
        <v>1</v>
      </c>
      <c r="BM267" t="n">
        <v>3</v>
      </c>
      <c r="BN267" t="n">
        <v>3</v>
      </c>
      <c r="BO267" t="n">
        <v>3</v>
      </c>
      <c r="BP267" t="n">
        <v>3</v>
      </c>
      <c r="BQ267" t="n">
        <v>3</v>
      </c>
      <c r="BR267" t="n">
        <v>4</v>
      </c>
      <c r="BS267" s="56">
        <f>IF(COUNT(N267:W267)&gt;=8,AVERAGE(N267:W267),"")</f>
        <v/>
      </c>
      <c r="BT267" s="56">
        <f>IF(COUNT(X267:AE267)&gt;=7,AVERAGE(X267:AE267),"")</f>
        <v/>
      </c>
      <c r="BU267" s="56">
        <f>IF(COUNT(AF267:AM267)&gt;=7,AVERAGE(AF267:AM267),"")</f>
        <v/>
      </c>
      <c r="BV267" s="56">
        <f>IF(COUNT(AN267:AV267)&gt;=8,AVERAGE(AN267:AV267),"")</f>
        <v/>
      </c>
      <c r="BW267" s="56">
        <f>IF(COUNT(AW267:BD267)&gt;=7,AVERAGE(AW267:BD267),"")</f>
        <v/>
      </c>
      <c r="BX267" s="56">
        <f>IF(COUNT(BE267:BJ267)&gt;=5,AVERAGE(BE267:BJ267),"")</f>
        <v/>
      </c>
      <c r="BY267" s="56">
        <f>IF(COUNT(BK267:BR267)&gt;=7,AVERAGE(BK267:BR267),"")</f>
        <v/>
      </c>
    </row>
    <row r="268">
      <c r="A268" t="inlineStr">
        <is>
          <t>R237</t>
        </is>
      </c>
      <c r="B268" t="inlineStr">
        <is>
          <t>Yes</t>
        </is>
      </c>
      <c r="C268" t="inlineStr">
        <is>
          <t>Yes</t>
        </is>
      </c>
      <c r="D268" t="inlineStr">
        <is>
          <t>Male</t>
        </is>
      </c>
      <c r="E268" t="inlineStr">
        <is>
          <t>35-44</t>
        </is>
      </c>
      <c r="F268" t="inlineStr">
        <is>
          <t>Postgraduate Diploma</t>
        </is>
      </c>
      <c r="G268" t="inlineStr">
        <is>
          <t>Insurance/investment/other licensed financial institution</t>
        </is>
      </c>
      <c r="H268" t="inlineStr">
        <is>
          <t>IT/Technology</t>
        </is>
      </c>
      <c r="I268" t="inlineStr">
        <is>
          <t>2-5</t>
        </is>
      </c>
      <c r="J268" t="inlineStr">
        <is>
          <t>Yes</t>
        </is>
      </c>
      <c r="K268" t="n">
        <v>2</v>
      </c>
      <c r="L268" t="inlineStr">
        <is>
          <t>Do not know</t>
        </is>
      </c>
      <c r="M268" t="inlineStr">
        <is>
          <t>Yes</t>
        </is>
      </c>
      <c r="N268" t="n">
        <v>3</v>
      </c>
      <c r="O268" t="n">
        <v>3</v>
      </c>
      <c r="P268" t="n">
        <v>5</v>
      </c>
      <c r="Q268" t="n">
        <v>2</v>
      </c>
      <c r="R268" t="n">
        <v>3</v>
      </c>
      <c r="S268" t="n">
        <v>4</v>
      </c>
      <c r="T268" t="n">
        <v>3</v>
      </c>
      <c r="U268" t="n">
        <v>3</v>
      </c>
      <c r="V268" t="n">
        <v>4</v>
      </c>
      <c r="W268" t="n">
        <v>3</v>
      </c>
      <c r="X268" t="n">
        <v>3</v>
      </c>
      <c r="Y268" t="n">
        <v>3</v>
      </c>
      <c r="Z268" t="n">
        <v>4</v>
      </c>
      <c r="AA268" t="n">
        <v>3</v>
      </c>
      <c r="AB268" t="n">
        <v>3</v>
      </c>
      <c r="AC268" t="n">
        <v>3</v>
      </c>
      <c r="AD268" t="n">
        <v>3</v>
      </c>
      <c r="AE268" t="n">
        <v>4</v>
      </c>
      <c r="AF268" t="n">
        <v>2</v>
      </c>
      <c r="AG268" t="n">
        <v>3</v>
      </c>
      <c r="AH268" t="n">
        <v>2</v>
      </c>
      <c r="AI268" t="n">
        <v>3</v>
      </c>
      <c r="AJ268" t="n">
        <v>3</v>
      </c>
      <c r="AK268" t="n">
        <v>3</v>
      </c>
      <c r="AL268" t="n">
        <v>2</v>
      </c>
      <c r="AM268" t="n">
        <v>4</v>
      </c>
      <c r="AN268" t="n">
        <v>4</v>
      </c>
      <c r="AO268" t="n">
        <v>4</v>
      </c>
      <c r="AP268" t="n">
        <v>3</v>
      </c>
      <c r="AQ268" t="n">
        <v>4</v>
      </c>
      <c r="AR268" t="n">
        <v>3</v>
      </c>
      <c r="AS268" t="n">
        <v>3</v>
      </c>
      <c r="AT268" t="n">
        <v>4</v>
      </c>
      <c r="AU268" t="n">
        <v>4</v>
      </c>
      <c r="AV268" t="n">
        <v>5</v>
      </c>
      <c r="AW268" t="n">
        <v>4</v>
      </c>
      <c r="AX268" t="n">
        <v>4</v>
      </c>
      <c r="AY268" t="n">
        <v>3</v>
      </c>
      <c r="AZ268" t="n">
        <v>2</v>
      </c>
      <c r="BA268" t="n">
        <v>4</v>
      </c>
      <c r="BB268" t="n">
        <v>3</v>
      </c>
      <c r="BC268" t="n">
        <v>4</v>
      </c>
      <c r="BD268" t="n">
        <v>4</v>
      </c>
      <c r="BE268" t="n">
        <v>3</v>
      </c>
      <c r="BF268" t="n">
        <v>2</v>
      </c>
      <c r="BG268" t="n">
        <v>1</v>
      </c>
      <c r="BH268" t="n">
        <v>2</v>
      </c>
      <c r="BI268" t="n">
        <v>3</v>
      </c>
      <c r="BJ268" t="n">
        <v>3</v>
      </c>
      <c r="BK268" t="n">
        <v>3</v>
      </c>
      <c r="BL268" t="n">
        <v>2</v>
      </c>
      <c r="BN268" t="n">
        <v>3</v>
      </c>
      <c r="BO268" t="n">
        <v>3</v>
      </c>
      <c r="BP268" t="n">
        <v>2</v>
      </c>
      <c r="BQ268" t="n">
        <v>3</v>
      </c>
      <c r="BR268" t="n">
        <v>2</v>
      </c>
      <c r="BS268" s="56">
        <f>IF(COUNT(N268:W268)&gt;=8,AVERAGE(N268:W268),"")</f>
        <v/>
      </c>
      <c r="BT268" s="56">
        <f>IF(COUNT(X268:AE268)&gt;=7,AVERAGE(X268:AE268),"")</f>
        <v/>
      </c>
      <c r="BU268" s="56">
        <f>IF(COUNT(AF268:AM268)&gt;=7,AVERAGE(AF268:AM268),"")</f>
        <v/>
      </c>
      <c r="BV268" s="56">
        <f>IF(COUNT(AN268:AV268)&gt;=8,AVERAGE(AN268:AV268),"")</f>
        <v/>
      </c>
      <c r="BW268" s="56">
        <f>IF(COUNT(AW268:BD268)&gt;=7,AVERAGE(AW268:BD268),"")</f>
        <v/>
      </c>
      <c r="BX268" s="56">
        <f>IF(COUNT(BE268:BJ268)&gt;=5,AVERAGE(BE268:BJ268),"")</f>
        <v/>
      </c>
      <c r="BY268" s="56">
        <f>IF(COUNT(BK268:BR268)&gt;=7,AVERAGE(BK268:BR268),"")</f>
        <v/>
      </c>
    </row>
    <row r="269">
      <c r="A269" t="inlineStr">
        <is>
          <t>R238</t>
        </is>
      </c>
      <c r="B269" t="inlineStr">
        <is>
          <t>Yes</t>
        </is>
      </c>
      <c r="C269" t="inlineStr">
        <is>
          <t>Yes</t>
        </is>
      </c>
      <c r="D269" t="inlineStr">
        <is>
          <t>Female</t>
        </is>
      </c>
      <c r="E269" t="inlineStr">
        <is>
          <t>25-34</t>
        </is>
      </c>
      <c r="F269" t="inlineStr">
        <is>
          <t>Bachelor/HND</t>
        </is>
      </c>
      <c r="G269" t="inlineStr">
        <is>
          <t>Insurance/investment/other licensed financial institution</t>
        </is>
      </c>
      <c r="H269" t="inlineStr">
        <is>
          <t>Risk/Compliance</t>
        </is>
      </c>
      <c r="I269" t="inlineStr">
        <is>
          <t>6-10</t>
        </is>
      </c>
      <c r="J269" t="inlineStr">
        <is>
          <t>Yes</t>
        </is>
      </c>
      <c r="K269" t="n">
        <v>2</v>
      </c>
      <c r="L269" t="inlineStr">
        <is>
          <t>Yes</t>
        </is>
      </c>
      <c r="M269" t="inlineStr">
        <is>
          <t>Yes</t>
        </is>
      </c>
      <c r="N269" t="n">
        <v>4</v>
      </c>
      <c r="O269" t="n">
        <v>4</v>
      </c>
      <c r="P269" t="n">
        <v>5</v>
      </c>
      <c r="Q269" t="n">
        <v>4</v>
      </c>
      <c r="R269" t="n">
        <v>4</v>
      </c>
      <c r="S269" t="n">
        <v>3</v>
      </c>
      <c r="T269" t="n">
        <v>3</v>
      </c>
      <c r="U269" t="n">
        <v>2</v>
      </c>
      <c r="V269" t="n">
        <v>4</v>
      </c>
      <c r="W269" t="n">
        <v>3</v>
      </c>
      <c r="X269" t="n">
        <v>2</v>
      </c>
      <c r="Y269" t="n">
        <v>1</v>
      </c>
      <c r="Z269" t="n">
        <v>2</v>
      </c>
      <c r="AA269" t="n">
        <v>1</v>
      </c>
      <c r="AB269" t="n">
        <v>2</v>
      </c>
      <c r="AC269" t="n">
        <v>1</v>
      </c>
      <c r="AD269" t="n">
        <v>2</v>
      </c>
      <c r="AE269" t="n">
        <v>2</v>
      </c>
      <c r="AF269" t="n">
        <v>3</v>
      </c>
      <c r="AG269" t="n">
        <v>3</v>
      </c>
      <c r="AH269" t="n">
        <v>3</v>
      </c>
      <c r="AI269" t="n">
        <v>3</v>
      </c>
      <c r="AJ269" t="n">
        <v>2</v>
      </c>
      <c r="AK269" t="n">
        <v>3</v>
      </c>
      <c r="AL269" t="n">
        <v>3</v>
      </c>
      <c r="AM269" t="n">
        <v>2</v>
      </c>
      <c r="AN269" t="n">
        <v>3</v>
      </c>
      <c r="AO269" t="n">
        <v>2</v>
      </c>
      <c r="AP269" t="n">
        <v>2</v>
      </c>
      <c r="AQ269" t="n">
        <v>2</v>
      </c>
      <c r="AR269" t="n">
        <v>2</v>
      </c>
      <c r="AS269" t="n">
        <v>3</v>
      </c>
      <c r="AT269" t="n">
        <v>1</v>
      </c>
      <c r="AU269" t="n">
        <v>3</v>
      </c>
      <c r="AV269" t="n">
        <v>1</v>
      </c>
      <c r="AX269" t="n">
        <v>2</v>
      </c>
      <c r="AY269" t="n">
        <v>2</v>
      </c>
      <c r="AZ269" t="n">
        <v>1</v>
      </c>
      <c r="BA269" t="n">
        <v>3</v>
      </c>
      <c r="BB269" t="n">
        <v>3</v>
      </c>
      <c r="BC269" t="n">
        <v>2</v>
      </c>
      <c r="BD269" t="n">
        <v>1</v>
      </c>
      <c r="BE269" t="n">
        <v>1</v>
      </c>
      <c r="BF269" t="n">
        <v>3</v>
      </c>
      <c r="BG269" t="n">
        <v>1</v>
      </c>
      <c r="BH269" t="n">
        <v>2</v>
      </c>
      <c r="BI269" t="n">
        <v>3</v>
      </c>
      <c r="BJ269" t="n">
        <v>2</v>
      </c>
      <c r="BK269" t="n">
        <v>2</v>
      </c>
      <c r="BL269" t="n">
        <v>3</v>
      </c>
      <c r="BM269" t="n">
        <v>3</v>
      </c>
      <c r="BN269" t="n">
        <v>1</v>
      </c>
      <c r="BO269" t="n">
        <v>2</v>
      </c>
      <c r="BP269" t="n">
        <v>3</v>
      </c>
      <c r="BQ269" t="n">
        <v>3</v>
      </c>
      <c r="BR269" t="n">
        <v>1</v>
      </c>
      <c r="BS269" s="56">
        <f>IF(COUNT(N269:W269)&gt;=8,AVERAGE(N269:W269),"")</f>
        <v/>
      </c>
      <c r="BT269" s="56">
        <f>IF(COUNT(X269:AE269)&gt;=7,AVERAGE(X269:AE269),"")</f>
        <v/>
      </c>
      <c r="BU269" s="56">
        <f>IF(COUNT(AF269:AM269)&gt;=7,AVERAGE(AF269:AM269),"")</f>
        <v/>
      </c>
      <c r="BV269" s="56">
        <f>IF(COUNT(AN269:AV269)&gt;=8,AVERAGE(AN269:AV269),"")</f>
        <v/>
      </c>
      <c r="BW269" s="56">
        <f>IF(COUNT(AW269:BD269)&gt;=7,AVERAGE(AW269:BD269),"")</f>
        <v/>
      </c>
      <c r="BX269" s="56">
        <f>IF(COUNT(BE269:BJ269)&gt;=5,AVERAGE(BE269:BJ269),"")</f>
        <v/>
      </c>
      <c r="BY269" s="56">
        <f>IF(COUNT(BK269:BR269)&gt;=7,AVERAGE(BK269:BR269),"")</f>
        <v/>
      </c>
    </row>
    <row r="270">
      <c r="A270" t="inlineStr">
        <is>
          <t>R239</t>
        </is>
      </c>
      <c r="B270" t="inlineStr">
        <is>
          <t>Yes</t>
        </is>
      </c>
      <c r="C270" t="inlineStr">
        <is>
          <t>Yes</t>
        </is>
      </c>
      <c r="D270" t="inlineStr">
        <is>
          <t>Female</t>
        </is>
      </c>
      <c r="E270" t="inlineStr">
        <is>
          <t>18-24</t>
        </is>
      </c>
      <c r="F270" t="inlineStr">
        <is>
          <t>Master's</t>
        </is>
      </c>
      <c r="G270" t="inlineStr">
        <is>
          <t>Commercial bank</t>
        </is>
      </c>
      <c r="H270" t="inlineStr">
        <is>
          <t>Relationship/Marketing</t>
        </is>
      </c>
      <c r="I270" t="inlineStr">
        <is>
          <t>11-15</t>
        </is>
      </c>
      <c r="J270" t="inlineStr">
        <is>
          <t>Yes</t>
        </is>
      </c>
      <c r="K270" t="n">
        <v>4</v>
      </c>
      <c r="L270" t="inlineStr">
        <is>
          <t>Yes</t>
        </is>
      </c>
      <c r="M270" t="inlineStr">
        <is>
          <t>Yes</t>
        </is>
      </c>
      <c r="N270" t="n">
        <v>3</v>
      </c>
      <c r="O270" t="n">
        <v>2</v>
      </c>
      <c r="P270" t="n">
        <v>2</v>
      </c>
      <c r="Q270" t="n">
        <v>2</v>
      </c>
      <c r="R270" t="n">
        <v>3</v>
      </c>
      <c r="S270" t="n">
        <v>2</v>
      </c>
      <c r="T270" t="n">
        <v>2</v>
      </c>
      <c r="U270" t="n">
        <v>2</v>
      </c>
      <c r="V270" t="n">
        <v>1</v>
      </c>
      <c r="W270" t="n">
        <v>2</v>
      </c>
      <c r="X270" t="n">
        <v>4</v>
      </c>
      <c r="Y270" t="n">
        <v>2</v>
      </c>
      <c r="Z270" t="n">
        <v>4</v>
      </c>
      <c r="AA270" t="n">
        <v>3</v>
      </c>
      <c r="AB270" t="n">
        <v>3</v>
      </c>
      <c r="AC270" t="n">
        <v>4</v>
      </c>
      <c r="AE270" t="n">
        <v>2</v>
      </c>
      <c r="AF270" t="n">
        <v>4</v>
      </c>
      <c r="AG270" t="n">
        <v>3</v>
      </c>
      <c r="AH270" t="n">
        <v>4</v>
      </c>
      <c r="AI270" t="n">
        <v>5</v>
      </c>
      <c r="AJ270" t="n">
        <v>4</v>
      </c>
      <c r="AK270" t="n">
        <v>4</v>
      </c>
      <c r="AL270" t="n">
        <v>4</v>
      </c>
      <c r="AM270" t="n">
        <v>4</v>
      </c>
      <c r="AN270" t="n">
        <v>2</v>
      </c>
      <c r="AO270" t="n">
        <v>3</v>
      </c>
      <c r="AP270" t="n">
        <v>3</v>
      </c>
      <c r="AQ270" t="n">
        <v>2</v>
      </c>
      <c r="AR270" t="n">
        <v>4</v>
      </c>
      <c r="AS270" t="n">
        <v>3</v>
      </c>
      <c r="AT270" t="n">
        <v>4</v>
      </c>
      <c r="AU270" t="n">
        <v>3</v>
      </c>
      <c r="AV270" t="n">
        <v>3</v>
      </c>
      <c r="AW270" t="n">
        <v>4</v>
      </c>
      <c r="AX270" t="n">
        <v>3</v>
      </c>
      <c r="AY270" t="n">
        <v>3</v>
      </c>
      <c r="AZ270" t="n">
        <v>3</v>
      </c>
      <c r="BA270" t="n">
        <v>4</v>
      </c>
      <c r="BB270" t="n">
        <v>3</v>
      </c>
      <c r="BC270" t="n">
        <v>4</v>
      </c>
      <c r="BE270" t="n">
        <v>4</v>
      </c>
      <c r="BF270" t="n">
        <v>4</v>
      </c>
      <c r="BG270" t="n">
        <v>4</v>
      </c>
      <c r="BH270" t="n">
        <v>5</v>
      </c>
      <c r="BI270" t="n">
        <v>5</v>
      </c>
      <c r="BJ270" t="n">
        <v>4</v>
      </c>
      <c r="BK270" t="n">
        <v>3</v>
      </c>
      <c r="BL270" t="n">
        <v>3</v>
      </c>
      <c r="BM270" t="n">
        <v>3</v>
      </c>
      <c r="BN270" t="n">
        <v>2</v>
      </c>
      <c r="BO270" t="n">
        <v>3</v>
      </c>
      <c r="BP270" t="n">
        <v>4</v>
      </c>
      <c r="BQ270" t="n">
        <v>2</v>
      </c>
      <c r="BR270" t="n">
        <v>2</v>
      </c>
      <c r="BS270" s="56">
        <f>IF(COUNT(N270:W270)&gt;=8,AVERAGE(N270:W270),"")</f>
        <v/>
      </c>
      <c r="BT270" s="56">
        <f>IF(COUNT(X270:AE270)&gt;=7,AVERAGE(X270:AE270),"")</f>
        <v/>
      </c>
      <c r="BU270" s="56">
        <f>IF(COUNT(AF270:AM270)&gt;=7,AVERAGE(AF270:AM270),"")</f>
        <v/>
      </c>
      <c r="BV270" s="56">
        <f>IF(COUNT(AN270:AV270)&gt;=8,AVERAGE(AN270:AV270),"")</f>
        <v/>
      </c>
      <c r="BW270" s="56">
        <f>IF(COUNT(AW270:BD270)&gt;=7,AVERAGE(AW270:BD270),"")</f>
        <v/>
      </c>
      <c r="BX270" s="56">
        <f>IF(COUNT(BE270:BJ270)&gt;=5,AVERAGE(BE270:BJ270),"")</f>
        <v/>
      </c>
      <c r="BY270" s="56">
        <f>IF(COUNT(BK270:BR270)&gt;=7,AVERAGE(BK270:BR270),"")</f>
        <v/>
      </c>
    </row>
    <row r="271">
      <c r="A271" t="inlineStr">
        <is>
          <t>R240</t>
        </is>
      </c>
      <c r="B271" t="inlineStr">
        <is>
          <t>Yes</t>
        </is>
      </c>
      <c r="C271" t="inlineStr">
        <is>
          <t>Yes</t>
        </is>
      </c>
      <c r="D271" t="inlineStr">
        <is>
          <t>Female</t>
        </is>
      </c>
      <c r="E271" t="inlineStr">
        <is>
          <t>25-34</t>
        </is>
      </c>
      <c r="F271" t="inlineStr">
        <is>
          <t>Diploma/OND/NCE</t>
        </is>
      </c>
      <c r="G271" t="inlineStr">
        <is>
          <t>Microfinance bank</t>
        </is>
      </c>
      <c r="H271" t="inlineStr">
        <is>
          <t>Data/Analytics/AI</t>
        </is>
      </c>
      <c r="I271" t="inlineStr">
        <is>
          <t>2-5</t>
        </is>
      </c>
      <c r="J271" t="inlineStr">
        <is>
          <t>Yes</t>
        </is>
      </c>
      <c r="K271" t="n">
        <v>3</v>
      </c>
      <c r="L271" t="inlineStr">
        <is>
          <t>Yes</t>
        </is>
      </c>
      <c r="M271" t="inlineStr">
        <is>
          <t>Yes</t>
        </is>
      </c>
      <c r="N271" t="n">
        <v>3</v>
      </c>
      <c r="O271" t="n">
        <v>3</v>
      </c>
      <c r="Q271" t="n">
        <v>3</v>
      </c>
      <c r="R271" t="n">
        <v>2</v>
      </c>
      <c r="S271" t="n">
        <v>3</v>
      </c>
      <c r="T271" t="n">
        <v>3</v>
      </c>
      <c r="U271" t="n">
        <v>4</v>
      </c>
      <c r="V271" t="n">
        <v>3</v>
      </c>
      <c r="W271" t="n">
        <v>2</v>
      </c>
      <c r="X271" t="n">
        <v>4</v>
      </c>
      <c r="Y271" t="n">
        <v>2</v>
      </c>
      <c r="Z271" t="n">
        <v>3</v>
      </c>
      <c r="AA271" t="n">
        <v>2</v>
      </c>
      <c r="AB271" t="n">
        <v>2</v>
      </c>
      <c r="AC271" t="n">
        <v>3</v>
      </c>
      <c r="AD271" t="n">
        <v>3</v>
      </c>
      <c r="AE271" t="n">
        <v>3</v>
      </c>
      <c r="AF271" t="n">
        <v>2</v>
      </c>
      <c r="AG271" t="n">
        <v>3</v>
      </c>
      <c r="AH271" t="n">
        <v>2</v>
      </c>
      <c r="AI271" t="n">
        <v>2</v>
      </c>
      <c r="AJ271" t="n">
        <v>2</v>
      </c>
      <c r="AK271" t="n">
        <v>3</v>
      </c>
      <c r="AL271" t="n">
        <v>1</v>
      </c>
      <c r="AM271" t="n">
        <v>3</v>
      </c>
      <c r="AN271" t="n">
        <v>3</v>
      </c>
      <c r="AO271" t="n">
        <v>3</v>
      </c>
      <c r="AP271" t="n">
        <v>3</v>
      </c>
      <c r="AQ271" t="n">
        <v>2</v>
      </c>
      <c r="AR271" t="n">
        <v>3</v>
      </c>
      <c r="AS271" t="n">
        <v>4</v>
      </c>
      <c r="AT271" t="n">
        <v>3</v>
      </c>
      <c r="AU271" t="n">
        <v>2</v>
      </c>
      <c r="AV271" t="n">
        <v>3</v>
      </c>
      <c r="AW271" t="n">
        <v>4</v>
      </c>
      <c r="AX271" t="n">
        <v>3</v>
      </c>
      <c r="AY271" t="n">
        <v>2</v>
      </c>
      <c r="AZ271" t="n">
        <v>3</v>
      </c>
      <c r="BA271" t="n">
        <v>2</v>
      </c>
      <c r="BB271" t="n">
        <v>3</v>
      </c>
      <c r="BC271" t="n">
        <v>3</v>
      </c>
      <c r="BD271" t="n">
        <v>3</v>
      </c>
      <c r="BE271" t="n">
        <v>2</v>
      </c>
      <c r="BF271" t="n">
        <v>2</v>
      </c>
      <c r="BG271" t="n">
        <v>1</v>
      </c>
      <c r="BH271" t="n">
        <v>2</v>
      </c>
      <c r="BI271" t="n">
        <v>2</v>
      </c>
      <c r="BJ271" t="n">
        <v>2</v>
      </c>
      <c r="BK271" t="n">
        <v>4</v>
      </c>
      <c r="BL271" t="n">
        <v>3</v>
      </c>
      <c r="BM271" t="n">
        <v>3</v>
      </c>
      <c r="BN271" t="n">
        <v>3</v>
      </c>
      <c r="BP271" t="n">
        <v>4</v>
      </c>
      <c r="BQ271" t="n">
        <v>4</v>
      </c>
      <c r="BR271" t="n">
        <v>3</v>
      </c>
      <c r="BS271" s="56">
        <f>IF(COUNT(N271:W271)&gt;=8,AVERAGE(N271:W271),"")</f>
        <v/>
      </c>
      <c r="BT271" s="56">
        <f>IF(COUNT(X271:AE271)&gt;=7,AVERAGE(X271:AE271),"")</f>
        <v/>
      </c>
      <c r="BU271" s="56">
        <f>IF(COUNT(AF271:AM271)&gt;=7,AVERAGE(AF271:AM271),"")</f>
        <v/>
      </c>
      <c r="BV271" s="56">
        <f>IF(COUNT(AN271:AV271)&gt;=8,AVERAGE(AN271:AV271),"")</f>
        <v/>
      </c>
      <c r="BW271" s="56">
        <f>IF(COUNT(AW271:BD271)&gt;=7,AVERAGE(AW271:BD271),"")</f>
        <v/>
      </c>
      <c r="BX271" s="56">
        <f>IF(COUNT(BE271:BJ271)&gt;=5,AVERAGE(BE271:BJ271),"")</f>
        <v/>
      </c>
      <c r="BY271" s="56">
        <f>IF(COUNT(BK271:BR271)&gt;=7,AVERAGE(BK271:BR271),"")</f>
        <v/>
      </c>
    </row>
    <row r="272">
      <c r="A272" t="inlineStr">
        <is>
          <t>R241</t>
        </is>
      </c>
      <c r="B272" t="inlineStr">
        <is>
          <t>Yes</t>
        </is>
      </c>
      <c r="C272" t="inlineStr">
        <is>
          <t>Yes</t>
        </is>
      </c>
      <c r="D272" t="inlineStr">
        <is>
          <t>Female</t>
        </is>
      </c>
      <c r="E272" t="inlineStr">
        <is>
          <t>35-44</t>
        </is>
      </c>
      <c r="F272" t="inlineStr">
        <is>
          <t>Bachelor/HND</t>
        </is>
      </c>
      <c r="G272" t="inlineStr">
        <is>
          <t>Microfinance bank</t>
        </is>
      </c>
      <c r="H272" t="inlineStr">
        <is>
          <t>IT/Technology</t>
        </is>
      </c>
      <c r="I272" t="inlineStr">
        <is>
          <t>16 or more</t>
        </is>
      </c>
      <c r="J272" t="inlineStr">
        <is>
          <t>Yes</t>
        </is>
      </c>
      <c r="K272" t="n">
        <v>1</v>
      </c>
      <c r="L272" t="inlineStr">
        <is>
          <t>No</t>
        </is>
      </c>
      <c r="M272" t="inlineStr">
        <is>
          <t>Yes</t>
        </is>
      </c>
      <c r="N272" t="n">
        <v>3</v>
      </c>
      <c r="O272" t="n">
        <v>2</v>
      </c>
      <c r="P272" t="n">
        <v>4</v>
      </c>
      <c r="Q272" t="n">
        <v>3</v>
      </c>
      <c r="R272" t="n">
        <v>3</v>
      </c>
      <c r="S272" t="n">
        <v>3</v>
      </c>
      <c r="T272" t="n">
        <v>2</v>
      </c>
      <c r="U272" t="n">
        <v>4</v>
      </c>
      <c r="W272" t="n">
        <v>3</v>
      </c>
      <c r="X272" t="n">
        <v>2</v>
      </c>
      <c r="Y272" t="n">
        <v>3</v>
      </c>
      <c r="Z272" t="n">
        <v>3</v>
      </c>
      <c r="AA272" t="n">
        <v>2</v>
      </c>
      <c r="AB272" t="n">
        <v>2</v>
      </c>
      <c r="AC272" t="n">
        <v>1</v>
      </c>
      <c r="AD272" t="n">
        <v>3</v>
      </c>
      <c r="AE272" t="n">
        <v>1</v>
      </c>
      <c r="AF272" t="n">
        <v>3</v>
      </c>
      <c r="AG272" t="n">
        <v>3</v>
      </c>
      <c r="AH272" t="n">
        <v>3</v>
      </c>
      <c r="AI272" t="n">
        <v>4</v>
      </c>
      <c r="AJ272" t="n">
        <v>2</v>
      </c>
      <c r="AK272" t="n">
        <v>2</v>
      </c>
      <c r="AL272" t="n">
        <v>3</v>
      </c>
      <c r="AM272" t="n">
        <v>3</v>
      </c>
      <c r="AN272" t="n">
        <v>2</v>
      </c>
      <c r="AO272" t="n">
        <v>3</v>
      </c>
      <c r="AP272" t="n">
        <v>3</v>
      </c>
      <c r="AQ272" t="n">
        <v>2</v>
      </c>
      <c r="AR272" t="n">
        <v>2</v>
      </c>
      <c r="AS272" t="n">
        <v>3</v>
      </c>
      <c r="AT272" t="n">
        <v>2</v>
      </c>
      <c r="AU272" t="n">
        <v>2</v>
      </c>
      <c r="AV272" t="n">
        <v>3</v>
      </c>
      <c r="AW272" t="n">
        <v>4</v>
      </c>
      <c r="AX272" t="n">
        <v>2</v>
      </c>
      <c r="AY272" t="n">
        <v>3</v>
      </c>
      <c r="AZ272" t="n">
        <v>2</v>
      </c>
      <c r="BA272" t="n">
        <v>3</v>
      </c>
      <c r="BB272" t="n">
        <v>4</v>
      </c>
      <c r="BC272" t="n">
        <v>1</v>
      </c>
      <c r="BD272" t="n">
        <v>3</v>
      </c>
      <c r="BE272" t="n">
        <v>4</v>
      </c>
      <c r="BF272" t="n">
        <v>4</v>
      </c>
      <c r="BG272" t="n">
        <v>3</v>
      </c>
      <c r="BH272" t="n">
        <v>3</v>
      </c>
      <c r="BI272" t="n">
        <v>3</v>
      </c>
      <c r="BJ272" t="n">
        <v>2</v>
      </c>
      <c r="BK272" t="n">
        <v>2</v>
      </c>
      <c r="BL272" t="n">
        <v>2</v>
      </c>
      <c r="BM272" t="n">
        <v>3</v>
      </c>
      <c r="BN272" t="n">
        <v>4</v>
      </c>
      <c r="BO272" t="n">
        <v>4</v>
      </c>
      <c r="BP272" t="n">
        <v>3</v>
      </c>
      <c r="BQ272" t="n">
        <v>3</v>
      </c>
      <c r="BR272" t="n">
        <v>3</v>
      </c>
      <c r="BS272" s="56">
        <f>IF(COUNT(N272:W272)&gt;=8,AVERAGE(N272:W272),"")</f>
        <v/>
      </c>
      <c r="BT272" s="56">
        <f>IF(COUNT(X272:AE272)&gt;=7,AVERAGE(X272:AE272),"")</f>
        <v/>
      </c>
      <c r="BU272" s="56">
        <f>IF(COUNT(AF272:AM272)&gt;=7,AVERAGE(AF272:AM272),"")</f>
        <v/>
      </c>
      <c r="BV272" s="56">
        <f>IF(COUNT(AN272:AV272)&gt;=8,AVERAGE(AN272:AV272),"")</f>
        <v/>
      </c>
      <c r="BW272" s="56">
        <f>IF(COUNT(AW272:BD272)&gt;=7,AVERAGE(AW272:BD272),"")</f>
        <v/>
      </c>
      <c r="BX272" s="56">
        <f>IF(COUNT(BE272:BJ272)&gt;=5,AVERAGE(BE272:BJ272),"")</f>
        <v/>
      </c>
      <c r="BY272" s="56">
        <f>IF(COUNT(BK272:BR272)&gt;=7,AVERAGE(BK272:BR272),"")</f>
        <v/>
      </c>
    </row>
    <row r="273">
      <c r="A273" t="inlineStr">
        <is>
          <t>R242</t>
        </is>
      </c>
      <c r="B273" t="inlineStr">
        <is>
          <t>Yes</t>
        </is>
      </c>
      <c r="C273" t="inlineStr">
        <is>
          <t>Yes</t>
        </is>
      </c>
      <c r="D273" t="inlineStr">
        <is>
          <t>Female</t>
        </is>
      </c>
      <c r="E273" t="inlineStr">
        <is>
          <t>45-54</t>
        </is>
      </c>
      <c r="F273" t="inlineStr">
        <is>
          <t>Diploma/OND/NCE</t>
        </is>
      </c>
      <c r="G273" t="inlineStr">
        <is>
          <t>Digital bank/neobank</t>
        </is>
      </c>
      <c r="H273" t="inlineStr">
        <is>
          <t>Other</t>
        </is>
      </c>
      <c r="I273" t="inlineStr">
        <is>
          <t>2-5</t>
        </is>
      </c>
      <c r="J273" t="inlineStr">
        <is>
          <t>Yes</t>
        </is>
      </c>
      <c r="K273" t="n">
        <v>3</v>
      </c>
      <c r="L273" t="inlineStr">
        <is>
          <t>Yes</t>
        </is>
      </c>
      <c r="M273" t="inlineStr">
        <is>
          <t>Yes</t>
        </is>
      </c>
      <c r="N273" t="n">
        <v>4</v>
      </c>
      <c r="O273" t="n">
        <v>3</v>
      </c>
      <c r="P273" t="n">
        <v>3</v>
      </c>
      <c r="Q273" t="n">
        <v>3</v>
      </c>
      <c r="R273" t="n">
        <v>2</v>
      </c>
      <c r="S273" t="n">
        <v>3</v>
      </c>
      <c r="T273" t="n">
        <v>3</v>
      </c>
      <c r="U273" t="n">
        <v>2</v>
      </c>
      <c r="W273" t="n">
        <v>3</v>
      </c>
      <c r="X273" t="n">
        <v>5</v>
      </c>
      <c r="Y273" t="n">
        <v>4</v>
      </c>
      <c r="Z273" t="n">
        <v>3</v>
      </c>
      <c r="AA273" t="n">
        <v>3</v>
      </c>
      <c r="AB273" t="n">
        <v>3</v>
      </c>
      <c r="AC273" t="n">
        <v>4</v>
      </c>
      <c r="AD273" t="n">
        <v>4</v>
      </c>
      <c r="AE273" t="n">
        <v>3</v>
      </c>
      <c r="AF273" t="n">
        <v>4</v>
      </c>
      <c r="AG273" t="n">
        <v>5</v>
      </c>
      <c r="AH273" t="n">
        <v>4</v>
      </c>
      <c r="AI273" t="n">
        <v>4</v>
      </c>
      <c r="AJ273" t="n">
        <v>4</v>
      </c>
      <c r="AK273" t="n">
        <v>5</v>
      </c>
      <c r="AL273" t="n">
        <v>4</v>
      </c>
      <c r="AM273" t="n">
        <v>4</v>
      </c>
      <c r="AN273" t="n">
        <v>4</v>
      </c>
      <c r="AO273" t="n">
        <v>4</v>
      </c>
      <c r="AP273" t="n">
        <v>3</v>
      </c>
      <c r="AQ273" t="n">
        <v>4</v>
      </c>
      <c r="AR273" t="n">
        <v>3</v>
      </c>
      <c r="AS273" t="n">
        <v>3</v>
      </c>
      <c r="AT273" t="n">
        <v>4</v>
      </c>
      <c r="AU273" t="n">
        <v>3</v>
      </c>
      <c r="AV273" t="n">
        <v>4</v>
      </c>
      <c r="AW273" t="n">
        <v>3</v>
      </c>
      <c r="AX273" t="n">
        <v>4</v>
      </c>
      <c r="AY273" t="n">
        <v>4</v>
      </c>
      <c r="AZ273" t="n">
        <v>3</v>
      </c>
      <c r="BA273" t="n">
        <v>4</v>
      </c>
      <c r="BB273" t="n">
        <v>3</v>
      </c>
      <c r="BC273" t="n">
        <v>2</v>
      </c>
      <c r="BD273" t="n">
        <v>4</v>
      </c>
      <c r="BE273" t="n">
        <v>4</v>
      </c>
      <c r="BF273" t="n">
        <v>3</v>
      </c>
      <c r="BG273" t="n">
        <v>4</v>
      </c>
      <c r="BH273" t="n">
        <v>4</v>
      </c>
      <c r="BI273" t="n">
        <v>3</v>
      </c>
      <c r="BJ273" t="n">
        <v>4</v>
      </c>
      <c r="BK273" t="n">
        <v>4</v>
      </c>
      <c r="BL273" t="n">
        <v>3</v>
      </c>
      <c r="BM273" t="n">
        <v>3</v>
      </c>
      <c r="BN273" t="n">
        <v>3</v>
      </c>
      <c r="BO273" t="n">
        <v>3</v>
      </c>
      <c r="BP273" t="n">
        <v>3</v>
      </c>
      <c r="BQ273" t="n">
        <v>3</v>
      </c>
      <c r="BR273" t="n">
        <v>2</v>
      </c>
      <c r="BS273" s="56">
        <f>IF(COUNT(N273:W273)&gt;=8,AVERAGE(N273:W273),"")</f>
        <v/>
      </c>
      <c r="BT273" s="56">
        <f>IF(COUNT(X273:AE273)&gt;=7,AVERAGE(X273:AE273),"")</f>
        <v/>
      </c>
      <c r="BU273" s="56">
        <f>IF(COUNT(AF273:AM273)&gt;=7,AVERAGE(AF273:AM273),"")</f>
        <v/>
      </c>
      <c r="BV273" s="56">
        <f>IF(COUNT(AN273:AV273)&gt;=8,AVERAGE(AN273:AV273),"")</f>
        <v/>
      </c>
      <c r="BW273" s="56">
        <f>IF(COUNT(AW273:BD273)&gt;=7,AVERAGE(AW273:BD273),"")</f>
        <v/>
      </c>
      <c r="BX273" s="56">
        <f>IF(COUNT(BE273:BJ273)&gt;=5,AVERAGE(BE273:BJ273),"")</f>
        <v/>
      </c>
      <c r="BY273" s="56">
        <f>IF(COUNT(BK273:BR273)&gt;=7,AVERAGE(BK273:BR273),"")</f>
        <v/>
      </c>
    </row>
    <row r="274">
      <c r="A274" t="inlineStr">
        <is>
          <t>R243</t>
        </is>
      </c>
      <c r="B274" t="inlineStr">
        <is>
          <t>Yes</t>
        </is>
      </c>
      <c r="C274" t="inlineStr">
        <is>
          <t>Yes</t>
        </is>
      </c>
      <c r="D274" t="inlineStr">
        <is>
          <t>Female</t>
        </is>
      </c>
      <c r="E274" t="inlineStr">
        <is>
          <t>35-44</t>
        </is>
      </c>
      <c r="F274" t="inlineStr">
        <is>
          <t>Other</t>
        </is>
      </c>
      <c r="G274" t="inlineStr">
        <is>
          <t>Merchant bank</t>
        </is>
      </c>
      <c r="H274" t="inlineStr">
        <is>
          <t>Digital Banking/Product</t>
        </is>
      </c>
      <c r="I274" t="inlineStr">
        <is>
          <t>2-5</t>
        </is>
      </c>
      <c r="J274" t="inlineStr">
        <is>
          <t>Yes</t>
        </is>
      </c>
      <c r="K274" t="n">
        <v>2</v>
      </c>
      <c r="L274" t="inlineStr">
        <is>
          <t>No</t>
        </is>
      </c>
      <c r="M274" t="inlineStr">
        <is>
          <t>Yes</t>
        </is>
      </c>
      <c r="N274" t="n">
        <v>2</v>
      </c>
      <c r="O274" t="n">
        <v>3</v>
      </c>
      <c r="P274" t="n">
        <v>4</v>
      </c>
      <c r="Q274" t="n">
        <v>3</v>
      </c>
      <c r="S274" t="n">
        <v>4</v>
      </c>
      <c r="T274" t="n">
        <v>3</v>
      </c>
      <c r="U274" t="n">
        <v>4</v>
      </c>
      <c r="V274" t="n">
        <v>4</v>
      </c>
      <c r="W274" t="n">
        <v>4</v>
      </c>
      <c r="X274" t="n">
        <v>2</v>
      </c>
      <c r="Y274" t="n">
        <v>2</v>
      </c>
      <c r="Z274" t="n">
        <v>3</v>
      </c>
      <c r="AA274" t="n">
        <v>1</v>
      </c>
      <c r="AB274" t="n">
        <v>3</v>
      </c>
      <c r="AC274" t="n">
        <v>3</v>
      </c>
      <c r="AD274" t="n">
        <v>3</v>
      </c>
      <c r="AE274" t="n">
        <v>2</v>
      </c>
      <c r="AF274" t="n">
        <v>1</v>
      </c>
      <c r="AG274" t="n">
        <v>2</v>
      </c>
      <c r="AH274" t="n">
        <v>2</v>
      </c>
      <c r="AI274" t="n">
        <v>3</v>
      </c>
      <c r="AJ274" t="n">
        <v>2</v>
      </c>
      <c r="AK274" t="n">
        <v>4</v>
      </c>
      <c r="AL274" t="n">
        <v>3</v>
      </c>
      <c r="AM274" t="n">
        <v>2</v>
      </c>
      <c r="AN274" t="n">
        <v>4</v>
      </c>
      <c r="AO274" t="n">
        <v>2</v>
      </c>
      <c r="AP274" t="n">
        <v>4</v>
      </c>
      <c r="AQ274" t="n">
        <v>3</v>
      </c>
      <c r="AR274" t="n">
        <v>3</v>
      </c>
      <c r="AS274" t="n">
        <v>3</v>
      </c>
      <c r="AT274" t="n">
        <v>3</v>
      </c>
      <c r="AU274" t="n">
        <v>3</v>
      </c>
      <c r="AV274" t="n">
        <v>3</v>
      </c>
      <c r="AW274" t="n">
        <v>3</v>
      </c>
      <c r="AX274" t="n">
        <v>2</v>
      </c>
      <c r="AY274" t="n">
        <v>3</v>
      </c>
      <c r="AZ274" t="n">
        <v>2</v>
      </c>
      <c r="BA274" t="n">
        <v>3</v>
      </c>
      <c r="BB274" t="n">
        <v>3</v>
      </c>
      <c r="BC274" t="n">
        <v>3</v>
      </c>
      <c r="BD274" t="n">
        <v>2</v>
      </c>
      <c r="BE274" t="n">
        <v>3</v>
      </c>
      <c r="BF274" t="n">
        <v>3</v>
      </c>
      <c r="BG274" t="n">
        <v>3</v>
      </c>
      <c r="BH274" t="n">
        <v>4</v>
      </c>
      <c r="BI274" t="n">
        <v>5</v>
      </c>
      <c r="BJ274" t="n">
        <v>4</v>
      </c>
      <c r="BK274" t="n">
        <v>4</v>
      </c>
      <c r="BL274" t="n">
        <v>3</v>
      </c>
      <c r="BM274" t="n">
        <v>3</v>
      </c>
      <c r="BN274" t="n">
        <v>4</v>
      </c>
      <c r="BO274" t="n">
        <v>3</v>
      </c>
      <c r="BP274" t="n">
        <v>2</v>
      </c>
      <c r="BQ274" t="n">
        <v>2</v>
      </c>
      <c r="BR274" t="n">
        <v>2</v>
      </c>
      <c r="BS274" s="56">
        <f>IF(COUNT(N274:W274)&gt;=8,AVERAGE(N274:W274),"")</f>
        <v/>
      </c>
      <c r="BT274" s="56">
        <f>IF(COUNT(X274:AE274)&gt;=7,AVERAGE(X274:AE274),"")</f>
        <v/>
      </c>
      <c r="BU274" s="56">
        <f>IF(COUNT(AF274:AM274)&gt;=7,AVERAGE(AF274:AM274),"")</f>
        <v/>
      </c>
      <c r="BV274" s="56">
        <f>IF(COUNT(AN274:AV274)&gt;=8,AVERAGE(AN274:AV274),"")</f>
        <v/>
      </c>
      <c r="BW274" s="56">
        <f>IF(COUNT(AW274:BD274)&gt;=7,AVERAGE(AW274:BD274),"")</f>
        <v/>
      </c>
      <c r="BX274" s="56">
        <f>IF(COUNT(BE274:BJ274)&gt;=5,AVERAGE(BE274:BJ274),"")</f>
        <v/>
      </c>
      <c r="BY274" s="56">
        <f>IF(COUNT(BK274:BR274)&gt;=7,AVERAGE(BK274:BR274),"")</f>
        <v/>
      </c>
    </row>
    <row r="275">
      <c r="A275" t="inlineStr">
        <is>
          <t>R244</t>
        </is>
      </c>
      <c r="B275" t="inlineStr">
        <is>
          <t>Yes</t>
        </is>
      </c>
      <c r="C275" t="inlineStr">
        <is>
          <t>Yes</t>
        </is>
      </c>
      <c r="D275" t="inlineStr">
        <is>
          <t>Female</t>
        </is>
      </c>
      <c r="E275" t="inlineStr">
        <is>
          <t>18-24</t>
        </is>
      </c>
      <c r="F275" t="inlineStr">
        <is>
          <t>Postgraduate Diploma</t>
        </is>
      </c>
      <c r="G275" t="inlineStr">
        <is>
          <t>Commercial bank</t>
        </is>
      </c>
      <c r="H275" t="inlineStr">
        <is>
          <t>Customer Experience/Service</t>
        </is>
      </c>
      <c r="I275" t="inlineStr">
        <is>
          <t>16 or more</t>
        </is>
      </c>
      <c r="J275" t="inlineStr">
        <is>
          <t>Yes</t>
        </is>
      </c>
      <c r="K275" t="n">
        <v>1</v>
      </c>
      <c r="L275" t="inlineStr">
        <is>
          <t>No</t>
        </is>
      </c>
      <c r="M275" t="inlineStr">
        <is>
          <t>Yes</t>
        </is>
      </c>
      <c r="N275" t="n">
        <v>4</v>
      </c>
      <c r="O275" t="n">
        <v>4</v>
      </c>
      <c r="P275" t="n">
        <v>4</v>
      </c>
      <c r="Q275" t="n">
        <v>4</v>
      </c>
      <c r="R275" t="n">
        <v>5</v>
      </c>
      <c r="S275" t="n">
        <v>4</v>
      </c>
      <c r="T275" t="n">
        <v>5</v>
      </c>
      <c r="U275" t="n">
        <v>5</v>
      </c>
      <c r="V275" t="n">
        <v>5</v>
      </c>
      <c r="W275" t="n">
        <v>4</v>
      </c>
      <c r="X275" t="n">
        <v>3</v>
      </c>
      <c r="Y275" t="n">
        <v>2</v>
      </c>
      <c r="Z275" t="n">
        <v>3</v>
      </c>
      <c r="AA275" t="n">
        <v>3</v>
      </c>
      <c r="AB275" t="n">
        <v>3</v>
      </c>
      <c r="AC275" t="n">
        <v>3</v>
      </c>
      <c r="AD275" t="n">
        <v>2</v>
      </c>
      <c r="AE275" t="n">
        <v>2</v>
      </c>
      <c r="AF275" t="n">
        <v>3</v>
      </c>
      <c r="AG275" t="n">
        <v>4</v>
      </c>
      <c r="AH275" t="n">
        <v>3</v>
      </c>
      <c r="AI275" t="n">
        <v>4</v>
      </c>
      <c r="AJ275" t="n">
        <v>3</v>
      </c>
      <c r="AK275" t="n">
        <v>3</v>
      </c>
      <c r="AL275" t="n">
        <v>3</v>
      </c>
      <c r="AM275" t="n">
        <v>3</v>
      </c>
      <c r="AN275" t="n">
        <v>4</v>
      </c>
      <c r="AO275" t="n">
        <v>3</v>
      </c>
      <c r="AP275" t="n">
        <v>2</v>
      </c>
      <c r="AQ275" t="n">
        <v>2</v>
      </c>
      <c r="AR275" t="n">
        <v>2</v>
      </c>
      <c r="AS275" t="n">
        <v>2</v>
      </c>
      <c r="AT275" t="n">
        <v>3</v>
      </c>
      <c r="AU275" t="n">
        <v>2</v>
      </c>
      <c r="AV275" t="n">
        <v>2</v>
      </c>
      <c r="AW275" t="n">
        <v>3</v>
      </c>
      <c r="AX275" t="n">
        <v>2</v>
      </c>
      <c r="AY275" t="n">
        <v>3</v>
      </c>
      <c r="AZ275" t="n">
        <v>3</v>
      </c>
      <c r="BA275" t="n">
        <v>4</v>
      </c>
      <c r="BB275" t="n">
        <v>4</v>
      </c>
      <c r="BC275" t="n">
        <v>4</v>
      </c>
      <c r="BD275" t="n">
        <v>3</v>
      </c>
      <c r="BE275" t="n">
        <v>2</v>
      </c>
      <c r="BF275" t="n">
        <v>2</v>
      </c>
      <c r="BG275" t="n">
        <v>1</v>
      </c>
      <c r="BH275" t="n">
        <v>3</v>
      </c>
      <c r="BI275" t="n">
        <v>2</v>
      </c>
      <c r="BJ275" t="n">
        <v>2</v>
      </c>
      <c r="BK275" t="n">
        <v>2</v>
      </c>
      <c r="BL275" t="n">
        <v>2</v>
      </c>
      <c r="BM275" t="n">
        <v>3</v>
      </c>
      <c r="BN275" t="n">
        <v>2</v>
      </c>
      <c r="BO275" t="n">
        <v>2</v>
      </c>
      <c r="BP275" t="n">
        <v>2</v>
      </c>
      <c r="BQ275" t="n">
        <v>2</v>
      </c>
      <c r="BR275" t="n">
        <v>3</v>
      </c>
      <c r="BS275" s="56">
        <f>IF(COUNT(N275:W275)&gt;=8,AVERAGE(N275:W275),"")</f>
        <v/>
      </c>
      <c r="BT275" s="56">
        <f>IF(COUNT(X275:AE275)&gt;=7,AVERAGE(X275:AE275),"")</f>
        <v/>
      </c>
      <c r="BU275" s="56">
        <f>IF(COUNT(AF275:AM275)&gt;=7,AVERAGE(AF275:AM275),"")</f>
        <v/>
      </c>
      <c r="BV275" s="56">
        <f>IF(COUNT(AN275:AV275)&gt;=8,AVERAGE(AN275:AV275),"")</f>
        <v/>
      </c>
      <c r="BW275" s="56">
        <f>IF(COUNT(AW275:BD275)&gt;=7,AVERAGE(AW275:BD275),"")</f>
        <v/>
      </c>
      <c r="BX275" s="56">
        <f>IF(COUNT(BE275:BJ275)&gt;=5,AVERAGE(BE275:BJ275),"")</f>
        <v/>
      </c>
      <c r="BY275" s="56">
        <f>IF(COUNT(BK275:BR275)&gt;=7,AVERAGE(BK275:BR275),"")</f>
        <v/>
      </c>
    </row>
    <row r="276">
      <c r="A276" t="inlineStr">
        <is>
          <t>R245</t>
        </is>
      </c>
      <c r="B276" t="inlineStr">
        <is>
          <t>Yes</t>
        </is>
      </c>
      <c r="C276" t="inlineStr">
        <is>
          <t>Yes</t>
        </is>
      </c>
      <c r="D276" t="inlineStr">
        <is>
          <t>Female</t>
        </is>
      </c>
      <c r="E276" t="inlineStr">
        <is>
          <t>35-44</t>
        </is>
      </c>
      <c r="F276" t="inlineStr">
        <is>
          <t>Bachelor/HND</t>
        </is>
      </c>
      <c r="G276" t="inlineStr">
        <is>
          <t>Insurance/investment/other licensed financial institution</t>
        </is>
      </c>
      <c r="H276" t="inlineStr">
        <is>
          <t>IT/Technology</t>
        </is>
      </c>
      <c r="I276" t="inlineStr">
        <is>
          <t>6-10</t>
        </is>
      </c>
      <c r="J276" t="inlineStr">
        <is>
          <t>Yes</t>
        </is>
      </c>
      <c r="K276" t="n">
        <v>3</v>
      </c>
      <c r="L276" t="inlineStr">
        <is>
          <t>No</t>
        </is>
      </c>
      <c r="M276" t="inlineStr">
        <is>
          <t>Yes</t>
        </is>
      </c>
      <c r="N276" t="n">
        <v>4</v>
      </c>
      <c r="O276" t="n">
        <v>4</v>
      </c>
      <c r="P276" t="n">
        <v>3</v>
      </c>
      <c r="Q276" t="n">
        <v>2</v>
      </c>
      <c r="R276" t="n">
        <v>3</v>
      </c>
      <c r="S276" t="n">
        <v>4</v>
      </c>
      <c r="T276" t="n">
        <v>3</v>
      </c>
      <c r="U276" t="n">
        <v>3</v>
      </c>
      <c r="V276" t="n">
        <v>4</v>
      </c>
      <c r="X276" t="n">
        <v>5</v>
      </c>
      <c r="Y276" t="n">
        <v>5</v>
      </c>
      <c r="Z276" t="n">
        <v>4</v>
      </c>
      <c r="AA276" t="n">
        <v>4</v>
      </c>
      <c r="AB276" t="n">
        <v>4</v>
      </c>
      <c r="AD276" t="n">
        <v>4</v>
      </c>
      <c r="AE276" t="n">
        <v>4</v>
      </c>
      <c r="AF276" t="n">
        <v>4</v>
      </c>
      <c r="AG276" t="n">
        <v>3</v>
      </c>
      <c r="AH276" t="n">
        <v>2</v>
      </c>
      <c r="AI276" t="n">
        <v>4</v>
      </c>
      <c r="AJ276" t="n">
        <v>4</v>
      </c>
      <c r="AK276" t="n">
        <v>3</v>
      </c>
      <c r="AL276" t="n">
        <v>4</v>
      </c>
      <c r="AM276" t="n">
        <v>3</v>
      </c>
      <c r="AN276" t="n">
        <v>4</v>
      </c>
      <c r="AP276" t="n">
        <v>2</v>
      </c>
      <c r="AQ276" t="n">
        <v>3</v>
      </c>
      <c r="AR276" t="n">
        <v>5</v>
      </c>
      <c r="AS276" t="n">
        <v>3</v>
      </c>
      <c r="AT276" t="n">
        <v>3</v>
      </c>
      <c r="AU276" t="n">
        <v>3</v>
      </c>
      <c r="AW276" t="n">
        <v>4</v>
      </c>
      <c r="AX276" t="n">
        <v>3</v>
      </c>
      <c r="AY276" t="n">
        <v>3</v>
      </c>
      <c r="AZ276" t="n">
        <v>3</v>
      </c>
      <c r="BA276" t="n">
        <v>4</v>
      </c>
      <c r="BB276" t="n">
        <v>3</v>
      </c>
      <c r="BC276" t="n">
        <v>3</v>
      </c>
      <c r="BD276" t="n">
        <v>2</v>
      </c>
      <c r="BE276" t="n">
        <v>4</v>
      </c>
      <c r="BF276" t="n">
        <v>3</v>
      </c>
      <c r="BG276" t="n">
        <v>2</v>
      </c>
      <c r="BH276" t="n">
        <v>3</v>
      </c>
      <c r="BI276" t="n">
        <v>3</v>
      </c>
      <c r="BJ276" t="n">
        <v>3</v>
      </c>
      <c r="BL276" t="n">
        <v>3</v>
      </c>
      <c r="BM276" t="n">
        <v>3</v>
      </c>
      <c r="BN276" t="n">
        <v>4</v>
      </c>
      <c r="BO276" t="n">
        <v>3</v>
      </c>
      <c r="BP276" t="n">
        <v>2</v>
      </c>
      <c r="BQ276" t="n">
        <v>4</v>
      </c>
      <c r="BR276" t="n">
        <v>4</v>
      </c>
      <c r="BS276" s="56">
        <f>IF(COUNT(N276:W276)&gt;=8,AVERAGE(N276:W276),"")</f>
        <v/>
      </c>
      <c r="BT276" s="56">
        <f>IF(COUNT(X276:AE276)&gt;=7,AVERAGE(X276:AE276),"")</f>
        <v/>
      </c>
      <c r="BU276" s="56">
        <f>IF(COUNT(AF276:AM276)&gt;=7,AVERAGE(AF276:AM276),"")</f>
        <v/>
      </c>
      <c r="BV276" s="56">
        <f>IF(COUNT(AN276:AV276)&gt;=8,AVERAGE(AN276:AV276),"")</f>
        <v/>
      </c>
      <c r="BW276" s="56">
        <f>IF(COUNT(AW276:BD276)&gt;=7,AVERAGE(AW276:BD276),"")</f>
        <v/>
      </c>
      <c r="BX276" s="56">
        <f>IF(COUNT(BE276:BJ276)&gt;=5,AVERAGE(BE276:BJ276),"")</f>
        <v/>
      </c>
      <c r="BY276" s="56">
        <f>IF(COUNT(BK276:BR276)&gt;=7,AVERAGE(BK276:BR276),"")</f>
        <v/>
      </c>
    </row>
    <row r="277">
      <c r="A277" t="inlineStr">
        <is>
          <t>R246</t>
        </is>
      </c>
      <c r="B277" t="inlineStr">
        <is>
          <t>Yes</t>
        </is>
      </c>
      <c r="C277" t="inlineStr">
        <is>
          <t>Yes</t>
        </is>
      </c>
      <c r="D277" t="inlineStr">
        <is>
          <t>Male</t>
        </is>
      </c>
      <c r="E277" t="inlineStr">
        <is>
          <t>25-34</t>
        </is>
      </c>
      <c r="F277" t="inlineStr">
        <is>
          <t>Bachelor/HND</t>
        </is>
      </c>
      <c r="G277" t="inlineStr">
        <is>
          <t>Commercial bank</t>
        </is>
      </c>
      <c r="H277" t="inlineStr">
        <is>
          <t>Digital Banking/Product</t>
        </is>
      </c>
      <c r="I277" t="inlineStr">
        <is>
          <t>6-10</t>
        </is>
      </c>
      <c r="J277" t="inlineStr">
        <is>
          <t>Yes</t>
        </is>
      </c>
      <c r="K277" t="n">
        <v>1</v>
      </c>
      <c r="L277" t="inlineStr">
        <is>
          <t>No</t>
        </is>
      </c>
      <c r="M277" t="inlineStr">
        <is>
          <t>Yes</t>
        </is>
      </c>
      <c r="N277" t="n">
        <v>4</v>
      </c>
      <c r="O277" t="n">
        <v>4</v>
      </c>
      <c r="P277" t="n">
        <v>4</v>
      </c>
      <c r="Q277" t="n">
        <v>4</v>
      </c>
      <c r="R277" t="n">
        <v>4</v>
      </c>
      <c r="S277" t="n">
        <v>4</v>
      </c>
      <c r="T277" t="n">
        <v>3</v>
      </c>
      <c r="U277" t="n">
        <v>5</v>
      </c>
      <c r="V277" t="n">
        <v>3</v>
      </c>
      <c r="W277" t="n">
        <v>4</v>
      </c>
      <c r="X277" t="n">
        <v>3</v>
      </c>
      <c r="Y277" t="n">
        <v>3</v>
      </c>
      <c r="Z277" t="n">
        <v>4</v>
      </c>
      <c r="AA277" t="n">
        <v>3</v>
      </c>
      <c r="AB277" t="n">
        <v>4</v>
      </c>
      <c r="AC277" t="n">
        <v>4</v>
      </c>
      <c r="AD277" t="n">
        <v>5</v>
      </c>
      <c r="AE277" t="n">
        <v>3</v>
      </c>
      <c r="AF277" t="n">
        <v>3</v>
      </c>
      <c r="AG277" t="n">
        <v>2</v>
      </c>
      <c r="AH277" t="n">
        <v>4</v>
      </c>
      <c r="AI277" t="n">
        <v>4</v>
      </c>
      <c r="AJ277" t="n">
        <v>4</v>
      </c>
      <c r="AK277" t="n">
        <v>4</v>
      </c>
      <c r="AL277" t="n">
        <v>3</v>
      </c>
      <c r="AM277" t="n">
        <v>3</v>
      </c>
      <c r="AN277" t="n">
        <v>3</v>
      </c>
      <c r="AO277" t="n">
        <v>2</v>
      </c>
      <c r="AP277" t="n">
        <v>2</v>
      </c>
      <c r="AQ277" t="n">
        <v>3</v>
      </c>
      <c r="AR277" t="n">
        <v>3</v>
      </c>
      <c r="AS277" t="n">
        <v>2</v>
      </c>
      <c r="AT277" t="n">
        <v>2</v>
      </c>
      <c r="AU277" t="n">
        <v>3</v>
      </c>
      <c r="AW277" t="n">
        <v>4</v>
      </c>
      <c r="AX277" t="n">
        <v>3</v>
      </c>
      <c r="AY277" t="n">
        <v>3</v>
      </c>
      <c r="AZ277" t="n">
        <v>3</v>
      </c>
      <c r="BA277" t="n">
        <v>3</v>
      </c>
      <c r="BB277" t="n">
        <v>2</v>
      </c>
      <c r="BC277" t="n">
        <v>3</v>
      </c>
      <c r="BD277" t="n">
        <v>3</v>
      </c>
      <c r="BE277" t="n">
        <v>2</v>
      </c>
      <c r="BF277" t="n">
        <v>2</v>
      </c>
      <c r="BG277" t="n">
        <v>1</v>
      </c>
      <c r="BH277" t="n">
        <v>3</v>
      </c>
      <c r="BI277" t="n">
        <v>2</v>
      </c>
      <c r="BJ277" t="n">
        <v>2</v>
      </c>
      <c r="BK277" t="n">
        <v>2</v>
      </c>
      <c r="BL277" t="n">
        <v>1</v>
      </c>
      <c r="BM277" t="n">
        <v>2</v>
      </c>
      <c r="BN277" t="n">
        <v>2</v>
      </c>
      <c r="BO277" t="n">
        <v>1</v>
      </c>
      <c r="BP277" t="n">
        <v>3</v>
      </c>
      <c r="BQ277" t="n">
        <v>2</v>
      </c>
      <c r="BR277" t="n">
        <v>2</v>
      </c>
      <c r="BS277" s="56">
        <f>IF(COUNT(N277:W277)&gt;=8,AVERAGE(N277:W277),"")</f>
        <v/>
      </c>
      <c r="BT277" s="56">
        <f>IF(COUNT(X277:AE277)&gt;=7,AVERAGE(X277:AE277),"")</f>
        <v/>
      </c>
      <c r="BU277" s="56">
        <f>IF(COUNT(AF277:AM277)&gt;=7,AVERAGE(AF277:AM277),"")</f>
        <v/>
      </c>
      <c r="BV277" s="56">
        <f>IF(COUNT(AN277:AV277)&gt;=8,AVERAGE(AN277:AV277),"")</f>
        <v/>
      </c>
      <c r="BW277" s="56">
        <f>IF(COUNT(AW277:BD277)&gt;=7,AVERAGE(AW277:BD277),"")</f>
        <v/>
      </c>
      <c r="BX277" s="56">
        <f>IF(COUNT(BE277:BJ277)&gt;=5,AVERAGE(BE277:BJ277),"")</f>
        <v/>
      </c>
      <c r="BY277" s="56">
        <f>IF(COUNT(BK277:BR277)&gt;=7,AVERAGE(BK277:BR277),"")</f>
        <v/>
      </c>
    </row>
    <row r="278">
      <c r="A278" t="inlineStr">
        <is>
          <t>R247</t>
        </is>
      </c>
      <c r="B278" t="inlineStr">
        <is>
          <t>Yes</t>
        </is>
      </c>
      <c r="C278" t="inlineStr">
        <is>
          <t>Yes</t>
        </is>
      </c>
      <c r="D278" t="inlineStr">
        <is>
          <t>Male</t>
        </is>
      </c>
      <c r="E278" t="inlineStr">
        <is>
          <t>45-54</t>
        </is>
      </c>
      <c r="F278" t="inlineStr">
        <is>
          <t>Diploma/OND/NCE</t>
        </is>
      </c>
      <c r="G278" t="inlineStr">
        <is>
          <t>Commercial bank</t>
        </is>
      </c>
      <c r="H278" t="inlineStr">
        <is>
          <t>Relationship/Marketing</t>
        </is>
      </c>
      <c r="I278" t="inlineStr">
        <is>
          <t>2-5</t>
        </is>
      </c>
      <c r="J278" t="inlineStr">
        <is>
          <t>Yes</t>
        </is>
      </c>
      <c r="K278" t="n">
        <v>2</v>
      </c>
      <c r="L278" t="inlineStr">
        <is>
          <t>Yes</t>
        </is>
      </c>
      <c r="M278" t="inlineStr">
        <is>
          <t>Yes</t>
        </is>
      </c>
      <c r="N278" t="n">
        <v>4</v>
      </c>
      <c r="O278" t="n">
        <v>3</v>
      </c>
      <c r="P278" t="n">
        <v>5</v>
      </c>
      <c r="Q278" t="n">
        <v>3</v>
      </c>
      <c r="R278" t="n">
        <v>4</v>
      </c>
      <c r="S278" t="n">
        <v>4</v>
      </c>
      <c r="T278" t="n">
        <v>3</v>
      </c>
      <c r="U278" t="n">
        <v>4</v>
      </c>
      <c r="V278" t="n">
        <v>5</v>
      </c>
      <c r="W278" t="n">
        <v>4</v>
      </c>
      <c r="X278" t="n">
        <v>4</v>
      </c>
      <c r="Y278" t="n">
        <v>3</v>
      </c>
      <c r="Z278" t="n">
        <v>4</v>
      </c>
      <c r="AA278" t="n">
        <v>3</v>
      </c>
      <c r="AB278" t="n">
        <v>2</v>
      </c>
      <c r="AC278" t="n">
        <v>4</v>
      </c>
      <c r="AD278" t="n">
        <v>4</v>
      </c>
      <c r="AE278" t="n">
        <v>3</v>
      </c>
      <c r="AF278" t="n">
        <v>3</v>
      </c>
      <c r="AG278" t="n">
        <v>2</v>
      </c>
      <c r="AH278" t="n">
        <v>2</v>
      </c>
      <c r="AI278" t="n">
        <v>3</v>
      </c>
      <c r="AJ278" t="n">
        <v>2</v>
      </c>
      <c r="AK278" t="n">
        <v>2</v>
      </c>
      <c r="AL278" t="n">
        <v>4</v>
      </c>
      <c r="AM278" t="n">
        <v>3</v>
      </c>
      <c r="AN278" t="n">
        <v>3</v>
      </c>
      <c r="AO278" t="n">
        <v>2</v>
      </c>
      <c r="AP278" t="n">
        <v>3</v>
      </c>
      <c r="AQ278" t="n">
        <v>2</v>
      </c>
      <c r="AR278" t="n">
        <v>3</v>
      </c>
      <c r="AS278" t="n">
        <v>2</v>
      </c>
      <c r="AT278" t="n">
        <v>2</v>
      </c>
      <c r="AU278" t="n">
        <v>3</v>
      </c>
      <c r="AV278" t="n">
        <v>3</v>
      </c>
      <c r="AW278" t="n">
        <v>4</v>
      </c>
      <c r="AX278" t="n">
        <v>4</v>
      </c>
      <c r="AY278" t="n">
        <v>4</v>
      </c>
      <c r="AZ278" t="n">
        <v>4</v>
      </c>
      <c r="BA278" t="n">
        <v>3</v>
      </c>
      <c r="BB278" t="n">
        <v>3</v>
      </c>
      <c r="BC278" t="n">
        <v>3</v>
      </c>
      <c r="BD278" t="n">
        <v>2</v>
      </c>
      <c r="BE278" t="n">
        <v>3</v>
      </c>
      <c r="BF278" t="n">
        <v>3</v>
      </c>
      <c r="BG278" t="n">
        <v>2</v>
      </c>
      <c r="BH278" t="n">
        <v>3</v>
      </c>
      <c r="BK278" t="n">
        <v>2</v>
      </c>
      <c r="BL278" t="n">
        <v>2</v>
      </c>
      <c r="BM278" t="n">
        <v>4</v>
      </c>
      <c r="BN278" t="n">
        <v>2</v>
      </c>
      <c r="BO278" t="n">
        <v>2</v>
      </c>
      <c r="BP278" t="n">
        <v>3</v>
      </c>
      <c r="BQ278" t="n">
        <v>3</v>
      </c>
      <c r="BR278" t="n">
        <v>2</v>
      </c>
      <c r="BS278" s="56">
        <f>IF(COUNT(N278:W278)&gt;=8,AVERAGE(N278:W278),"")</f>
        <v/>
      </c>
      <c r="BT278" s="56">
        <f>IF(COUNT(X278:AE278)&gt;=7,AVERAGE(X278:AE278),"")</f>
        <v/>
      </c>
      <c r="BU278" s="56">
        <f>IF(COUNT(AF278:AM278)&gt;=7,AVERAGE(AF278:AM278),"")</f>
        <v/>
      </c>
      <c r="BV278" s="56">
        <f>IF(COUNT(AN278:AV278)&gt;=8,AVERAGE(AN278:AV278),"")</f>
        <v/>
      </c>
      <c r="BW278" s="56">
        <f>IF(COUNT(AW278:BD278)&gt;=7,AVERAGE(AW278:BD278),"")</f>
        <v/>
      </c>
      <c r="BX278" s="56">
        <f>IF(COUNT(BE278:BJ278)&gt;=5,AVERAGE(BE278:BJ278),"")</f>
        <v/>
      </c>
      <c r="BY278" s="56">
        <f>IF(COUNT(BK278:BR278)&gt;=7,AVERAGE(BK278:BR278),"")</f>
        <v/>
      </c>
    </row>
    <row r="279">
      <c r="A279" t="inlineStr">
        <is>
          <t>R248</t>
        </is>
      </c>
      <c r="B279" t="inlineStr">
        <is>
          <t>Yes</t>
        </is>
      </c>
      <c r="C279" t="inlineStr">
        <is>
          <t>Yes</t>
        </is>
      </c>
      <c r="D279" t="inlineStr">
        <is>
          <t>Male</t>
        </is>
      </c>
      <c r="E279" t="inlineStr">
        <is>
          <t>55 or above</t>
        </is>
      </c>
      <c r="F279" t="inlineStr">
        <is>
          <t>Bachelor/HND</t>
        </is>
      </c>
      <c r="G279" t="inlineStr">
        <is>
          <t>Digital bank/neobank</t>
        </is>
      </c>
      <c r="H279" t="inlineStr">
        <is>
          <t>Risk/Compliance</t>
        </is>
      </c>
      <c r="I279" t="inlineStr">
        <is>
          <t>2-5</t>
        </is>
      </c>
      <c r="J279" t="inlineStr">
        <is>
          <t>Yes</t>
        </is>
      </c>
      <c r="K279" t="n">
        <v>4</v>
      </c>
      <c r="L279" t="inlineStr">
        <is>
          <t>Yes</t>
        </is>
      </c>
      <c r="M279" t="inlineStr">
        <is>
          <t>Yes</t>
        </is>
      </c>
      <c r="N279" t="n">
        <v>3</v>
      </c>
      <c r="O279" t="n">
        <v>2</v>
      </c>
      <c r="P279" t="n">
        <v>3</v>
      </c>
      <c r="Q279" t="n">
        <v>2</v>
      </c>
      <c r="R279" t="n">
        <v>1</v>
      </c>
      <c r="S279" t="n">
        <v>2</v>
      </c>
      <c r="T279" t="n">
        <v>1</v>
      </c>
      <c r="U279" t="n">
        <v>3</v>
      </c>
      <c r="V279" t="n">
        <v>2</v>
      </c>
      <c r="W279" t="n">
        <v>2</v>
      </c>
      <c r="X279" t="n">
        <v>3</v>
      </c>
      <c r="Y279" t="n">
        <v>3</v>
      </c>
      <c r="Z279" t="n">
        <v>3</v>
      </c>
      <c r="AA279" t="n">
        <v>1</v>
      </c>
      <c r="AB279" t="n">
        <v>3</v>
      </c>
      <c r="AC279" t="n">
        <v>3</v>
      </c>
      <c r="AD279" t="n">
        <v>3</v>
      </c>
      <c r="AE279" t="n">
        <v>3</v>
      </c>
      <c r="AF279" t="n">
        <v>3</v>
      </c>
      <c r="AG279" t="n">
        <v>4</v>
      </c>
      <c r="AH279" t="n">
        <v>4</v>
      </c>
      <c r="AI279" t="n">
        <v>3</v>
      </c>
      <c r="AJ279" t="n">
        <v>4</v>
      </c>
      <c r="AK279" t="n">
        <v>4</v>
      </c>
      <c r="AL279" t="n">
        <v>3</v>
      </c>
      <c r="AN279" t="n">
        <v>4</v>
      </c>
      <c r="AO279" t="n">
        <v>3</v>
      </c>
      <c r="AP279" t="n">
        <v>3</v>
      </c>
      <c r="AQ279" t="n">
        <v>4</v>
      </c>
      <c r="AR279" t="n">
        <v>2</v>
      </c>
      <c r="AS279" t="n">
        <v>3</v>
      </c>
      <c r="AT279" t="n">
        <v>3</v>
      </c>
      <c r="AU279" t="n">
        <v>3</v>
      </c>
      <c r="AV279" t="n">
        <v>4</v>
      </c>
      <c r="AW279" t="n">
        <v>4</v>
      </c>
      <c r="AX279" t="n">
        <v>2</v>
      </c>
      <c r="AY279" t="n">
        <v>4</v>
      </c>
      <c r="AZ279" t="n">
        <v>2</v>
      </c>
      <c r="BA279" t="n">
        <v>3</v>
      </c>
      <c r="BB279" t="n">
        <v>3</v>
      </c>
      <c r="BC279" t="n">
        <v>3</v>
      </c>
      <c r="BD279" t="n">
        <v>4</v>
      </c>
      <c r="BE279" t="n">
        <v>5</v>
      </c>
      <c r="BF279" t="n">
        <v>4</v>
      </c>
      <c r="BG279" t="n">
        <v>3</v>
      </c>
      <c r="BH279" t="n">
        <v>5</v>
      </c>
      <c r="BI279" t="n">
        <v>4</v>
      </c>
      <c r="BJ279" t="n">
        <v>4</v>
      </c>
      <c r="BK279" t="n">
        <v>2</v>
      </c>
      <c r="BL279" t="n">
        <v>3</v>
      </c>
      <c r="BM279" t="n">
        <v>4</v>
      </c>
      <c r="BN279" t="n">
        <v>3</v>
      </c>
      <c r="BO279" t="n">
        <v>3</v>
      </c>
      <c r="BP279" t="n">
        <v>3</v>
      </c>
      <c r="BQ279" t="n">
        <v>4</v>
      </c>
      <c r="BR279" t="n">
        <v>2</v>
      </c>
      <c r="BS279" s="56">
        <f>IF(COUNT(N279:W279)&gt;=8,AVERAGE(N279:W279),"")</f>
        <v/>
      </c>
      <c r="BT279" s="56">
        <f>IF(COUNT(X279:AE279)&gt;=7,AVERAGE(X279:AE279),"")</f>
        <v/>
      </c>
      <c r="BU279" s="56">
        <f>IF(COUNT(AF279:AM279)&gt;=7,AVERAGE(AF279:AM279),"")</f>
        <v/>
      </c>
      <c r="BV279" s="56">
        <f>IF(COUNT(AN279:AV279)&gt;=8,AVERAGE(AN279:AV279),"")</f>
        <v/>
      </c>
      <c r="BW279" s="56">
        <f>IF(COUNT(AW279:BD279)&gt;=7,AVERAGE(AW279:BD279),"")</f>
        <v/>
      </c>
      <c r="BX279" s="56">
        <f>IF(COUNT(BE279:BJ279)&gt;=5,AVERAGE(BE279:BJ279),"")</f>
        <v/>
      </c>
      <c r="BY279" s="56">
        <f>IF(COUNT(BK279:BR279)&gt;=7,AVERAGE(BK279:BR279),"")</f>
        <v/>
      </c>
    </row>
    <row r="280">
      <c r="A280" t="inlineStr">
        <is>
          <t>R249</t>
        </is>
      </c>
      <c r="B280" t="inlineStr">
        <is>
          <t>Yes</t>
        </is>
      </c>
      <c r="C280" t="inlineStr">
        <is>
          <t>Yes</t>
        </is>
      </c>
      <c r="D280" t="inlineStr">
        <is>
          <t>Male</t>
        </is>
      </c>
      <c r="E280" t="inlineStr">
        <is>
          <t>25-34</t>
        </is>
      </c>
      <c r="F280" t="inlineStr">
        <is>
          <t>Bachelor/HND</t>
        </is>
      </c>
      <c r="G280" t="inlineStr">
        <is>
          <t>Insurance/investment/other licensed financial institution</t>
        </is>
      </c>
      <c r="H280" t="inlineStr">
        <is>
          <t>Relationship/Marketing</t>
        </is>
      </c>
      <c r="I280" t="inlineStr">
        <is>
          <t>6-10</t>
        </is>
      </c>
      <c r="J280" t="inlineStr">
        <is>
          <t>Yes</t>
        </is>
      </c>
      <c r="K280" t="n">
        <v>2</v>
      </c>
      <c r="L280" t="inlineStr">
        <is>
          <t>Yes</t>
        </is>
      </c>
      <c r="M280" t="inlineStr">
        <is>
          <t>Yes</t>
        </is>
      </c>
      <c r="N280" t="n">
        <v>4</v>
      </c>
      <c r="O280" t="n">
        <v>5</v>
      </c>
      <c r="P280" t="n">
        <v>4</v>
      </c>
      <c r="Q280" t="n">
        <v>2</v>
      </c>
      <c r="R280" t="n">
        <v>3</v>
      </c>
      <c r="S280" t="n">
        <v>4</v>
      </c>
      <c r="T280" t="n">
        <v>2</v>
      </c>
      <c r="U280" t="n">
        <v>3</v>
      </c>
      <c r="V280" t="n">
        <v>2</v>
      </c>
      <c r="W280" t="n">
        <v>4</v>
      </c>
      <c r="X280" t="n">
        <v>4</v>
      </c>
      <c r="Y280" t="n">
        <v>4</v>
      </c>
      <c r="Z280" t="n">
        <v>5</v>
      </c>
      <c r="AA280" t="n">
        <v>4</v>
      </c>
      <c r="AB280" t="n">
        <v>5</v>
      </c>
      <c r="AC280" t="n">
        <v>3</v>
      </c>
      <c r="AD280" t="n">
        <v>3</v>
      </c>
      <c r="AE280" t="n">
        <v>3</v>
      </c>
      <c r="AF280" t="n">
        <v>3</v>
      </c>
      <c r="AG280" t="n">
        <v>3</v>
      </c>
      <c r="AH280" t="n">
        <v>3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2</v>
      </c>
      <c r="AO280" t="n">
        <v>2</v>
      </c>
      <c r="AP280" t="n">
        <v>2</v>
      </c>
      <c r="AQ280" t="n">
        <v>2</v>
      </c>
      <c r="AR280" t="n">
        <v>3</v>
      </c>
      <c r="AS280" t="n">
        <v>2</v>
      </c>
      <c r="AT280" t="n">
        <v>3</v>
      </c>
      <c r="AU280" t="n">
        <v>3</v>
      </c>
      <c r="AV280" t="n">
        <v>3</v>
      </c>
      <c r="AW280" t="n">
        <v>5</v>
      </c>
      <c r="AX280" t="n">
        <v>3</v>
      </c>
      <c r="AY280" t="n">
        <v>3</v>
      </c>
      <c r="AZ280" t="n">
        <v>3</v>
      </c>
      <c r="BA280" t="n">
        <v>4</v>
      </c>
      <c r="BB280" t="n">
        <v>3</v>
      </c>
      <c r="BC280" t="n">
        <v>4</v>
      </c>
      <c r="BD280" t="n">
        <v>3</v>
      </c>
      <c r="BE280" t="n">
        <v>4</v>
      </c>
      <c r="BF280" t="n">
        <v>3</v>
      </c>
      <c r="BG280" t="n">
        <v>3</v>
      </c>
      <c r="BH280" t="n">
        <v>4</v>
      </c>
      <c r="BI280" t="n">
        <v>3</v>
      </c>
      <c r="BJ280" t="n">
        <v>3</v>
      </c>
      <c r="BK280" t="n">
        <v>3</v>
      </c>
      <c r="BL280" t="n">
        <v>1</v>
      </c>
      <c r="BM280" t="n">
        <v>2</v>
      </c>
      <c r="BN280" t="n">
        <v>3</v>
      </c>
      <c r="BO280" t="n">
        <v>3</v>
      </c>
      <c r="BP280" t="n">
        <v>2</v>
      </c>
      <c r="BQ280" t="n">
        <v>3</v>
      </c>
      <c r="BR280" t="n">
        <v>2</v>
      </c>
      <c r="BS280" s="56">
        <f>IF(COUNT(N280:W280)&gt;=8,AVERAGE(N280:W280),"")</f>
        <v/>
      </c>
      <c r="BT280" s="56">
        <f>IF(COUNT(X280:AE280)&gt;=7,AVERAGE(X280:AE280),"")</f>
        <v/>
      </c>
      <c r="BU280" s="56">
        <f>IF(COUNT(AF280:AM280)&gt;=7,AVERAGE(AF280:AM280),"")</f>
        <v/>
      </c>
      <c r="BV280" s="56">
        <f>IF(COUNT(AN280:AV280)&gt;=8,AVERAGE(AN280:AV280),"")</f>
        <v/>
      </c>
      <c r="BW280" s="56">
        <f>IF(COUNT(AW280:BD280)&gt;=7,AVERAGE(AW280:BD280),"")</f>
        <v/>
      </c>
      <c r="BX280" s="56">
        <f>IF(COUNT(BE280:BJ280)&gt;=5,AVERAGE(BE280:BJ280),"")</f>
        <v/>
      </c>
      <c r="BY280" s="56">
        <f>IF(COUNT(BK280:BR280)&gt;=7,AVERAGE(BK280:BR280),"")</f>
        <v/>
      </c>
    </row>
    <row r="281">
      <c r="A281" t="inlineStr">
        <is>
          <t>R250</t>
        </is>
      </c>
      <c r="B281" t="inlineStr">
        <is>
          <t>Yes</t>
        </is>
      </c>
      <c r="C281" t="inlineStr">
        <is>
          <t>Yes</t>
        </is>
      </c>
      <c r="D281" t="inlineStr">
        <is>
          <t>Female</t>
        </is>
      </c>
      <c r="E281" t="inlineStr">
        <is>
          <t>45-54</t>
        </is>
      </c>
      <c r="F281" t="inlineStr">
        <is>
          <t>Bachelor/HND</t>
        </is>
      </c>
      <c r="G281" t="inlineStr">
        <is>
          <t>Microfinance bank</t>
        </is>
      </c>
      <c r="H281" t="inlineStr">
        <is>
          <t>Digital Banking/Product</t>
        </is>
      </c>
      <c r="I281" t="inlineStr">
        <is>
          <t>Less than 2</t>
        </is>
      </c>
      <c r="J281" t="inlineStr">
        <is>
          <t>Yes</t>
        </is>
      </c>
      <c r="K281" t="n">
        <v>1</v>
      </c>
      <c r="L281" t="inlineStr">
        <is>
          <t>Do not know</t>
        </is>
      </c>
      <c r="M281" t="inlineStr">
        <is>
          <t>Yes</t>
        </is>
      </c>
      <c r="N281" t="n">
        <v>1</v>
      </c>
      <c r="O281" t="n">
        <v>2</v>
      </c>
      <c r="P281" t="n">
        <v>3</v>
      </c>
      <c r="Q281" t="n">
        <v>2</v>
      </c>
      <c r="R281" t="n">
        <v>1</v>
      </c>
      <c r="S281" t="n">
        <v>3</v>
      </c>
      <c r="T281" t="n">
        <v>3</v>
      </c>
      <c r="U281" t="n">
        <v>2</v>
      </c>
      <c r="V281" t="n">
        <v>3</v>
      </c>
      <c r="W281" t="n">
        <v>2</v>
      </c>
      <c r="X281" t="n">
        <v>2</v>
      </c>
      <c r="Y281" t="n">
        <v>3</v>
      </c>
      <c r="Z281" t="n">
        <v>4</v>
      </c>
      <c r="AA281" t="n">
        <v>2</v>
      </c>
      <c r="AB281" t="n">
        <v>3</v>
      </c>
      <c r="AC281" t="n">
        <v>3</v>
      </c>
      <c r="AD281" t="n">
        <v>3</v>
      </c>
      <c r="AE281" t="n">
        <v>3</v>
      </c>
      <c r="AF281" t="n">
        <v>2</v>
      </c>
      <c r="AG281" t="n">
        <v>3</v>
      </c>
      <c r="AH281" t="n">
        <v>2</v>
      </c>
      <c r="AI281" t="n">
        <v>3</v>
      </c>
      <c r="AK281" t="n">
        <v>3</v>
      </c>
      <c r="AL281" t="n">
        <v>2</v>
      </c>
      <c r="AM281" t="n">
        <v>3</v>
      </c>
      <c r="AN281" t="n">
        <v>4</v>
      </c>
      <c r="AO281" t="n">
        <v>4</v>
      </c>
      <c r="AP281" t="n">
        <v>4</v>
      </c>
      <c r="AQ281" t="n">
        <v>3</v>
      </c>
      <c r="AR281" t="n">
        <v>4</v>
      </c>
      <c r="AS281" t="n">
        <v>5</v>
      </c>
      <c r="AT281" t="n">
        <v>4</v>
      </c>
      <c r="AV281" t="n">
        <v>4</v>
      </c>
      <c r="AW281" t="n">
        <v>1</v>
      </c>
      <c r="AX281" t="n">
        <v>3</v>
      </c>
      <c r="AY281" t="n">
        <v>3</v>
      </c>
      <c r="AZ281" t="n">
        <v>3</v>
      </c>
      <c r="BA281" t="n">
        <v>3</v>
      </c>
      <c r="BB281" t="n">
        <v>2</v>
      </c>
      <c r="BD281" t="n">
        <v>2</v>
      </c>
      <c r="BE281" t="n">
        <v>2</v>
      </c>
      <c r="BF281" t="n">
        <v>5</v>
      </c>
      <c r="BG281" t="n">
        <v>3</v>
      </c>
      <c r="BH281" t="n">
        <v>3</v>
      </c>
      <c r="BI281" t="n">
        <v>3</v>
      </c>
      <c r="BJ281" t="n">
        <v>3</v>
      </c>
      <c r="BK281" t="n">
        <v>2</v>
      </c>
      <c r="BL281" t="n">
        <v>2</v>
      </c>
      <c r="BM281" t="n">
        <v>3</v>
      </c>
      <c r="BN281" t="n">
        <v>1</v>
      </c>
      <c r="BO281" t="n">
        <v>4</v>
      </c>
      <c r="BP281" t="n">
        <v>2</v>
      </c>
      <c r="BQ281" t="n">
        <v>2</v>
      </c>
      <c r="BR281" t="n">
        <v>2</v>
      </c>
      <c r="BS281" s="56">
        <f>IF(COUNT(N281:W281)&gt;=8,AVERAGE(N281:W281),"")</f>
        <v/>
      </c>
      <c r="BT281" s="56">
        <f>IF(COUNT(X281:AE281)&gt;=7,AVERAGE(X281:AE281),"")</f>
        <v/>
      </c>
      <c r="BU281" s="56">
        <f>IF(COUNT(AF281:AM281)&gt;=7,AVERAGE(AF281:AM281),"")</f>
        <v/>
      </c>
      <c r="BV281" s="56">
        <f>IF(COUNT(AN281:AV281)&gt;=8,AVERAGE(AN281:AV281),"")</f>
        <v/>
      </c>
      <c r="BW281" s="56">
        <f>IF(COUNT(AW281:BD281)&gt;=7,AVERAGE(AW281:BD281),"")</f>
        <v/>
      </c>
      <c r="BX281" s="56">
        <f>IF(COUNT(BE281:BJ281)&gt;=5,AVERAGE(BE281:BJ281),"")</f>
        <v/>
      </c>
      <c r="BY281" s="56">
        <f>IF(COUNT(BK281:BR281)&gt;=7,AVERAGE(BK281:BR281),"")</f>
        <v/>
      </c>
    </row>
    <row r="282">
      <c r="A282" t="inlineStr">
        <is>
          <t>R251</t>
        </is>
      </c>
      <c r="B282" t="inlineStr">
        <is>
          <t>Yes</t>
        </is>
      </c>
      <c r="C282" t="inlineStr">
        <is>
          <t>Yes</t>
        </is>
      </c>
      <c r="D282" t="inlineStr">
        <is>
          <t>Male</t>
        </is>
      </c>
      <c r="E282" t="inlineStr">
        <is>
          <t>18-24</t>
        </is>
      </c>
      <c r="F282" t="inlineStr">
        <is>
          <t>Bachelor/HND</t>
        </is>
      </c>
      <c r="G282" t="inlineStr">
        <is>
          <t>Commercial bank</t>
        </is>
      </c>
      <c r="H282" t="inlineStr">
        <is>
          <t>Digital Banking/Product</t>
        </is>
      </c>
      <c r="I282" t="inlineStr">
        <is>
          <t>2-5</t>
        </is>
      </c>
      <c r="J282" t="inlineStr">
        <is>
          <t>Yes</t>
        </is>
      </c>
      <c r="K282" t="n">
        <v>3</v>
      </c>
      <c r="L282" t="inlineStr">
        <is>
          <t>Yes</t>
        </is>
      </c>
      <c r="M282" t="inlineStr">
        <is>
          <t>Yes</t>
        </is>
      </c>
      <c r="O282" t="n">
        <v>3</v>
      </c>
      <c r="P282" t="n">
        <v>4</v>
      </c>
      <c r="Q282" t="n">
        <v>3</v>
      </c>
      <c r="R282" t="n">
        <v>3</v>
      </c>
      <c r="S282" t="n">
        <v>3</v>
      </c>
      <c r="T282" t="n">
        <v>2</v>
      </c>
      <c r="U282" t="n">
        <v>4</v>
      </c>
      <c r="V282" t="n">
        <v>3</v>
      </c>
      <c r="W282" t="n">
        <v>3</v>
      </c>
      <c r="X282" t="n">
        <v>3</v>
      </c>
      <c r="Y282" t="n">
        <v>2</v>
      </c>
      <c r="Z282" t="n">
        <v>3</v>
      </c>
      <c r="AA282" t="n">
        <v>4</v>
      </c>
      <c r="AB282" t="n">
        <v>3</v>
      </c>
      <c r="AC282" t="n">
        <v>3</v>
      </c>
      <c r="AD282" t="n">
        <v>3</v>
      </c>
      <c r="AE282" t="n">
        <v>2</v>
      </c>
      <c r="AF282" t="n">
        <v>3</v>
      </c>
      <c r="AG282" t="n">
        <v>4</v>
      </c>
      <c r="AH282" t="n">
        <v>1</v>
      </c>
      <c r="AI282" t="n">
        <v>4</v>
      </c>
      <c r="AJ282" t="n">
        <v>3</v>
      </c>
      <c r="AK282" t="n">
        <v>4</v>
      </c>
      <c r="AL282" t="n">
        <v>2</v>
      </c>
      <c r="AM282" t="n">
        <v>2</v>
      </c>
      <c r="AN282" t="n">
        <v>5</v>
      </c>
      <c r="AO282" t="n">
        <v>4</v>
      </c>
      <c r="AP282" t="n">
        <v>4</v>
      </c>
      <c r="AQ282" t="n">
        <v>5</v>
      </c>
      <c r="AR282" t="n">
        <v>4</v>
      </c>
      <c r="AS282" t="n">
        <v>5</v>
      </c>
      <c r="AT282" t="n">
        <v>4</v>
      </c>
      <c r="AU282" t="n">
        <v>5</v>
      </c>
      <c r="AV282" t="n">
        <v>3</v>
      </c>
      <c r="AW282" t="n">
        <v>4</v>
      </c>
      <c r="AX282" t="n">
        <v>4</v>
      </c>
      <c r="AY282" t="n">
        <v>3</v>
      </c>
      <c r="AZ282" t="n">
        <v>2</v>
      </c>
      <c r="BA282" t="n">
        <v>3</v>
      </c>
      <c r="BB282" t="n">
        <v>3</v>
      </c>
      <c r="BC282" t="n">
        <v>3</v>
      </c>
      <c r="BD282" t="n">
        <v>3</v>
      </c>
      <c r="BE282" t="n">
        <v>3</v>
      </c>
      <c r="BF282" t="n">
        <v>4</v>
      </c>
      <c r="BG282" t="n">
        <v>4</v>
      </c>
      <c r="BH282" t="n">
        <v>3</v>
      </c>
      <c r="BI282" t="n">
        <v>4</v>
      </c>
      <c r="BJ282" t="n">
        <v>3</v>
      </c>
      <c r="BK282" t="n">
        <v>4</v>
      </c>
      <c r="BL282" t="n">
        <v>4</v>
      </c>
      <c r="BM282" t="n">
        <v>5</v>
      </c>
      <c r="BN282" t="n">
        <v>3</v>
      </c>
      <c r="BO282" t="n">
        <v>4</v>
      </c>
      <c r="BP282" t="n">
        <v>4</v>
      </c>
      <c r="BQ282" t="n">
        <v>3</v>
      </c>
      <c r="BR282" t="n">
        <v>4</v>
      </c>
      <c r="BS282" s="56">
        <f>IF(COUNT(N282:W282)&gt;=8,AVERAGE(N282:W282),"")</f>
        <v/>
      </c>
      <c r="BT282" s="56">
        <f>IF(COUNT(X282:AE282)&gt;=7,AVERAGE(X282:AE282),"")</f>
        <v/>
      </c>
      <c r="BU282" s="56">
        <f>IF(COUNT(AF282:AM282)&gt;=7,AVERAGE(AF282:AM282),"")</f>
        <v/>
      </c>
      <c r="BV282" s="56">
        <f>IF(COUNT(AN282:AV282)&gt;=8,AVERAGE(AN282:AV282),"")</f>
        <v/>
      </c>
      <c r="BW282" s="56">
        <f>IF(COUNT(AW282:BD282)&gt;=7,AVERAGE(AW282:BD282),"")</f>
        <v/>
      </c>
      <c r="BX282" s="56">
        <f>IF(COUNT(BE282:BJ282)&gt;=5,AVERAGE(BE282:BJ282),"")</f>
        <v/>
      </c>
      <c r="BY282" s="56">
        <f>IF(COUNT(BK282:BR282)&gt;=7,AVERAGE(BK282:BR282),"")</f>
        <v/>
      </c>
    </row>
    <row r="283">
      <c r="A283" t="inlineStr">
        <is>
          <t>R252</t>
        </is>
      </c>
      <c r="B283" t="inlineStr">
        <is>
          <t>Yes</t>
        </is>
      </c>
      <c r="C283" t="inlineStr">
        <is>
          <t>Yes</t>
        </is>
      </c>
      <c r="D283" t="inlineStr">
        <is>
          <t>Female</t>
        </is>
      </c>
      <c r="E283" t="inlineStr">
        <is>
          <t>25-34</t>
        </is>
      </c>
      <c r="F283" t="inlineStr">
        <is>
          <t>Bachelor/HND</t>
        </is>
      </c>
      <c r="G283" t="inlineStr">
        <is>
          <t>Commercial bank</t>
        </is>
      </c>
      <c r="H283" t="inlineStr">
        <is>
          <t>Relationship/Marketing</t>
        </is>
      </c>
      <c r="I283" t="inlineStr">
        <is>
          <t>6-10</t>
        </is>
      </c>
      <c r="J283" t="inlineStr">
        <is>
          <t>Yes</t>
        </is>
      </c>
      <c r="K283" t="n">
        <v>4</v>
      </c>
      <c r="L283" t="inlineStr">
        <is>
          <t>Yes</t>
        </is>
      </c>
      <c r="M283" t="inlineStr">
        <is>
          <t>Yes</t>
        </is>
      </c>
      <c r="N283" t="n">
        <v>5</v>
      </c>
      <c r="O283" t="n">
        <v>3</v>
      </c>
      <c r="P283" t="n">
        <v>5</v>
      </c>
      <c r="Q283" t="n">
        <v>3</v>
      </c>
      <c r="R283" t="n">
        <v>4</v>
      </c>
      <c r="S283" t="n">
        <v>4</v>
      </c>
      <c r="T283" t="n">
        <v>4</v>
      </c>
      <c r="U283" t="n">
        <v>5</v>
      </c>
      <c r="V283" t="n">
        <v>5</v>
      </c>
      <c r="W283" t="n">
        <v>4</v>
      </c>
      <c r="X283" t="n">
        <v>4</v>
      </c>
      <c r="Y283" t="n">
        <v>5</v>
      </c>
      <c r="Z283" t="n">
        <v>5</v>
      </c>
      <c r="AB283" t="n">
        <v>4</v>
      </c>
      <c r="AC283" t="n">
        <v>4</v>
      </c>
      <c r="AD283" t="n">
        <v>4</v>
      </c>
      <c r="AE283" t="n">
        <v>5</v>
      </c>
      <c r="AF283" t="n">
        <v>4</v>
      </c>
      <c r="AG283" t="n">
        <v>4</v>
      </c>
      <c r="AH283" t="n">
        <v>4</v>
      </c>
      <c r="AI283" t="n">
        <v>4</v>
      </c>
      <c r="AJ283" t="n">
        <v>3</v>
      </c>
      <c r="AK283" t="n">
        <v>4</v>
      </c>
      <c r="AL283" t="n">
        <v>4</v>
      </c>
      <c r="AM283" t="n">
        <v>4</v>
      </c>
      <c r="AN283" t="n">
        <v>4</v>
      </c>
      <c r="AO283" t="n">
        <v>5</v>
      </c>
      <c r="AP283" t="n">
        <v>5</v>
      </c>
      <c r="AQ283" t="n">
        <v>3</v>
      </c>
      <c r="AR283" t="n">
        <v>5</v>
      </c>
      <c r="AS283" t="n">
        <v>4</v>
      </c>
      <c r="AT283" t="n">
        <v>4</v>
      </c>
      <c r="AU283" t="n">
        <v>3</v>
      </c>
      <c r="AV283" t="n">
        <v>4</v>
      </c>
      <c r="AW283" t="n">
        <v>5</v>
      </c>
      <c r="AX283" t="n">
        <v>5</v>
      </c>
      <c r="AY283" t="n">
        <v>3</v>
      </c>
      <c r="AZ283" t="n">
        <v>4</v>
      </c>
      <c r="BA283" t="n">
        <v>3</v>
      </c>
      <c r="BB283" t="n">
        <v>4</v>
      </c>
      <c r="BC283" t="n">
        <v>5</v>
      </c>
      <c r="BD283" t="n">
        <v>3</v>
      </c>
      <c r="BE283" t="n">
        <v>4</v>
      </c>
      <c r="BF283" t="n">
        <v>3</v>
      </c>
      <c r="BG283" t="n">
        <v>2</v>
      </c>
      <c r="BH283" t="n">
        <v>4</v>
      </c>
      <c r="BI283" t="n">
        <v>3</v>
      </c>
      <c r="BJ283" t="n">
        <v>4</v>
      </c>
      <c r="BK283" t="n">
        <v>3</v>
      </c>
      <c r="BL283" t="n">
        <v>5</v>
      </c>
      <c r="BM283" t="n">
        <v>4</v>
      </c>
      <c r="BN283" t="n">
        <v>5</v>
      </c>
      <c r="BO283" t="n">
        <v>5</v>
      </c>
      <c r="BP283" t="n">
        <v>4</v>
      </c>
      <c r="BQ283" t="n">
        <v>4</v>
      </c>
      <c r="BR283" t="n">
        <v>5</v>
      </c>
      <c r="BS283" s="56">
        <f>IF(COUNT(N283:W283)&gt;=8,AVERAGE(N283:W283),"")</f>
        <v/>
      </c>
      <c r="BT283" s="56">
        <f>IF(COUNT(X283:AE283)&gt;=7,AVERAGE(X283:AE283),"")</f>
        <v/>
      </c>
      <c r="BU283" s="56">
        <f>IF(COUNT(AF283:AM283)&gt;=7,AVERAGE(AF283:AM283),"")</f>
        <v/>
      </c>
      <c r="BV283" s="56">
        <f>IF(COUNT(AN283:AV283)&gt;=8,AVERAGE(AN283:AV283),"")</f>
        <v/>
      </c>
      <c r="BW283" s="56">
        <f>IF(COUNT(AW283:BD283)&gt;=7,AVERAGE(AW283:BD283),"")</f>
        <v/>
      </c>
      <c r="BX283" s="56">
        <f>IF(COUNT(BE283:BJ283)&gt;=5,AVERAGE(BE283:BJ283),"")</f>
        <v/>
      </c>
      <c r="BY283" s="56">
        <f>IF(COUNT(BK283:BR283)&gt;=7,AVERAGE(BK283:BR283),"")</f>
        <v/>
      </c>
    </row>
    <row r="284">
      <c r="A284" t="inlineStr">
        <is>
          <t>R253</t>
        </is>
      </c>
      <c r="B284" t="inlineStr">
        <is>
          <t>Yes</t>
        </is>
      </c>
      <c r="C284" t="inlineStr">
        <is>
          <t>Yes</t>
        </is>
      </c>
      <c r="D284" t="inlineStr">
        <is>
          <t>Female</t>
        </is>
      </c>
      <c r="E284" t="inlineStr">
        <is>
          <t>35-44</t>
        </is>
      </c>
      <c r="F284" t="inlineStr">
        <is>
          <t>Diploma/OND/NCE</t>
        </is>
      </c>
      <c r="G284" t="inlineStr">
        <is>
          <t>Fintech/payment provider</t>
        </is>
      </c>
      <c r="H284" t="inlineStr">
        <is>
          <t>Relationship/Marketing</t>
        </is>
      </c>
      <c r="I284" t="inlineStr">
        <is>
          <t>2-5</t>
        </is>
      </c>
      <c r="J284" t="inlineStr">
        <is>
          <t>Yes</t>
        </is>
      </c>
      <c r="K284" t="n">
        <v>2</v>
      </c>
      <c r="L284" t="inlineStr">
        <is>
          <t>Yes</t>
        </is>
      </c>
      <c r="M284" t="inlineStr">
        <is>
          <t>Yes</t>
        </is>
      </c>
      <c r="N284" t="n">
        <v>2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4</v>
      </c>
      <c r="W284" t="n">
        <v>4</v>
      </c>
      <c r="X284" t="n">
        <v>3</v>
      </c>
      <c r="Y284" t="n">
        <v>4</v>
      </c>
      <c r="Z284" t="n">
        <v>4</v>
      </c>
      <c r="AA284" t="n">
        <v>2</v>
      </c>
      <c r="AB284" t="n">
        <v>3</v>
      </c>
      <c r="AC284" t="n">
        <v>4</v>
      </c>
      <c r="AD284" t="n">
        <v>4</v>
      </c>
      <c r="AE284" t="n">
        <v>4</v>
      </c>
      <c r="AF284" t="n">
        <v>2</v>
      </c>
      <c r="AG284" t="n">
        <v>4</v>
      </c>
      <c r="AH284" t="n">
        <v>3</v>
      </c>
      <c r="AI284" t="n">
        <v>3</v>
      </c>
      <c r="AJ284" t="n">
        <v>3</v>
      </c>
      <c r="AK284" t="n">
        <v>4</v>
      </c>
      <c r="AL284" t="n">
        <v>3</v>
      </c>
      <c r="AM284" t="n">
        <v>3</v>
      </c>
      <c r="AN284" t="n">
        <v>3</v>
      </c>
      <c r="AO284" t="n">
        <v>3</v>
      </c>
      <c r="AP284" t="n">
        <v>2</v>
      </c>
      <c r="AQ284" t="n">
        <v>2</v>
      </c>
      <c r="AR284" t="n">
        <v>4</v>
      </c>
      <c r="AS284" t="n">
        <v>3</v>
      </c>
      <c r="AT284" t="n">
        <v>4</v>
      </c>
      <c r="AU284" t="n">
        <v>3</v>
      </c>
      <c r="AV284" t="n">
        <v>3</v>
      </c>
      <c r="AW284" t="n">
        <v>3</v>
      </c>
      <c r="AX284" t="n">
        <v>4</v>
      </c>
      <c r="AY284" t="n">
        <v>2</v>
      </c>
      <c r="AZ284" t="n">
        <v>2</v>
      </c>
      <c r="BA284" t="n">
        <v>4</v>
      </c>
      <c r="BB284" t="n">
        <v>3</v>
      </c>
      <c r="BC284" t="n">
        <v>2</v>
      </c>
      <c r="BD284" t="n">
        <v>3</v>
      </c>
      <c r="BE284" t="n">
        <v>1</v>
      </c>
      <c r="BF284" t="n">
        <v>2</v>
      </c>
      <c r="BG284" t="n">
        <v>1</v>
      </c>
      <c r="BH284" t="n">
        <v>3</v>
      </c>
      <c r="BI284" t="n">
        <v>2</v>
      </c>
      <c r="BJ284" t="n">
        <v>3</v>
      </c>
      <c r="BL284" t="n">
        <v>4</v>
      </c>
      <c r="BM284" t="n">
        <v>4</v>
      </c>
      <c r="BN284" t="n">
        <v>3</v>
      </c>
      <c r="BO284" t="n">
        <v>3</v>
      </c>
      <c r="BP284" t="n">
        <v>4</v>
      </c>
      <c r="BQ284" t="n">
        <v>3</v>
      </c>
      <c r="BR284" t="n">
        <v>3</v>
      </c>
      <c r="BS284" s="56">
        <f>IF(COUNT(N284:W284)&gt;=8,AVERAGE(N284:W284),"")</f>
        <v/>
      </c>
      <c r="BT284" s="56">
        <f>IF(COUNT(X284:AE284)&gt;=7,AVERAGE(X284:AE284),"")</f>
        <v/>
      </c>
      <c r="BU284" s="56">
        <f>IF(COUNT(AF284:AM284)&gt;=7,AVERAGE(AF284:AM284),"")</f>
        <v/>
      </c>
      <c r="BV284" s="56">
        <f>IF(COUNT(AN284:AV284)&gt;=8,AVERAGE(AN284:AV284),"")</f>
        <v/>
      </c>
      <c r="BW284" s="56">
        <f>IF(COUNT(AW284:BD284)&gt;=7,AVERAGE(AW284:BD284),"")</f>
        <v/>
      </c>
      <c r="BX284" s="56">
        <f>IF(COUNT(BE284:BJ284)&gt;=5,AVERAGE(BE284:BJ284),"")</f>
        <v/>
      </c>
      <c r="BY284" s="56">
        <f>IF(COUNT(BK284:BR284)&gt;=7,AVERAGE(BK284:BR284),"")</f>
        <v/>
      </c>
    </row>
    <row r="285">
      <c r="A285" t="inlineStr">
        <is>
          <t>R254</t>
        </is>
      </c>
      <c r="B285" t="inlineStr">
        <is>
          <t>Yes</t>
        </is>
      </c>
      <c r="C285" t="inlineStr">
        <is>
          <t>Yes</t>
        </is>
      </c>
      <c r="D285" t="inlineStr">
        <is>
          <t>Female</t>
        </is>
      </c>
      <c r="E285" t="inlineStr">
        <is>
          <t>45-54</t>
        </is>
      </c>
      <c r="F285" t="inlineStr">
        <is>
          <t>Master's</t>
        </is>
      </c>
      <c r="G285" t="inlineStr">
        <is>
          <t>Merchant bank</t>
        </is>
      </c>
      <c r="H285" t="inlineStr">
        <is>
          <t>Other</t>
        </is>
      </c>
      <c r="I285" t="inlineStr">
        <is>
          <t>2-5</t>
        </is>
      </c>
      <c r="J285" t="inlineStr">
        <is>
          <t>Yes</t>
        </is>
      </c>
      <c r="K285" t="n">
        <v>1</v>
      </c>
      <c r="L285" t="inlineStr">
        <is>
          <t>Yes</t>
        </is>
      </c>
      <c r="M285" t="inlineStr">
        <is>
          <t>Yes</t>
        </is>
      </c>
      <c r="N285" t="n">
        <v>2</v>
      </c>
      <c r="O285" t="n">
        <v>3</v>
      </c>
      <c r="P285" t="n">
        <v>3</v>
      </c>
      <c r="Q285" t="n">
        <v>2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2</v>
      </c>
      <c r="Z285" t="n">
        <v>2</v>
      </c>
      <c r="AA285" t="n">
        <v>3</v>
      </c>
      <c r="AB285" t="n">
        <v>2</v>
      </c>
      <c r="AC285" t="n">
        <v>3</v>
      </c>
      <c r="AD285" t="n">
        <v>3</v>
      </c>
      <c r="AE285" t="n">
        <v>2</v>
      </c>
      <c r="AF285" t="n">
        <v>3</v>
      </c>
      <c r="AG285" t="n">
        <v>2</v>
      </c>
      <c r="AH285" t="n">
        <v>2</v>
      </c>
      <c r="AI285" t="n">
        <v>3</v>
      </c>
      <c r="AJ285" t="n">
        <v>2</v>
      </c>
      <c r="AK285" t="n">
        <v>4</v>
      </c>
      <c r="AL285" t="n">
        <v>4</v>
      </c>
      <c r="AM285" t="n">
        <v>2</v>
      </c>
      <c r="AN285" t="n">
        <v>3</v>
      </c>
      <c r="AO285" t="n">
        <v>3</v>
      </c>
      <c r="AP285" t="n">
        <v>4</v>
      </c>
      <c r="AQ285" t="n">
        <v>2</v>
      </c>
      <c r="AR285" t="n">
        <v>4</v>
      </c>
      <c r="AS285" t="n">
        <v>3</v>
      </c>
      <c r="AT285" t="n">
        <v>3</v>
      </c>
      <c r="AU285" t="n">
        <v>2</v>
      </c>
      <c r="AV285" t="n">
        <v>4</v>
      </c>
      <c r="AW285" t="n">
        <v>4</v>
      </c>
      <c r="AX285" t="n">
        <v>2</v>
      </c>
      <c r="AY285" t="n">
        <v>3</v>
      </c>
      <c r="AZ285" t="n">
        <v>2</v>
      </c>
      <c r="BA285" t="n">
        <v>4</v>
      </c>
      <c r="BB285" t="n">
        <v>3</v>
      </c>
      <c r="BC285" t="n">
        <v>2</v>
      </c>
      <c r="BD285" t="n">
        <v>3</v>
      </c>
      <c r="BE285" t="n">
        <v>2</v>
      </c>
      <c r="BF285" t="n">
        <v>4</v>
      </c>
      <c r="BG285" t="n">
        <v>3</v>
      </c>
      <c r="BH285" t="n">
        <v>2</v>
      </c>
      <c r="BI285" t="n">
        <v>3</v>
      </c>
      <c r="BJ285" t="n">
        <v>2</v>
      </c>
      <c r="BK285" t="n">
        <v>2</v>
      </c>
      <c r="BL285" t="n">
        <v>1</v>
      </c>
      <c r="BM285" t="n">
        <v>2</v>
      </c>
      <c r="BN285" t="n">
        <v>3</v>
      </c>
      <c r="BO285" t="n">
        <v>3</v>
      </c>
      <c r="BP285" t="n">
        <v>2</v>
      </c>
      <c r="BQ285" t="n">
        <v>4</v>
      </c>
      <c r="BR285" t="n">
        <v>1</v>
      </c>
      <c r="BS285" s="56">
        <f>IF(COUNT(N285:W285)&gt;=8,AVERAGE(N285:W285),"")</f>
        <v/>
      </c>
      <c r="BT285" s="56">
        <f>IF(COUNT(X285:AE285)&gt;=7,AVERAGE(X285:AE285),"")</f>
        <v/>
      </c>
      <c r="BU285" s="56">
        <f>IF(COUNT(AF285:AM285)&gt;=7,AVERAGE(AF285:AM285),"")</f>
        <v/>
      </c>
      <c r="BV285" s="56">
        <f>IF(COUNT(AN285:AV285)&gt;=8,AVERAGE(AN285:AV285),"")</f>
        <v/>
      </c>
      <c r="BW285" s="56">
        <f>IF(COUNT(AW285:BD285)&gt;=7,AVERAGE(AW285:BD285),"")</f>
        <v/>
      </c>
      <c r="BX285" s="56">
        <f>IF(COUNT(BE285:BJ285)&gt;=5,AVERAGE(BE285:BJ285),"")</f>
        <v/>
      </c>
      <c r="BY285" s="56">
        <f>IF(COUNT(BK285:BR285)&gt;=7,AVERAGE(BK285:BR285),"")</f>
        <v/>
      </c>
    </row>
    <row r="286">
      <c r="A286" t="inlineStr">
        <is>
          <t>R255</t>
        </is>
      </c>
      <c r="B286" t="inlineStr">
        <is>
          <t>Yes</t>
        </is>
      </c>
      <c r="C286" t="inlineStr">
        <is>
          <t>Yes</t>
        </is>
      </c>
      <c r="D286" t="inlineStr">
        <is>
          <t>Male</t>
        </is>
      </c>
      <c r="E286" t="inlineStr">
        <is>
          <t>25-34</t>
        </is>
      </c>
      <c r="F286" t="inlineStr">
        <is>
          <t>Postgraduate Diploma</t>
        </is>
      </c>
      <c r="G286" t="inlineStr">
        <is>
          <t>Commercial bank</t>
        </is>
      </c>
      <c r="H286" t="inlineStr">
        <is>
          <t>Management/Strategy</t>
        </is>
      </c>
      <c r="I286" t="inlineStr">
        <is>
          <t>2-5</t>
        </is>
      </c>
      <c r="J286" t="inlineStr">
        <is>
          <t>Yes</t>
        </is>
      </c>
      <c r="K286" t="n">
        <v>0</v>
      </c>
      <c r="L286" t="inlineStr">
        <is>
          <t>Do not know</t>
        </is>
      </c>
      <c r="M286" t="inlineStr">
        <is>
          <t>Yes</t>
        </is>
      </c>
      <c r="N286" t="n">
        <v>4</v>
      </c>
      <c r="O286" t="n">
        <v>4</v>
      </c>
      <c r="P286" t="n">
        <v>4</v>
      </c>
      <c r="Q286" t="n">
        <v>3</v>
      </c>
      <c r="R286" t="n">
        <v>3</v>
      </c>
      <c r="S286" t="n">
        <v>3</v>
      </c>
      <c r="T286" t="n">
        <v>3</v>
      </c>
      <c r="U286" t="n">
        <v>3</v>
      </c>
      <c r="V286" t="n">
        <v>3</v>
      </c>
      <c r="W286" t="n">
        <v>3</v>
      </c>
      <c r="X286" t="n">
        <v>2</v>
      </c>
      <c r="Y286" t="n">
        <v>3</v>
      </c>
      <c r="Z286" t="n">
        <v>3</v>
      </c>
      <c r="AA286" t="n">
        <v>1</v>
      </c>
      <c r="AB286" t="n">
        <v>3</v>
      </c>
      <c r="AC286" t="n">
        <v>3</v>
      </c>
      <c r="AD286" t="n">
        <v>2</v>
      </c>
      <c r="AE286" t="n">
        <v>3</v>
      </c>
      <c r="AF286" t="n">
        <v>4</v>
      </c>
      <c r="AG286" t="n">
        <v>3</v>
      </c>
      <c r="AI286" t="n">
        <v>3</v>
      </c>
      <c r="AJ286" t="n">
        <v>2</v>
      </c>
      <c r="AK286" t="n">
        <v>3</v>
      </c>
      <c r="AL286" t="n">
        <v>3</v>
      </c>
      <c r="AM286" t="n">
        <v>3</v>
      </c>
      <c r="AN286" t="n">
        <v>4</v>
      </c>
      <c r="AO286" t="n">
        <v>2</v>
      </c>
      <c r="AP286" t="n">
        <v>4</v>
      </c>
      <c r="AQ286" t="n">
        <v>2</v>
      </c>
      <c r="AR286" t="n">
        <v>4</v>
      </c>
      <c r="AS286" t="n">
        <v>3</v>
      </c>
      <c r="AT286" t="n">
        <v>3</v>
      </c>
      <c r="AU286" t="n">
        <v>3</v>
      </c>
      <c r="AV286" t="n">
        <v>3</v>
      </c>
      <c r="AW286" t="n">
        <v>4</v>
      </c>
      <c r="AX286" t="n">
        <v>3</v>
      </c>
      <c r="AY286" t="n">
        <v>3</v>
      </c>
      <c r="AZ286" t="n">
        <v>3</v>
      </c>
      <c r="BA286" t="n">
        <v>4</v>
      </c>
      <c r="BB286" t="n">
        <v>2</v>
      </c>
      <c r="BC286" t="n">
        <v>3</v>
      </c>
      <c r="BD286" t="n">
        <v>2</v>
      </c>
      <c r="BE286" t="n">
        <v>3</v>
      </c>
      <c r="BF286" t="n">
        <v>3</v>
      </c>
      <c r="BG286" t="n">
        <v>3</v>
      </c>
      <c r="BH286" t="n">
        <v>3</v>
      </c>
      <c r="BI286" t="n">
        <v>2</v>
      </c>
      <c r="BJ286" t="n">
        <v>3</v>
      </c>
      <c r="BK286" t="n">
        <v>3</v>
      </c>
      <c r="BL286" t="n">
        <v>3</v>
      </c>
      <c r="BM286" t="n">
        <v>2</v>
      </c>
      <c r="BN286" t="n">
        <v>3</v>
      </c>
      <c r="BO286" t="n">
        <v>2</v>
      </c>
      <c r="BP286" t="n">
        <v>3</v>
      </c>
      <c r="BQ286" t="n">
        <v>3</v>
      </c>
      <c r="BR286" t="n">
        <v>3</v>
      </c>
      <c r="BS286" s="56">
        <f>IF(COUNT(N286:W286)&gt;=8,AVERAGE(N286:W286),"")</f>
        <v/>
      </c>
      <c r="BT286" s="56">
        <f>IF(COUNT(X286:AE286)&gt;=7,AVERAGE(X286:AE286),"")</f>
        <v/>
      </c>
      <c r="BU286" s="56">
        <f>IF(COUNT(AF286:AM286)&gt;=7,AVERAGE(AF286:AM286),"")</f>
        <v/>
      </c>
      <c r="BV286" s="56">
        <f>IF(COUNT(AN286:AV286)&gt;=8,AVERAGE(AN286:AV286),"")</f>
        <v/>
      </c>
      <c r="BW286" s="56">
        <f>IF(COUNT(AW286:BD286)&gt;=7,AVERAGE(AW286:BD286),"")</f>
        <v/>
      </c>
      <c r="BX286" s="56">
        <f>IF(COUNT(BE286:BJ286)&gt;=5,AVERAGE(BE286:BJ286),"")</f>
        <v/>
      </c>
      <c r="BY286" s="56">
        <f>IF(COUNT(BK286:BR286)&gt;=7,AVERAGE(BK286:BR286),"")</f>
        <v/>
      </c>
    </row>
    <row r="287">
      <c r="A287" t="inlineStr">
        <is>
          <t>R256</t>
        </is>
      </c>
      <c r="B287" t="inlineStr">
        <is>
          <t>Yes</t>
        </is>
      </c>
      <c r="C287" t="inlineStr">
        <is>
          <t>Yes</t>
        </is>
      </c>
      <c r="D287" t="inlineStr">
        <is>
          <t>Male</t>
        </is>
      </c>
      <c r="E287" t="inlineStr">
        <is>
          <t>45-54</t>
        </is>
      </c>
      <c r="F287" t="inlineStr">
        <is>
          <t>Master's</t>
        </is>
      </c>
      <c r="G287" t="inlineStr">
        <is>
          <t>Digital bank/neobank</t>
        </is>
      </c>
      <c r="H287" t="inlineStr">
        <is>
          <t>Management/Strategy</t>
        </is>
      </c>
      <c r="I287" t="inlineStr">
        <is>
          <t>6-10</t>
        </is>
      </c>
      <c r="J287" t="inlineStr">
        <is>
          <t>Yes</t>
        </is>
      </c>
      <c r="K287" t="n">
        <v>0</v>
      </c>
      <c r="L287" t="inlineStr">
        <is>
          <t>Do not know</t>
        </is>
      </c>
      <c r="M287" t="inlineStr">
        <is>
          <t>Yes</t>
        </is>
      </c>
      <c r="N287" t="n">
        <v>4</v>
      </c>
      <c r="O287" t="n">
        <v>4</v>
      </c>
      <c r="P287" t="n">
        <v>3</v>
      </c>
      <c r="Q287" t="n">
        <v>3</v>
      </c>
      <c r="R287" t="n">
        <v>4</v>
      </c>
      <c r="S287" t="n">
        <v>4</v>
      </c>
      <c r="T287" t="n">
        <v>3</v>
      </c>
      <c r="U287" t="n">
        <v>4</v>
      </c>
      <c r="V287" t="n">
        <v>4</v>
      </c>
      <c r="W287" t="n">
        <v>3</v>
      </c>
      <c r="X287" t="n">
        <v>3</v>
      </c>
      <c r="Y287" t="n">
        <v>2</v>
      </c>
      <c r="Z287" t="n">
        <v>3</v>
      </c>
      <c r="AA287" t="n">
        <v>3</v>
      </c>
      <c r="AB287" t="n">
        <v>3</v>
      </c>
      <c r="AC287" t="n">
        <v>3</v>
      </c>
      <c r="AD287" t="n">
        <v>3</v>
      </c>
      <c r="AE287" t="n">
        <v>2</v>
      </c>
      <c r="AF287" t="n">
        <v>3</v>
      </c>
      <c r="AG287" t="n">
        <v>3</v>
      </c>
      <c r="AH287" t="n">
        <v>2</v>
      </c>
      <c r="AI287" t="n">
        <v>4</v>
      </c>
      <c r="AJ287" t="n">
        <v>3</v>
      </c>
      <c r="AK287" t="n">
        <v>3</v>
      </c>
      <c r="AL287" t="n">
        <v>4</v>
      </c>
      <c r="AM287" t="n">
        <v>2</v>
      </c>
      <c r="AN287" t="n">
        <v>2</v>
      </c>
      <c r="AO287" t="n">
        <v>3</v>
      </c>
      <c r="AP287" t="n">
        <v>2</v>
      </c>
      <c r="AQ287" t="n">
        <v>3</v>
      </c>
      <c r="AR287" t="n">
        <v>3</v>
      </c>
      <c r="AS287" t="n">
        <v>4</v>
      </c>
      <c r="AT287" t="n">
        <v>3</v>
      </c>
      <c r="AU287" t="n">
        <v>3</v>
      </c>
      <c r="AV287" t="n">
        <v>3</v>
      </c>
      <c r="AW287" t="n">
        <v>3</v>
      </c>
      <c r="AX287" t="n">
        <v>3</v>
      </c>
      <c r="AY287" t="n">
        <v>3</v>
      </c>
      <c r="AZ287" t="n">
        <v>3</v>
      </c>
      <c r="BB287" t="n">
        <v>4</v>
      </c>
      <c r="BC287" t="n">
        <v>3</v>
      </c>
      <c r="BD287" t="n">
        <v>3</v>
      </c>
      <c r="BE287" t="n">
        <v>3</v>
      </c>
      <c r="BF287" t="n">
        <v>3</v>
      </c>
      <c r="BG287" t="n">
        <v>2</v>
      </c>
      <c r="BH287" t="n">
        <v>3</v>
      </c>
      <c r="BI287" t="n">
        <v>4</v>
      </c>
      <c r="BJ287" t="n">
        <v>2</v>
      </c>
      <c r="BK287" t="n">
        <v>3</v>
      </c>
      <c r="BL287" t="n">
        <v>3</v>
      </c>
      <c r="BM287" t="n">
        <v>5</v>
      </c>
      <c r="BN287" t="n">
        <v>5</v>
      </c>
      <c r="BO287" t="n">
        <v>4</v>
      </c>
      <c r="BP287" t="n">
        <v>3</v>
      </c>
      <c r="BQ287" t="n">
        <v>5</v>
      </c>
      <c r="BR287" t="n">
        <v>4</v>
      </c>
      <c r="BS287" s="56">
        <f>IF(COUNT(N287:W287)&gt;=8,AVERAGE(N287:W287),"")</f>
        <v/>
      </c>
      <c r="BT287" s="56">
        <f>IF(COUNT(X287:AE287)&gt;=7,AVERAGE(X287:AE287),"")</f>
        <v/>
      </c>
      <c r="BU287" s="56">
        <f>IF(COUNT(AF287:AM287)&gt;=7,AVERAGE(AF287:AM287),"")</f>
        <v/>
      </c>
      <c r="BV287" s="56">
        <f>IF(COUNT(AN287:AV287)&gt;=8,AVERAGE(AN287:AV287),"")</f>
        <v/>
      </c>
      <c r="BW287" s="56">
        <f>IF(COUNT(AW287:BD287)&gt;=7,AVERAGE(AW287:BD287),"")</f>
        <v/>
      </c>
      <c r="BX287" s="56">
        <f>IF(COUNT(BE287:BJ287)&gt;=5,AVERAGE(BE287:BJ287),"")</f>
        <v/>
      </c>
      <c r="BY287" s="56">
        <f>IF(COUNT(BK287:BR287)&gt;=7,AVERAGE(BK287:BR287),"")</f>
        <v/>
      </c>
    </row>
    <row r="288">
      <c r="A288" t="inlineStr">
        <is>
          <t>R257</t>
        </is>
      </c>
      <c r="B288" t="inlineStr">
        <is>
          <t>Yes</t>
        </is>
      </c>
      <c r="C288" t="inlineStr">
        <is>
          <t>Yes</t>
        </is>
      </c>
      <c r="D288" t="inlineStr">
        <is>
          <t>Male</t>
        </is>
      </c>
      <c r="E288" t="inlineStr">
        <is>
          <t>45-54</t>
        </is>
      </c>
      <c r="F288" t="inlineStr">
        <is>
          <t>Bachelor/HND</t>
        </is>
      </c>
      <c r="G288" t="inlineStr">
        <is>
          <t>Fintech/payment provider</t>
        </is>
      </c>
      <c r="H288" t="inlineStr">
        <is>
          <t>IT/Technology</t>
        </is>
      </c>
      <c r="I288" t="inlineStr">
        <is>
          <t>11-15</t>
        </is>
      </c>
      <c r="J288" t="inlineStr">
        <is>
          <t>Yes</t>
        </is>
      </c>
      <c r="K288" t="n">
        <v>2</v>
      </c>
      <c r="L288" t="inlineStr">
        <is>
          <t>Do not know</t>
        </is>
      </c>
      <c r="M288" t="inlineStr">
        <is>
          <t>Yes</t>
        </is>
      </c>
      <c r="N288" t="n">
        <v>3</v>
      </c>
      <c r="O288" t="n">
        <v>3</v>
      </c>
      <c r="P288" t="n">
        <v>2</v>
      </c>
      <c r="Q288" t="n">
        <v>3</v>
      </c>
      <c r="R288" t="n">
        <v>2</v>
      </c>
      <c r="S288" t="n">
        <v>4</v>
      </c>
      <c r="T288" t="n">
        <v>2</v>
      </c>
      <c r="U288" t="n">
        <v>4</v>
      </c>
      <c r="W288" t="n">
        <v>4</v>
      </c>
      <c r="X288" t="n">
        <v>4</v>
      </c>
      <c r="Y288" t="n">
        <v>3</v>
      </c>
      <c r="Z288" t="n">
        <v>5</v>
      </c>
      <c r="AA288" t="n">
        <v>3</v>
      </c>
      <c r="AB288" t="n">
        <v>5</v>
      </c>
      <c r="AC288" t="n">
        <v>3</v>
      </c>
      <c r="AD288" t="n">
        <v>4</v>
      </c>
      <c r="AE288" t="n">
        <v>4</v>
      </c>
      <c r="AF288" t="n">
        <v>3</v>
      </c>
      <c r="AG288" t="n">
        <v>2</v>
      </c>
      <c r="AH288" t="n">
        <v>3</v>
      </c>
      <c r="AI288" t="n">
        <v>4</v>
      </c>
      <c r="AJ288" t="n">
        <v>2</v>
      </c>
      <c r="AK288" t="n">
        <v>2</v>
      </c>
      <c r="AL288" t="n">
        <v>3</v>
      </c>
      <c r="AM288" t="n">
        <v>4</v>
      </c>
      <c r="AN288" t="n">
        <v>3</v>
      </c>
      <c r="AO288" t="n">
        <v>3</v>
      </c>
      <c r="AQ288" t="n">
        <v>3</v>
      </c>
      <c r="AR288" t="n">
        <v>3</v>
      </c>
      <c r="AS288" t="n">
        <v>4</v>
      </c>
      <c r="AT288" t="n">
        <v>3</v>
      </c>
      <c r="AU288" t="n">
        <v>3</v>
      </c>
      <c r="AV288" t="n">
        <v>4</v>
      </c>
      <c r="AW288" t="n">
        <v>4</v>
      </c>
      <c r="AX288" t="n">
        <v>4</v>
      </c>
      <c r="AY288" t="n">
        <v>3</v>
      </c>
      <c r="AZ288" t="n">
        <v>4</v>
      </c>
      <c r="BA288" t="n">
        <v>4</v>
      </c>
      <c r="BB288" t="n">
        <v>4</v>
      </c>
      <c r="BC288" t="n">
        <v>3</v>
      </c>
      <c r="BD288" t="n">
        <v>2</v>
      </c>
      <c r="BE288" t="n">
        <v>2</v>
      </c>
      <c r="BF288" t="n">
        <v>2</v>
      </c>
      <c r="BG288" t="n">
        <v>2</v>
      </c>
      <c r="BI288" t="n">
        <v>3</v>
      </c>
      <c r="BJ288" t="n">
        <v>2</v>
      </c>
      <c r="BK288" t="n">
        <v>4</v>
      </c>
      <c r="BL288" t="n">
        <v>2</v>
      </c>
      <c r="BM288" t="n">
        <v>4</v>
      </c>
      <c r="BN288" t="n">
        <v>3</v>
      </c>
      <c r="BO288" t="n">
        <v>5</v>
      </c>
      <c r="BP288" t="n">
        <v>2</v>
      </c>
      <c r="BQ288" t="n">
        <v>4</v>
      </c>
      <c r="BR288" t="n">
        <v>3</v>
      </c>
      <c r="BS288" s="56">
        <f>IF(COUNT(N288:W288)&gt;=8,AVERAGE(N288:W288),"")</f>
        <v/>
      </c>
      <c r="BT288" s="56">
        <f>IF(COUNT(X288:AE288)&gt;=7,AVERAGE(X288:AE288),"")</f>
        <v/>
      </c>
      <c r="BU288" s="56">
        <f>IF(COUNT(AF288:AM288)&gt;=7,AVERAGE(AF288:AM288),"")</f>
        <v/>
      </c>
      <c r="BV288" s="56">
        <f>IF(COUNT(AN288:AV288)&gt;=8,AVERAGE(AN288:AV288),"")</f>
        <v/>
      </c>
      <c r="BW288" s="56">
        <f>IF(COUNT(AW288:BD288)&gt;=7,AVERAGE(AW288:BD288),"")</f>
        <v/>
      </c>
      <c r="BX288" s="56">
        <f>IF(COUNT(BE288:BJ288)&gt;=5,AVERAGE(BE288:BJ288),"")</f>
        <v/>
      </c>
      <c r="BY288" s="56">
        <f>IF(COUNT(BK288:BR288)&gt;=7,AVERAGE(BK288:BR288),"")</f>
        <v/>
      </c>
    </row>
    <row r="289">
      <c r="A289" t="inlineStr">
        <is>
          <t>R258</t>
        </is>
      </c>
      <c r="B289" t="inlineStr">
        <is>
          <t>Yes</t>
        </is>
      </c>
      <c r="C289" t="inlineStr">
        <is>
          <t>Yes</t>
        </is>
      </c>
      <c r="D289" t="inlineStr">
        <is>
          <t>Male</t>
        </is>
      </c>
      <c r="E289" t="inlineStr">
        <is>
          <t>25-34</t>
        </is>
      </c>
      <c r="F289" t="inlineStr">
        <is>
          <t>Master's</t>
        </is>
      </c>
      <c r="G289" t="inlineStr">
        <is>
          <t>Commercial bank</t>
        </is>
      </c>
      <c r="H289" t="inlineStr">
        <is>
          <t>Management/Strategy</t>
        </is>
      </c>
      <c r="I289" t="inlineStr">
        <is>
          <t>11-15</t>
        </is>
      </c>
      <c r="J289" t="inlineStr">
        <is>
          <t>Yes</t>
        </is>
      </c>
      <c r="K289" t="n">
        <v>3</v>
      </c>
      <c r="L289" t="inlineStr">
        <is>
          <t>No</t>
        </is>
      </c>
      <c r="M289" t="inlineStr">
        <is>
          <t>Yes</t>
        </is>
      </c>
      <c r="N289" t="n">
        <v>4</v>
      </c>
      <c r="O289" t="n">
        <v>3</v>
      </c>
      <c r="P289" t="n">
        <v>2</v>
      </c>
      <c r="Q289" t="n">
        <v>2</v>
      </c>
      <c r="R289" t="n">
        <v>3</v>
      </c>
      <c r="S289" t="n">
        <v>4</v>
      </c>
      <c r="T289" t="n">
        <v>3</v>
      </c>
      <c r="U289" t="n">
        <v>3</v>
      </c>
      <c r="V289" t="n">
        <v>4</v>
      </c>
      <c r="W289" t="n">
        <v>3</v>
      </c>
      <c r="X289" t="n">
        <v>3</v>
      </c>
      <c r="Y289" t="n">
        <v>4</v>
      </c>
      <c r="Z289" t="n">
        <v>3</v>
      </c>
      <c r="AA289" t="n">
        <v>4</v>
      </c>
      <c r="AB289" t="n">
        <v>3</v>
      </c>
      <c r="AC289" t="n">
        <v>2</v>
      </c>
      <c r="AD289" t="n">
        <v>4</v>
      </c>
      <c r="AE289" t="n">
        <v>3</v>
      </c>
      <c r="AF289" t="n">
        <v>3</v>
      </c>
      <c r="AG289" t="n">
        <v>3</v>
      </c>
      <c r="AI289" t="n">
        <v>4</v>
      </c>
      <c r="AJ289" t="n">
        <v>3</v>
      </c>
      <c r="AK289" t="n">
        <v>2</v>
      </c>
      <c r="AL289" t="n">
        <v>3</v>
      </c>
      <c r="AM289" t="n">
        <v>2</v>
      </c>
      <c r="AN289" t="n">
        <v>4</v>
      </c>
      <c r="AO289" t="n">
        <v>3</v>
      </c>
      <c r="AP289" t="n">
        <v>3</v>
      </c>
      <c r="AQ289" t="n">
        <v>3</v>
      </c>
      <c r="AR289" t="n">
        <v>3</v>
      </c>
      <c r="AS289" t="n">
        <v>3</v>
      </c>
      <c r="AT289" t="n">
        <v>4</v>
      </c>
      <c r="AU289" t="n">
        <v>4</v>
      </c>
      <c r="AV289" t="n">
        <v>4</v>
      </c>
      <c r="AW289" t="n">
        <v>3</v>
      </c>
      <c r="AX289" t="n">
        <v>3</v>
      </c>
      <c r="AY289" t="n">
        <v>3</v>
      </c>
      <c r="AZ289" t="n">
        <v>3</v>
      </c>
      <c r="BA289" t="n">
        <v>3</v>
      </c>
      <c r="BB289" t="n">
        <v>3</v>
      </c>
      <c r="BD289" t="n">
        <v>3</v>
      </c>
      <c r="BE289" t="n">
        <v>3</v>
      </c>
      <c r="BF289" t="n">
        <v>4</v>
      </c>
      <c r="BG289" t="n">
        <v>3</v>
      </c>
      <c r="BH289" t="n">
        <v>5</v>
      </c>
      <c r="BI289" t="n">
        <v>3</v>
      </c>
      <c r="BJ289" t="n">
        <v>3</v>
      </c>
      <c r="BK289" t="n">
        <v>3</v>
      </c>
      <c r="BL289" t="n">
        <v>3</v>
      </c>
      <c r="BM289" t="n">
        <v>4</v>
      </c>
      <c r="BN289" t="n">
        <v>2</v>
      </c>
      <c r="BO289" t="n">
        <v>4</v>
      </c>
      <c r="BP289" t="n">
        <v>3</v>
      </c>
      <c r="BQ289" t="n">
        <v>4</v>
      </c>
      <c r="BR289" t="n">
        <v>3</v>
      </c>
      <c r="BS289" s="56">
        <f>IF(COUNT(N289:W289)&gt;=8,AVERAGE(N289:W289),"")</f>
        <v/>
      </c>
      <c r="BT289" s="56">
        <f>IF(COUNT(X289:AE289)&gt;=7,AVERAGE(X289:AE289),"")</f>
        <v/>
      </c>
      <c r="BU289" s="56">
        <f>IF(COUNT(AF289:AM289)&gt;=7,AVERAGE(AF289:AM289),"")</f>
        <v/>
      </c>
      <c r="BV289" s="56">
        <f>IF(COUNT(AN289:AV289)&gt;=8,AVERAGE(AN289:AV289),"")</f>
        <v/>
      </c>
      <c r="BW289" s="56">
        <f>IF(COUNT(AW289:BD289)&gt;=7,AVERAGE(AW289:BD289),"")</f>
        <v/>
      </c>
      <c r="BX289" s="56">
        <f>IF(COUNT(BE289:BJ289)&gt;=5,AVERAGE(BE289:BJ289),"")</f>
        <v/>
      </c>
      <c r="BY289" s="56">
        <f>IF(COUNT(BK289:BR289)&gt;=7,AVERAGE(BK289:BR289),"")</f>
        <v/>
      </c>
    </row>
    <row r="290">
      <c r="A290" t="inlineStr">
        <is>
          <t>R259</t>
        </is>
      </c>
      <c r="B290" t="inlineStr">
        <is>
          <t>Yes</t>
        </is>
      </c>
      <c r="C290" t="inlineStr">
        <is>
          <t>Yes</t>
        </is>
      </c>
      <c r="D290" t="inlineStr">
        <is>
          <t>Male</t>
        </is>
      </c>
      <c r="E290" t="inlineStr">
        <is>
          <t>55 or above</t>
        </is>
      </c>
      <c r="F290" t="inlineStr">
        <is>
          <t>Bachelor/HND</t>
        </is>
      </c>
      <c r="G290" t="inlineStr">
        <is>
          <t>Insurance/investment/other licensed financial institution</t>
        </is>
      </c>
      <c r="H290" t="inlineStr">
        <is>
          <t>Digital Banking/Product</t>
        </is>
      </c>
      <c r="I290" t="inlineStr">
        <is>
          <t>Less than 2</t>
        </is>
      </c>
      <c r="J290" t="inlineStr">
        <is>
          <t>Yes</t>
        </is>
      </c>
      <c r="K290" t="n">
        <v>4</v>
      </c>
      <c r="L290" t="inlineStr">
        <is>
          <t>Yes</t>
        </is>
      </c>
      <c r="M290" t="inlineStr">
        <is>
          <t>Yes</t>
        </is>
      </c>
      <c r="N290" t="n">
        <v>3</v>
      </c>
      <c r="O290" t="n">
        <v>4</v>
      </c>
      <c r="P290" t="n">
        <v>4</v>
      </c>
      <c r="Q290" t="n">
        <v>3</v>
      </c>
      <c r="R290" t="n">
        <v>3</v>
      </c>
      <c r="S290" t="n">
        <v>5</v>
      </c>
      <c r="T290" t="n">
        <v>3</v>
      </c>
      <c r="U290" t="n">
        <v>2</v>
      </c>
      <c r="V290" t="n">
        <v>4</v>
      </c>
      <c r="W290" t="n">
        <v>3</v>
      </c>
      <c r="X290" t="n">
        <v>2</v>
      </c>
      <c r="Y290" t="n">
        <v>3</v>
      </c>
      <c r="Z290" t="n">
        <v>2</v>
      </c>
      <c r="AA290" t="n">
        <v>2</v>
      </c>
      <c r="AB290" t="n">
        <v>4</v>
      </c>
      <c r="AC290" t="n">
        <v>3</v>
      </c>
      <c r="AD290" t="n">
        <v>3</v>
      </c>
      <c r="AE290" t="n">
        <v>3</v>
      </c>
      <c r="AF290" t="n">
        <v>2</v>
      </c>
      <c r="AG290" t="n">
        <v>3</v>
      </c>
      <c r="AH290" t="n">
        <v>2</v>
      </c>
      <c r="AI290" t="n">
        <v>4</v>
      </c>
      <c r="AJ290" t="n">
        <v>3</v>
      </c>
      <c r="AK290" t="n">
        <v>2</v>
      </c>
      <c r="AL290" t="n">
        <v>4</v>
      </c>
      <c r="AM290" t="n">
        <v>2</v>
      </c>
      <c r="AN290" t="n">
        <v>2</v>
      </c>
      <c r="AO290" t="n">
        <v>2</v>
      </c>
      <c r="AP290" t="n">
        <v>2</v>
      </c>
      <c r="AQ290" t="n">
        <v>1</v>
      </c>
      <c r="AR290" t="n">
        <v>2</v>
      </c>
      <c r="AS290" t="n">
        <v>1</v>
      </c>
      <c r="AT290" t="n">
        <v>2</v>
      </c>
      <c r="AU290" t="n">
        <v>2</v>
      </c>
      <c r="AV290" t="n">
        <v>2</v>
      </c>
      <c r="AW290" t="n">
        <v>3</v>
      </c>
      <c r="AX290" t="n">
        <v>1</v>
      </c>
      <c r="AY290" t="n">
        <v>2</v>
      </c>
      <c r="AZ290" t="n">
        <v>1</v>
      </c>
      <c r="BA290" t="n">
        <v>3</v>
      </c>
      <c r="BB290" t="n">
        <v>3</v>
      </c>
      <c r="BC290" t="n">
        <v>2</v>
      </c>
      <c r="BD290" t="n">
        <v>2</v>
      </c>
      <c r="BE290" t="n">
        <v>3</v>
      </c>
      <c r="BF290" t="n">
        <v>2</v>
      </c>
      <c r="BG290" t="n">
        <v>2</v>
      </c>
      <c r="BH290" t="n">
        <v>4</v>
      </c>
      <c r="BI290" t="n">
        <v>3</v>
      </c>
      <c r="BJ290" t="n">
        <v>2</v>
      </c>
      <c r="BK290" t="n">
        <v>4</v>
      </c>
      <c r="BL290" t="n">
        <v>3</v>
      </c>
      <c r="BM290" t="n">
        <v>4</v>
      </c>
      <c r="BN290" t="n">
        <v>2</v>
      </c>
      <c r="BO290" t="n">
        <v>3</v>
      </c>
      <c r="BP290" t="n">
        <v>2</v>
      </c>
      <c r="BQ290" t="n">
        <v>4</v>
      </c>
      <c r="BR290" t="n">
        <v>3</v>
      </c>
      <c r="BS290" s="56">
        <f>IF(COUNT(N290:W290)&gt;=8,AVERAGE(N290:W290),"")</f>
        <v/>
      </c>
      <c r="BT290" s="56">
        <f>IF(COUNT(X290:AE290)&gt;=7,AVERAGE(X290:AE290),"")</f>
        <v/>
      </c>
      <c r="BU290" s="56">
        <f>IF(COUNT(AF290:AM290)&gt;=7,AVERAGE(AF290:AM290),"")</f>
        <v/>
      </c>
      <c r="BV290" s="56">
        <f>IF(COUNT(AN290:AV290)&gt;=8,AVERAGE(AN290:AV290),"")</f>
        <v/>
      </c>
      <c r="BW290" s="56">
        <f>IF(COUNT(AW290:BD290)&gt;=7,AVERAGE(AW290:BD290),"")</f>
        <v/>
      </c>
      <c r="BX290" s="56">
        <f>IF(COUNT(BE290:BJ290)&gt;=5,AVERAGE(BE290:BJ290),"")</f>
        <v/>
      </c>
      <c r="BY290" s="56">
        <f>IF(COUNT(BK290:BR290)&gt;=7,AVERAGE(BK290:BR290),"")</f>
        <v/>
      </c>
    </row>
    <row r="291">
      <c r="A291" t="inlineStr">
        <is>
          <t>R260</t>
        </is>
      </c>
      <c r="B291" t="inlineStr">
        <is>
          <t>Yes</t>
        </is>
      </c>
      <c r="C291" t="inlineStr">
        <is>
          <t>Yes</t>
        </is>
      </c>
      <c r="D291" t="inlineStr">
        <is>
          <t>Male</t>
        </is>
      </c>
      <c r="E291" t="inlineStr">
        <is>
          <t>35-44</t>
        </is>
      </c>
      <c r="F291" t="inlineStr">
        <is>
          <t>Postgraduate Diploma</t>
        </is>
      </c>
      <c r="G291" t="inlineStr">
        <is>
          <t>Insurance/investment/other licensed financial institution</t>
        </is>
      </c>
      <c r="H291" t="inlineStr">
        <is>
          <t>Risk/Compliance</t>
        </is>
      </c>
      <c r="I291" t="inlineStr">
        <is>
          <t>2-5</t>
        </is>
      </c>
      <c r="J291" t="inlineStr">
        <is>
          <t>Yes</t>
        </is>
      </c>
      <c r="K291" t="n">
        <v>2</v>
      </c>
      <c r="L291" t="inlineStr">
        <is>
          <t>Yes</t>
        </is>
      </c>
      <c r="M291" t="inlineStr">
        <is>
          <t>Yes</t>
        </is>
      </c>
      <c r="N291" t="n">
        <v>5</v>
      </c>
      <c r="O291" t="n">
        <v>4</v>
      </c>
      <c r="P291" t="n">
        <v>4</v>
      </c>
      <c r="Q291" t="n">
        <v>5</v>
      </c>
      <c r="R291" t="n">
        <v>5</v>
      </c>
      <c r="S291" t="n">
        <v>5</v>
      </c>
      <c r="T291" t="n">
        <v>4</v>
      </c>
      <c r="U291" t="n">
        <v>5</v>
      </c>
      <c r="W291" t="n">
        <v>3</v>
      </c>
      <c r="X291" t="n">
        <v>3</v>
      </c>
      <c r="Y291" t="n">
        <v>3</v>
      </c>
      <c r="Z291" t="n">
        <v>3</v>
      </c>
      <c r="AA291" t="n">
        <v>3</v>
      </c>
      <c r="AB291" t="n">
        <v>2</v>
      </c>
      <c r="AC291" t="n">
        <v>2</v>
      </c>
      <c r="AD291" t="n">
        <v>3</v>
      </c>
      <c r="AE291" t="n">
        <v>3</v>
      </c>
      <c r="AF291" t="n">
        <v>4</v>
      </c>
      <c r="AG291" t="n">
        <v>3</v>
      </c>
      <c r="AH291" t="n">
        <v>3</v>
      </c>
      <c r="AI291" t="n">
        <v>4</v>
      </c>
      <c r="AJ291" t="n">
        <v>3</v>
      </c>
      <c r="AK291" t="n">
        <v>3</v>
      </c>
      <c r="AL291" t="n">
        <v>2</v>
      </c>
      <c r="AM291" t="n">
        <v>3</v>
      </c>
      <c r="AN291" t="n">
        <v>4</v>
      </c>
      <c r="AO291" t="n">
        <v>3</v>
      </c>
      <c r="AP291" t="n">
        <v>3</v>
      </c>
      <c r="AQ291" t="n">
        <v>3</v>
      </c>
      <c r="AR291" t="n">
        <v>2</v>
      </c>
      <c r="AS291" t="n">
        <v>3</v>
      </c>
      <c r="AT291" t="n">
        <v>3</v>
      </c>
      <c r="AU291" t="n">
        <v>3</v>
      </c>
      <c r="AV291" t="n">
        <v>3</v>
      </c>
      <c r="AW291" t="n">
        <v>3</v>
      </c>
      <c r="AX291" t="n">
        <v>3</v>
      </c>
      <c r="AY291" t="n">
        <v>3</v>
      </c>
      <c r="AZ291" t="n">
        <v>4</v>
      </c>
      <c r="BA291" t="n">
        <v>4</v>
      </c>
      <c r="BB291" t="n">
        <v>4</v>
      </c>
      <c r="BC291" t="n">
        <v>4</v>
      </c>
      <c r="BD291" t="n">
        <v>3</v>
      </c>
      <c r="BE291" t="n">
        <v>4</v>
      </c>
      <c r="BF291" t="n">
        <v>3</v>
      </c>
      <c r="BG291" t="n">
        <v>2</v>
      </c>
      <c r="BH291" t="n">
        <v>3</v>
      </c>
      <c r="BI291" t="n">
        <v>4</v>
      </c>
      <c r="BJ291" t="n">
        <v>3</v>
      </c>
      <c r="BK291" t="n">
        <v>3</v>
      </c>
      <c r="BL291" t="n">
        <v>3</v>
      </c>
      <c r="BM291" t="n">
        <v>4</v>
      </c>
      <c r="BN291" t="n">
        <v>3</v>
      </c>
      <c r="BO291" t="n">
        <v>3</v>
      </c>
      <c r="BP291" t="n">
        <v>3</v>
      </c>
      <c r="BQ291" t="n">
        <v>4</v>
      </c>
      <c r="BR291" t="n">
        <v>3</v>
      </c>
      <c r="BS291" s="56">
        <f>IF(COUNT(N291:W291)&gt;=8,AVERAGE(N291:W291),"")</f>
        <v/>
      </c>
      <c r="BT291" s="56">
        <f>IF(COUNT(X291:AE291)&gt;=7,AVERAGE(X291:AE291),"")</f>
        <v/>
      </c>
      <c r="BU291" s="56">
        <f>IF(COUNT(AF291:AM291)&gt;=7,AVERAGE(AF291:AM291),"")</f>
        <v/>
      </c>
      <c r="BV291" s="56">
        <f>IF(COUNT(AN291:AV291)&gt;=8,AVERAGE(AN291:AV291),"")</f>
        <v/>
      </c>
      <c r="BW291" s="56">
        <f>IF(COUNT(AW291:BD291)&gt;=7,AVERAGE(AW291:BD291),"")</f>
        <v/>
      </c>
      <c r="BX291" s="56">
        <f>IF(COUNT(BE291:BJ291)&gt;=5,AVERAGE(BE291:BJ291),"")</f>
        <v/>
      </c>
      <c r="BY291" s="56">
        <f>IF(COUNT(BK291:BR291)&gt;=7,AVERAGE(BK291:BR291),"")</f>
        <v/>
      </c>
    </row>
    <row r="292">
      <c r="A292" t="inlineStr">
        <is>
          <t>R261</t>
        </is>
      </c>
      <c r="B292" t="inlineStr">
        <is>
          <t>Yes</t>
        </is>
      </c>
      <c r="C292" t="inlineStr">
        <is>
          <t>Yes</t>
        </is>
      </c>
      <c r="D292" t="inlineStr">
        <is>
          <t>Female</t>
        </is>
      </c>
      <c r="E292" t="inlineStr">
        <is>
          <t>35-44</t>
        </is>
      </c>
      <c r="F292" t="inlineStr">
        <is>
          <t>Bachelor/HND</t>
        </is>
      </c>
      <c r="G292" t="inlineStr">
        <is>
          <t>Commercial bank</t>
        </is>
      </c>
      <c r="H292" t="inlineStr">
        <is>
          <t>Digital Banking/Product</t>
        </is>
      </c>
      <c r="I292" t="inlineStr">
        <is>
          <t>6-10</t>
        </is>
      </c>
      <c r="J292" t="inlineStr">
        <is>
          <t>Yes</t>
        </is>
      </c>
      <c r="K292" t="n">
        <v>2</v>
      </c>
      <c r="L292" t="inlineStr">
        <is>
          <t>Yes</t>
        </is>
      </c>
      <c r="M292" t="inlineStr">
        <is>
          <t>Yes</t>
        </is>
      </c>
      <c r="N292" t="n">
        <v>3</v>
      </c>
      <c r="O292" t="n">
        <v>2</v>
      </c>
      <c r="P292" t="n">
        <v>2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4</v>
      </c>
      <c r="AA292" t="n">
        <v>3</v>
      </c>
      <c r="AB292" t="n">
        <v>3</v>
      </c>
      <c r="AC292" t="n">
        <v>3</v>
      </c>
      <c r="AD292" t="n">
        <v>3</v>
      </c>
      <c r="AE292" t="n">
        <v>3</v>
      </c>
      <c r="AF292" t="n">
        <v>2</v>
      </c>
      <c r="AG292" t="n">
        <v>3</v>
      </c>
      <c r="AH292" t="n">
        <v>3</v>
      </c>
      <c r="AI292" t="n">
        <v>3</v>
      </c>
      <c r="AJ292" t="n">
        <v>2</v>
      </c>
      <c r="AK292" t="n">
        <v>4</v>
      </c>
      <c r="AL292" t="n">
        <v>3</v>
      </c>
      <c r="AM292" t="n">
        <v>3</v>
      </c>
      <c r="AN292" t="n">
        <v>3</v>
      </c>
      <c r="AO292" t="n">
        <v>2</v>
      </c>
      <c r="AP292" t="n">
        <v>3</v>
      </c>
      <c r="AQ292" t="n">
        <v>2</v>
      </c>
      <c r="AR292" t="n">
        <v>4</v>
      </c>
      <c r="AS292" t="n">
        <v>4</v>
      </c>
      <c r="AT292" t="n">
        <v>3</v>
      </c>
      <c r="AU292" t="n">
        <v>4</v>
      </c>
      <c r="AV292" t="n">
        <v>4</v>
      </c>
      <c r="AW292" t="n">
        <v>4</v>
      </c>
      <c r="AX292" t="n">
        <v>4</v>
      </c>
      <c r="AY292" t="n">
        <v>4</v>
      </c>
      <c r="AZ292" t="n">
        <v>3</v>
      </c>
      <c r="BA292" t="n">
        <v>5</v>
      </c>
      <c r="BB292" t="n">
        <v>4</v>
      </c>
      <c r="BC292" t="n">
        <v>4</v>
      </c>
      <c r="BD292" t="n">
        <v>4</v>
      </c>
      <c r="BE292" t="n">
        <v>3</v>
      </c>
      <c r="BF292" t="n">
        <v>4</v>
      </c>
      <c r="BG292" t="n">
        <v>3</v>
      </c>
      <c r="BH292" t="n">
        <v>5</v>
      </c>
      <c r="BI292" t="n">
        <v>4</v>
      </c>
      <c r="BJ292" t="n">
        <v>4</v>
      </c>
      <c r="BK292" t="n">
        <v>3</v>
      </c>
      <c r="BL292" t="n">
        <v>2</v>
      </c>
      <c r="BM292" t="n">
        <v>3</v>
      </c>
      <c r="BN292" t="n">
        <v>2</v>
      </c>
      <c r="BO292" t="n">
        <v>3</v>
      </c>
      <c r="BP292" t="n">
        <v>1</v>
      </c>
      <c r="BQ292" t="n">
        <v>3</v>
      </c>
      <c r="BR292" t="n">
        <v>2</v>
      </c>
      <c r="BS292" s="56">
        <f>IF(COUNT(N292:W292)&gt;=8,AVERAGE(N292:W292),"")</f>
        <v/>
      </c>
      <c r="BT292" s="56">
        <f>IF(COUNT(X292:AE292)&gt;=7,AVERAGE(X292:AE292),"")</f>
        <v/>
      </c>
      <c r="BU292" s="56">
        <f>IF(COUNT(AF292:AM292)&gt;=7,AVERAGE(AF292:AM292),"")</f>
        <v/>
      </c>
      <c r="BV292" s="56">
        <f>IF(COUNT(AN292:AV292)&gt;=8,AVERAGE(AN292:AV292),"")</f>
        <v/>
      </c>
      <c r="BW292" s="56">
        <f>IF(COUNT(AW292:BD292)&gt;=7,AVERAGE(AW292:BD292),"")</f>
        <v/>
      </c>
      <c r="BX292" s="56">
        <f>IF(COUNT(BE292:BJ292)&gt;=5,AVERAGE(BE292:BJ292),"")</f>
        <v/>
      </c>
      <c r="BY292" s="56">
        <f>IF(COUNT(BK292:BR292)&gt;=7,AVERAGE(BK292:BR292),"")</f>
        <v/>
      </c>
    </row>
    <row r="293">
      <c r="A293" t="inlineStr">
        <is>
          <t>R262</t>
        </is>
      </c>
      <c r="B293" t="inlineStr">
        <is>
          <t>Yes</t>
        </is>
      </c>
      <c r="C293" t="inlineStr">
        <is>
          <t>Yes</t>
        </is>
      </c>
      <c r="D293" t="inlineStr">
        <is>
          <t>Male</t>
        </is>
      </c>
      <c r="E293" t="inlineStr">
        <is>
          <t>18-24</t>
        </is>
      </c>
      <c r="F293" t="inlineStr">
        <is>
          <t>Bachelor/HND</t>
        </is>
      </c>
      <c r="G293" t="inlineStr">
        <is>
          <t>Digital bank/neobank</t>
        </is>
      </c>
      <c r="H293" t="inlineStr">
        <is>
          <t>Other</t>
        </is>
      </c>
      <c r="I293" t="inlineStr">
        <is>
          <t>2-5</t>
        </is>
      </c>
      <c r="J293" t="inlineStr">
        <is>
          <t>Yes</t>
        </is>
      </c>
      <c r="K293" t="n">
        <v>0</v>
      </c>
      <c r="L293" t="inlineStr">
        <is>
          <t>No</t>
        </is>
      </c>
      <c r="M293" t="inlineStr">
        <is>
          <t>Yes</t>
        </is>
      </c>
      <c r="N293" t="n">
        <v>4</v>
      </c>
      <c r="O293" t="n">
        <v>2</v>
      </c>
      <c r="P293" t="n">
        <v>4</v>
      </c>
      <c r="Q293" t="n">
        <v>3</v>
      </c>
      <c r="R293" t="n">
        <v>3</v>
      </c>
      <c r="S293" t="n">
        <v>3</v>
      </c>
      <c r="T293" t="n">
        <v>2</v>
      </c>
      <c r="U293" t="n">
        <v>3</v>
      </c>
      <c r="V293" t="n">
        <v>4</v>
      </c>
      <c r="W293" t="n">
        <v>2</v>
      </c>
      <c r="X293" t="n">
        <v>2</v>
      </c>
      <c r="Z293" t="n">
        <v>2</v>
      </c>
      <c r="AA293" t="n">
        <v>2</v>
      </c>
      <c r="AB293" t="n">
        <v>3</v>
      </c>
      <c r="AC293" t="n">
        <v>3</v>
      </c>
      <c r="AD293" t="n">
        <v>2</v>
      </c>
      <c r="AE293" t="n">
        <v>2</v>
      </c>
      <c r="AF293" t="n">
        <v>1</v>
      </c>
      <c r="AG293" t="n">
        <v>1</v>
      </c>
      <c r="AH293" t="n">
        <v>1</v>
      </c>
      <c r="AI293" t="n">
        <v>2</v>
      </c>
      <c r="AJ293" t="n">
        <v>2</v>
      </c>
      <c r="AK293" t="n">
        <v>2</v>
      </c>
      <c r="AL293" t="n">
        <v>2</v>
      </c>
      <c r="AM293" t="n">
        <v>2</v>
      </c>
      <c r="AN293" t="n">
        <v>4</v>
      </c>
      <c r="AO293" t="n">
        <v>2</v>
      </c>
      <c r="AP293" t="n">
        <v>2</v>
      </c>
      <c r="AQ293" t="n">
        <v>3</v>
      </c>
      <c r="AR293" t="n">
        <v>3</v>
      </c>
      <c r="AS293" t="n">
        <v>3</v>
      </c>
      <c r="AT293" t="n">
        <v>2</v>
      </c>
      <c r="AU293" t="n">
        <v>3</v>
      </c>
      <c r="AV293" t="n">
        <v>2</v>
      </c>
      <c r="AW293" t="n">
        <v>1</v>
      </c>
      <c r="AX293" t="n">
        <v>1</v>
      </c>
      <c r="AY293" t="n">
        <v>2</v>
      </c>
      <c r="AZ293" t="n">
        <v>1</v>
      </c>
      <c r="BA293" t="n">
        <v>3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3</v>
      </c>
      <c r="BI293" t="n">
        <v>3</v>
      </c>
      <c r="BJ293" t="n">
        <v>2</v>
      </c>
      <c r="BK293" t="n">
        <v>3</v>
      </c>
      <c r="BL293" t="n">
        <v>3</v>
      </c>
      <c r="BM293" t="n">
        <v>4</v>
      </c>
      <c r="BN293" t="n">
        <v>3</v>
      </c>
      <c r="BO293" t="n">
        <v>4</v>
      </c>
      <c r="BP293" t="n">
        <v>3</v>
      </c>
      <c r="BQ293" t="n">
        <v>4</v>
      </c>
      <c r="BR293" t="n">
        <v>1</v>
      </c>
      <c r="BS293" s="56">
        <f>IF(COUNT(N293:W293)&gt;=8,AVERAGE(N293:W293),"")</f>
        <v/>
      </c>
      <c r="BT293" s="56">
        <f>IF(COUNT(X293:AE293)&gt;=7,AVERAGE(X293:AE293),"")</f>
        <v/>
      </c>
      <c r="BU293" s="56">
        <f>IF(COUNT(AF293:AM293)&gt;=7,AVERAGE(AF293:AM293),"")</f>
        <v/>
      </c>
      <c r="BV293" s="56">
        <f>IF(COUNT(AN293:AV293)&gt;=8,AVERAGE(AN293:AV293),"")</f>
        <v/>
      </c>
      <c r="BW293" s="56">
        <f>IF(COUNT(AW293:BD293)&gt;=7,AVERAGE(AW293:BD293),"")</f>
        <v/>
      </c>
      <c r="BX293" s="56">
        <f>IF(COUNT(BE293:BJ293)&gt;=5,AVERAGE(BE293:BJ293),"")</f>
        <v/>
      </c>
      <c r="BY293" s="56">
        <f>IF(COUNT(BK293:BR293)&gt;=7,AVERAGE(BK293:BR293),"")</f>
        <v/>
      </c>
    </row>
    <row r="294">
      <c r="A294" t="inlineStr">
        <is>
          <t>R263</t>
        </is>
      </c>
      <c r="B294" t="inlineStr">
        <is>
          <t>Yes</t>
        </is>
      </c>
      <c r="C294" t="inlineStr">
        <is>
          <t>Yes</t>
        </is>
      </c>
      <c r="D294" t="inlineStr">
        <is>
          <t>Prefer not to say</t>
        </is>
      </c>
      <c r="E294" t="inlineStr">
        <is>
          <t>25-34</t>
        </is>
      </c>
      <c r="F294" t="inlineStr">
        <is>
          <t>Bachelor/HND</t>
        </is>
      </c>
      <c r="G294" t="inlineStr">
        <is>
          <t>Commercial bank</t>
        </is>
      </c>
      <c r="H294" t="inlineStr">
        <is>
          <t>Data/Analytics/AI</t>
        </is>
      </c>
      <c r="I294" t="inlineStr">
        <is>
          <t>6-10</t>
        </is>
      </c>
      <c r="J294" t="inlineStr">
        <is>
          <t>Yes</t>
        </is>
      </c>
      <c r="K294" t="n">
        <v>0</v>
      </c>
      <c r="L294" t="inlineStr">
        <is>
          <t>Yes</t>
        </is>
      </c>
      <c r="M294" t="inlineStr">
        <is>
          <t>Yes</t>
        </is>
      </c>
      <c r="N294" t="n">
        <v>3</v>
      </c>
      <c r="O294" t="n">
        <v>3</v>
      </c>
      <c r="P294" t="n">
        <v>5</v>
      </c>
      <c r="Q294" t="n">
        <v>3</v>
      </c>
      <c r="R294" t="n">
        <v>2</v>
      </c>
      <c r="S294" t="n">
        <v>4</v>
      </c>
      <c r="T294" t="n">
        <v>4</v>
      </c>
      <c r="U294" t="n">
        <v>3</v>
      </c>
      <c r="V294" t="n">
        <v>3</v>
      </c>
      <c r="W294" t="n">
        <v>3</v>
      </c>
      <c r="X294" t="n">
        <v>1</v>
      </c>
      <c r="Y294" t="n">
        <v>1</v>
      </c>
      <c r="Z294" t="n">
        <v>2</v>
      </c>
      <c r="AA294" t="n">
        <v>1</v>
      </c>
      <c r="AB294" t="n">
        <v>1</v>
      </c>
      <c r="AC294" t="n">
        <v>2</v>
      </c>
      <c r="AD294" t="n">
        <v>2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2</v>
      </c>
      <c r="AM294" t="n">
        <v>2</v>
      </c>
      <c r="AN294" t="n">
        <v>1</v>
      </c>
      <c r="AO294" t="n">
        <v>2</v>
      </c>
      <c r="AP294" t="n">
        <v>1</v>
      </c>
      <c r="AQ294" t="n">
        <v>2</v>
      </c>
      <c r="AR294" t="n">
        <v>3</v>
      </c>
      <c r="AS294" t="n">
        <v>3</v>
      </c>
      <c r="AT294" t="n">
        <v>3</v>
      </c>
      <c r="AU294" t="n">
        <v>2</v>
      </c>
      <c r="AV294" t="n">
        <v>3</v>
      </c>
      <c r="AW294" t="n">
        <v>3</v>
      </c>
      <c r="AX294" t="n">
        <v>3</v>
      </c>
      <c r="AY294" t="n">
        <v>2</v>
      </c>
      <c r="AZ294" t="n">
        <v>2</v>
      </c>
      <c r="BA294" t="n">
        <v>2</v>
      </c>
      <c r="BB294" t="n">
        <v>2</v>
      </c>
      <c r="BC294" t="n">
        <v>4</v>
      </c>
      <c r="BD294" t="n">
        <v>2</v>
      </c>
      <c r="BE294" t="n">
        <v>3</v>
      </c>
      <c r="BF294" t="n">
        <v>2</v>
      </c>
      <c r="BG294" t="n">
        <v>2</v>
      </c>
      <c r="BH294" t="n">
        <v>2</v>
      </c>
      <c r="BJ294" t="n">
        <v>3</v>
      </c>
      <c r="BK294" t="n">
        <v>3</v>
      </c>
      <c r="BL294" t="n">
        <v>2</v>
      </c>
      <c r="BM294" t="n">
        <v>1</v>
      </c>
      <c r="BN294" t="n">
        <v>1</v>
      </c>
      <c r="BO294" t="n">
        <v>1</v>
      </c>
      <c r="BP294" t="n">
        <v>1</v>
      </c>
      <c r="BQ294" t="n">
        <v>2</v>
      </c>
      <c r="BS294" s="56">
        <f>IF(COUNT(N294:W294)&gt;=8,AVERAGE(N294:W294),"")</f>
        <v/>
      </c>
      <c r="BT294" s="56">
        <f>IF(COUNT(X294:AE294)&gt;=7,AVERAGE(X294:AE294),"")</f>
        <v/>
      </c>
      <c r="BU294" s="56">
        <f>IF(COUNT(AF294:AM294)&gt;=7,AVERAGE(AF294:AM294),"")</f>
        <v/>
      </c>
      <c r="BV294" s="56">
        <f>IF(COUNT(AN294:AV294)&gt;=8,AVERAGE(AN294:AV294),"")</f>
        <v/>
      </c>
      <c r="BW294" s="56">
        <f>IF(COUNT(AW294:BD294)&gt;=7,AVERAGE(AW294:BD294),"")</f>
        <v/>
      </c>
      <c r="BX294" s="56">
        <f>IF(COUNT(BE294:BJ294)&gt;=5,AVERAGE(BE294:BJ294),"")</f>
        <v/>
      </c>
      <c r="BY294" s="56">
        <f>IF(COUNT(BK294:BR294)&gt;=7,AVERAGE(BK294:BR294),"")</f>
        <v/>
      </c>
    </row>
    <row r="295">
      <c r="A295" t="inlineStr">
        <is>
          <t>R264</t>
        </is>
      </c>
      <c r="B295" t="inlineStr">
        <is>
          <t>Yes</t>
        </is>
      </c>
      <c r="C295" t="inlineStr">
        <is>
          <t>Yes</t>
        </is>
      </c>
      <c r="D295" t="inlineStr">
        <is>
          <t>Prefer not to say</t>
        </is>
      </c>
      <c r="E295" t="inlineStr">
        <is>
          <t>35-44</t>
        </is>
      </c>
      <c r="F295" t="inlineStr">
        <is>
          <t>Bachelor/HND</t>
        </is>
      </c>
      <c r="G295" t="inlineStr">
        <is>
          <t>Insurance/investment/other licensed financial institution</t>
        </is>
      </c>
      <c r="H295" t="inlineStr">
        <is>
          <t>Other</t>
        </is>
      </c>
      <c r="I295" t="inlineStr">
        <is>
          <t>2-5</t>
        </is>
      </c>
      <c r="J295" t="inlineStr">
        <is>
          <t>Yes</t>
        </is>
      </c>
      <c r="K295" t="n">
        <v>3</v>
      </c>
      <c r="L295" t="inlineStr">
        <is>
          <t>Yes</t>
        </is>
      </c>
      <c r="M295" t="inlineStr">
        <is>
          <t>Yes</t>
        </is>
      </c>
      <c r="N295" t="n">
        <v>3</v>
      </c>
      <c r="O295" t="n">
        <v>3</v>
      </c>
      <c r="P295" t="n">
        <v>4</v>
      </c>
      <c r="Q295" t="n">
        <v>3</v>
      </c>
      <c r="R295" t="n">
        <v>4</v>
      </c>
      <c r="S295" t="n">
        <v>4</v>
      </c>
      <c r="T295" t="n">
        <v>3</v>
      </c>
      <c r="U295" t="n">
        <v>3</v>
      </c>
      <c r="V295" t="n">
        <v>5</v>
      </c>
      <c r="W295" t="n">
        <v>3</v>
      </c>
      <c r="X295" t="n">
        <v>5</v>
      </c>
      <c r="Y295" t="n">
        <v>2</v>
      </c>
      <c r="Z295" t="n">
        <v>5</v>
      </c>
      <c r="AA295" t="n">
        <v>4</v>
      </c>
      <c r="AB295" t="n">
        <v>3</v>
      </c>
      <c r="AC295" t="n">
        <v>4</v>
      </c>
      <c r="AD295" t="n">
        <v>4</v>
      </c>
      <c r="AE295" t="n">
        <v>4</v>
      </c>
      <c r="AF295" t="n">
        <v>2</v>
      </c>
      <c r="AG295" t="n">
        <v>3</v>
      </c>
      <c r="AH295" t="n">
        <v>1</v>
      </c>
      <c r="AI295" t="n">
        <v>3</v>
      </c>
      <c r="AJ295" t="n">
        <v>3</v>
      </c>
      <c r="AK295" t="n">
        <v>3</v>
      </c>
      <c r="AL295" t="n">
        <v>2</v>
      </c>
      <c r="AM295" t="n">
        <v>2</v>
      </c>
      <c r="AN295" t="n">
        <v>4</v>
      </c>
      <c r="AO295" t="n">
        <v>4</v>
      </c>
      <c r="AP295" t="n">
        <v>4</v>
      </c>
      <c r="AQ295" t="n">
        <v>5</v>
      </c>
      <c r="AR295" t="n">
        <v>4</v>
      </c>
      <c r="AS295" t="n">
        <v>3</v>
      </c>
      <c r="AT295" t="n">
        <v>3</v>
      </c>
      <c r="AU295" t="n">
        <v>3</v>
      </c>
      <c r="AV295" t="n">
        <v>3</v>
      </c>
      <c r="AW295" t="n">
        <v>4</v>
      </c>
      <c r="AX295" t="n">
        <v>2</v>
      </c>
      <c r="AY295" t="n">
        <v>4</v>
      </c>
      <c r="AZ295" t="n">
        <v>3</v>
      </c>
      <c r="BA295" t="n">
        <v>4</v>
      </c>
      <c r="BB295" t="n">
        <v>3</v>
      </c>
      <c r="BC295" t="n">
        <v>3</v>
      </c>
      <c r="BD295" t="n">
        <v>3</v>
      </c>
      <c r="BE295" t="n">
        <v>2</v>
      </c>
      <c r="BF295" t="n">
        <v>3</v>
      </c>
      <c r="BG295" t="n">
        <v>2</v>
      </c>
      <c r="BH295" t="n">
        <v>3</v>
      </c>
      <c r="BI295" t="n">
        <v>3</v>
      </c>
      <c r="BJ295" t="n">
        <v>3</v>
      </c>
      <c r="BK295" t="n">
        <v>4</v>
      </c>
      <c r="BL295" t="n">
        <v>2</v>
      </c>
      <c r="BM295" t="n">
        <v>3</v>
      </c>
      <c r="BN295" t="n">
        <v>2</v>
      </c>
      <c r="BO295" t="n">
        <v>2</v>
      </c>
      <c r="BP295" t="n">
        <v>3</v>
      </c>
      <c r="BQ295" t="n">
        <v>3</v>
      </c>
      <c r="BR295" t="n">
        <v>2</v>
      </c>
      <c r="BS295" s="56">
        <f>IF(COUNT(N295:W295)&gt;=8,AVERAGE(N295:W295),"")</f>
        <v/>
      </c>
      <c r="BT295" s="56">
        <f>IF(COUNT(X295:AE295)&gt;=7,AVERAGE(X295:AE295),"")</f>
        <v/>
      </c>
      <c r="BU295" s="56">
        <f>IF(COUNT(AF295:AM295)&gt;=7,AVERAGE(AF295:AM295),"")</f>
        <v/>
      </c>
      <c r="BV295" s="56">
        <f>IF(COUNT(AN295:AV295)&gt;=8,AVERAGE(AN295:AV295),"")</f>
        <v/>
      </c>
      <c r="BW295" s="56">
        <f>IF(COUNT(AW295:BD295)&gt;=7,AVERAGE(AW295:BD295),"")</f>
        <v/>
      </c>
      <c r="BX295" s="56">
        <f>IF(COUNT(BE295:BJ295)&gt;=5,AVERAGE(BE295:BJ295),"")</f>
        <v/>
      </c>
      <c r="BY295" s="56">
        <f>IF(COUNT(BK295:BR295)&gt;=7,AVERAGE(BK295:BR295),"")</f>
        <v/>
      </c>
    </row>
    <row r="296">
      <c r="A296" t="inlineStr">
        <is>
          <t>R265</t>
        </is>
      </c>
      <c r="B296" t="inlineStr">
        <is>
          <t>Yes</t>
        </is>
      </c>
      <c r="C296" t="inlineStr">
        <is>
          <t>Yes</t>
        </is>
      </c>
      <c r="D296" t="inlineStr">
        <is>
          <t>Male</t>
        </is>
      </c>
      <c r="E296" t="inlineStr">
        <is>
          <t>45-54</t>
        </is>
      </c>
      <c r="F296" t="inlineStr">
        <is>
          <t>Bachelor/HND</t>
        </is>
      </c>
      <c r="G296" t="inlineStr">
        <is>
          <t>Commercial bank</t>
        </is>
      </c>
      <c r="H296" t="inlineStr">
        <is>
          <t>Digital Banking/Product</t>
        </is>
      </c>
      <c r="I296" t="inlineStr">
        <is>
          <t>2-5</t>
        </is>
      </c>
      <c r="J296" t="inlineStr">
        <is>
          <t>Yes</t>
        </is>
      </c>
      <c r="K296" t="n">
        <v>4</v>
      </c>
      <c r="L296" t="inlineStr">
        <is>
          <t>Yes</t>
        </is>
      </c>
      <c r="M296" t="inlineStr">
        <is>
          <t>Yes</t>
        </is>
      </c>
      <c r="N296" t="n">
        <v>4</v>
      </c>
      <c r="O296" t="n">
        <v>4</v>
      </c>
      <c r="P296" t="n">
        <v>5</v>
      </c>
      <c r="Q296" t="n">
        <v>3</v>
      </c>
      <c r="R296" t="n">
        <v>3</v>
      </c>
      <c r="S296" t="n">
        <v>3</v>
      </c>
      <c r="T296" t="n">
        <v>4</v>
      </c>
      <c r="U296" t="n">
        <v>4</v>
      </c>
      <c r="V296" t="n">
        <v>3</v>
      </c>
      <c r="W296" t="n">
        <v>3</v>
      </c>
      <c r="X296" t="n">
        <v>4</v>
      </c>
      <c r="Y296" t="n">
        <v>4</v>
      </c>
      <c r="Z296" t="n">
        <v>3</v>
      </c>
      <c r="AA296" t="n">
        <v>4</v>
      </c>
      <c r="AB296" t="n">
        <v>4</v>
      </c>
      <c r="AC296" t="n">
        <v>4</v>
      </c>
      <c r="AD296" t="n">
        <v>4</v>
      </c>
      <c r="AE296" t="n">
        <v>3</v>
      </c>
      <c r="AF296" t="n">
        <v>2</v>
      </c>
      <c r="AG296" t="n">
        <v>3</v>
      </c>
      <c r="AH296" t="n">
        <v>1</v>
      </c>
      <c r="AI296" t="n">
        <v>2</v>
      </c>
      <c r="AJ296" t="n">
        <v>3</v>
      </c>
      <c r="AK296" t="n">
        <v>2</v>
      </c>
      <c r="AL296" t="n">
        <v>3</v>
      </c>
      <c r="AM296" t="n">
        <v>3</v>
      </c>
      <c r="AN296" t="n">
        <v>4</v>
      </c>
      <c r="AO296" t="n">
        <v>3</v>
      </c>
      <c r="AP296" t="n">
        <v>3</v>
      </c>
      <c r="AQ296" t="n">
        <v>4</v>
      </c>
      <c r="AR296" t="n">
        <v>3</v>
      </c>
      <c r="AS296" t="n">
        <v>3</v>
      </c>
      <c r="AT296" t="n">
        <v>5</v>
      </c>
      <c r="AU296" t="n">
        <v>4</v>
      </c>
      <c r="AV296" t="n">
        <v>5</v>
      </c>
      <c r="AW296" t="n">
        <v>5</v>
      </c>
      <c r="AX296" t="n">
        <v>4</v>
      </c>
      <c r="AY296" t="n">
        <v>3</v>
      </c>
      <c r="AZ296" t="n">
        <v>3</v>
      </c>
      <c r="BA296" t="n">
        <v>5</v>
      </c>
      <c r="BB296" t="n">
        <v>3</v>
      </c>
      <c r="BC296" t="n">
        <v>4</v>
      </c>
      <c r="BD296" t="n">
        <v>4</v>
      </c>
      <c r="BE296" t="n">
        <v>4</v>
      </c>
      <c r="BF296" t="n">
        <v>4</v>
      </c>
      <c r="BG296" t="n">
        <v>2</v>
      </c>
      <c r="BH296" t="n">
        <v>4</v>
      </c>
      <c r="BI296" t="n">
        <v>5</v>
      </c>
      <c r="BJ296" t="n">
        <v>4</v>
      </c>
      <c r="BK296" t="n">
        <v>3</v>
      </c>
      <c r="BL296" t="n">
        <v>2</v>
      </c>
      <c r="BN296" t="n">
        <v>2</v>
      </c>
      <c r="BO296" t="n">
        <v>3</v>
      </c>
      <c r="BP296" t="n">
        <v>3</v>
      </c>
      <c r="BQ296" t="n">
        <v>3</v>
      </c>
      <c r="BR296" t="n">
        <v>2</v>
      </c>
      <c r="BS296" s="56">
        <f>IF(COUNT(N296:W296)&gt;=8,AVERAGE(N296:W296),"")</f>
        <v/>
      </c>
      <c r="BT296" s="56">
        <f>IF(COUNT(X296:AE296)&gt;=7,AVERAGE(X296:AE296),"")</f>
        <v/>
      </c>
      <c r="BU296" s="56">
        <f>IF(COUNT(AF296:AM296)&gt;=7,AVERAGE(AF296:AM296),"")</f>
        <v/>
      </c>
      <c r="BV296" s="56">
        <f>IF(COUNT(AN296:AV296)&gt;=8,AVERAGE(AN296:AV296),"")</f>
        <v/>
      </c>
      <c r="BW296" s="56">
        <f>IF(COUNT(AW296:BD296)&gt;=7,AVERAGE(AW296:BD296),"")</f>
        <v/>
      </c>
      <c r="BX296" s="56">
        <f>IF(COUNT(BE296:BJ296)&gt;=5,AVERAGE(BE296:BJ296),"")</f>
        <v/>
      </c>
      <c r="BY296" s="56">
        <f>IF(COUNT(BK296:BR296)&gt;=7,AVERAGE(BK296:BR296),"")</f>
        <v/>
      </c>
    </row>
    <row r="297">
      <c r="A297" t="inlineStr">
        <is>
          <t>R266</t>
        </is>
      </c>
      <c r="B297" t="inlineStr">
        <is>
          <t>Yes</t>
        </is>
      </c>
      <c r="C297" t="inlineStr">
        <is>
          <t>Yes</t>
        </is>
      </c>
      <c r="D297" t="inlineStr">
        <is>
          <t>Female</t>
        </is>
      </c>
      <c r="E297" t="inlineStr">
        <is>
          <t>35-44</t>
        </is>
      </c>
      <c r="F297" t="inlineStr">
        <is>
          <t>Postgraduate Diploma</t>
        </is>
      </c>
      <c r="G297" t="inlineStr">
        <is>
          <t>Merchant bank</t>
        </is>
      </c>
      <c r="H297" t="inlineStr">
        <is>
          <t>IT/Technology</t>
        </is>
      </c>
      <c r="I297" t="inlineStr">
        <is>
          <t>2-5</t>
        </is>
      </c>
      <c r="J297" t="inlineStr">
        <is>
          <t>Yes</t>
        </is>
      </c>
      <c r="K297" t="n">
        <v>1</v>
      </c>
      <c r="L297" t="inlineStr">
        <is>
          <t>No</t>
        </is>
      </c>
      <c r="M297" t="inlineStr">
        <is>
          <t>Yes</t>
        </is>
      </c>
      <c r="N297" t="n">
        <v>2</v>
      </c>
      <c r="O297" t="n">
        <v>2</v>
      </c>
      <c r="P297" t="n">
        <v>3</v>
      </c>
      <c r="Q297" t="n">
        <v>3</v>
      </c>
      <c r="R297" t="n">
        <v>2</v>
      </c>
      <c r="S297" t="n">
        <v>3</v>
      </c>
      <c r="T297" t="n">
        <v>3</v>
      </c>
      <c r="U297" t="n">
        <v>3</v>
      </c>
      <c r="V297" t="n">
        <v>3</v>
      </c>
      <c r="W297" t="n">
        <v>3</v>
      </c>
      <c r="X297" t="n">
        <v>3</v>
      </c>
      <c r="Y297" t="n">
        <v>4</v>
      </c>
      <c r="Z297" t="n">
        <v>3</v>
      </c>
      <c r="AA297" t="n">
        <v>3</v>
      </c>
      <c r="AB297" t="n">
        <v>3</v>
      </c>
      <c r="AC297" t="n">
        <v>3</v>
      </c>
      <c r="AD297" t="n">
        <v>3</v>
      </c>
      <c r="AE297" t="n">
        <v>3</v>
      </c>
      <c r="AF297" t="n">
        <v>3</v>
      </c>
      <c r="AG297" t="n">
        <v>2</v>
      </c>
      <c r="AH297" t="n">
        <v>1</v>
      </c>
      <c r="AI297" t="n">
        <v>4</v>
      </c>
      <c r="AJ297" t="n">
        <v>2</v>
      </c>
      <c r="AK297" t="n">
        <v>4</v>
      </c>
      <c r="AL297" t="n">
        <v>4</v>
      </c>
      <c r="AM297" t="n">
        <v>4</v>
      </c>
      <c r="AN297" t="n">
        <v>4</v>
      </c>
      <c r="AO297" t="n">
        <v>2</v>
      </c>
      <c r="AP297" t="n">
        <v>3</v>
      </c>
      <c r="AQ297" t="n">
        <v>2</v>
      </c>
      <c r="AR297" t="n">
        <v>2</v>
      </c>
      <c r="AS297" t="n">
        <v>2</v>
      </c>
      <c r="AT297" t="n">
        <v>3</v>
      </c>
      <c r="AU297" t="n">
        <v>2</v>
      </c>
      <c r="AV297" t="n">
        <v>2</v>
      </c>
      <c r="AW297" t="n">
        <v>3</v>
      </c>
      <c r="AX297" t="n">
        <v>3</v>
      </c>
      <c r="AY297" t="n">
        <v>2</v>
      </c>
      <c r="AZ297" t="n">
        <v>1</v>
      </c>
      <c r="BA297" t="n">
        <v>4</v>
      </c>
      <c r="BB297" t="n">
        <v>2</v>
      </c>
      <c r="BC297" t="n">
        <v>3</v>
      </c>
      <c r="BD297" t="n">
        <v>1</v>
      </c>
      <c r="BE297" t="n">
        <v>4</v>
      </c>
      <c r="BF297" t="n">
        <v>3</v>
      </c>
      <c r="BG297" t="n">
        <v>2</v>
      </c>
      <c r="BH297" t="n">
        <v>3</v>
      </c>
      <c r="BI297" t="n">
        <v>3</v>
      </c>
      <c r="BJ297" t="n">
        <v>3</v>
      </c>
      <c r="BK297" t="n">
        <v>5</v>
      </c>
      <c r="BL297" t="n">
        <v>4</v>
      </c>
      <c r="BM297" t="n">
        <v>3</v>
      </c>
      <c r="BN297" t="n">
        <v>3</v>
      </c>
      <c r="BO297" t="n">
        <v>5</v>
      </c>
      <c r="BP297" t="n">
        <v>2</v>
      </c>
      <c r="BR297" t="n">
        <v>4</v>
      </c>
      <c r="BS297" s="56">
        <f>IF(COUNT(N297:W297)&gt;=8,AVERAGE(N297:W297),"")</f>
        <v/>
      </c>
      <c r="BT297" s="56">
        <f>IF(COUNT(X297:AE297)&gt;=7,AVERAGE(X297:AE297),"")</f>
        <v/>
      </c>
      <c r="BU297" s="56">
        <f>IF(COUNT(AF297:AM297)&gt;=7,AVERAGE(AF297:AM297),"")</f>
        <v/>
      </c>
      <c r="BV297" s="56">
        <f>IF(COUNT(AN297:AV297)&gt;=8,AVERAGE(AN297:AV297),"")</f>
        <v/>
      </c>
      <c r="BW297" s="56">
        <f>IF(COUNT(AW297:BD297)&gt;=7,AVERAGE(AW297:BD297),"")</f>
        <v/>
      </c>
      <c r="BX297" s="56">
        <f>IF(COUNT(BE297:BJ297)&gt;=5,AVERAGE(BE297:BJ297),"")</f>
        <v/>
      </c>
      <c r="BY297" s="56">
        <f>IF(COUNT(BK297:BR297)&gt;=7,AVERAGE(BK297:BR297),"")</f>
        <v/>
      </c>
    </row>
    <row r="298">
      <c r="A298" t="inlineStr">
        <is>
          <t>R267</t>
        </is>
      </c>
      <c r="B298" t="inlineStr">
        <is>
          <t>Yes</t>
        </is>
      </c>
      <c r="C298" t="inlineStr">
        <is>
          <t>Yes</t>
        </is>
      </c>
      <c r="D298" t="inlineStr">
        <is>
          <t>Female</t>
        </is>
      </c>
      <c r="E298" t="inlineStr">
        <is>
          <t>25-34</t>
        </is>
      </c>
      <c r="F298" t="inlineStr">
        <is>
          <t>Bachelor/HND</t>
        </is>
      </c>
      <c r="G298" t="inlineStr">
        <is>
          <t>Digital bank/neobank</t>
        </is>
      </c>
      <c r="H298" t="inlineStr">
        <is>
          <t>Customer Experience/Service</t>
        </is>
      </c>
      <c r="I298" t="inlineStr">
        <is>
          <t>6-10</t>
        </is>
      </c>
      <c r="J298" t="inlineStr">
        <is>
          <t>Yes</t>
        </is>
      </c>
      <c r="K298" t="n">
        <v>2</v>
      </c>
      <c r="L298" t="inlineStr">
        <is>
          <t>No</t>
        </is>
      </c>
      <c r="M298" t="inlineStr">
        <is>
          <t>Yes</t>
        </is>
      </c>
      <c r="N298" t="n">
        <v>4</v>
      </c>
      <c r="O298" t="n">
        <v>2</v>
      </c>
      <c r="P298" t="n">
        <v>3</v>
      </c>
      <c r="Q298" t="n">
        <v>2</v>
      </c>
      <c r="R298" t="n">
        <v>3</v>
      </c>
      <c r="S298" t="n">
        <v>3</v>
      </c>
      <c r="T298" t="n">
        <v>2</v>
      </c>
      <c r="U298" t="n">
        <v>3</v>
      </c>
      <c r="V298" t="n">
        <v>2</v>
      </c>
      <c r="W298" t="n">
        <v>3</v>
      </c>
      <c r="X298" t="n">
        <v>3</v>
      </c>
      <c r="Y298" t="n">
        <v>3</v>
      </c>
      <c r="Z298" t="n">
        <v>3</v>
      </c>
      <c r="AA298" t="n">
        <v>2</v>
      </c>
      <c r="AB298" t="n">
        <v>3</v>
      </c>
      <c r="AC298" t="n">
        <v>2</v>
      </c>
      <c r="AD298" t="n">
        <v>3</v>
      </c>
      <c r="AE298" t="n">
        <v>2</v>
      </c>
      <c r="AF298" t="n">
        <v>4</v>
      </c>
      <c r="AG298" t="n">
        <v>4</v>
      </c>
      <c r="AH298" t="n">
        <v>4</v>
      </c>
      <c r="AI298" t="n">
        <v>4</v>
      </c>
      <c r="AJ298" t="n">
        <v>3</v>
      </c>
      <c r="AK298" t="n">
        <v>4</v>
      </c>
      <c r="AL298" t="n">
        <v>4</v>
      </c>
      <c r="AM298" t="n">
        <v>3</v>
      </c>
      <c r="AN298" t="n">
        <v>3</v>
      </c>
      <c r="AO298" t="n">
        <v>2</v>
      </c>
      <c r="AP298" t="n">
        <v>2</v>
      </c>
      <c r="AQ298" t="n">
        <v>1</v>
      </c>
      <c r="AR298" t="n">
        <v>3</v>
      </c>
      <c r="AS298" t="n">
        <v>2</v>
      </c>
      <c r="AT298" t="n">
        <v>2</v>
      </c>
      <c r="AU298" t="n">
        <v>1</v>
      </c>
      <c r="AV298" t="n">
        <v>2</v>
      </c>
      <c r="AW298" t="n">
        <v>4</v>
      </c>
      <c r="AX298" t="n">
        <v>2</v>
      </c>
      <c r="AY298" t="n">
        <v>2</v>
      </c>
      <c r="AZ298" t="n">
        <v>3</v>
      </c>
      <c r="BA298" t="n">
        <v>3</v>
      </c>
      <c r="BB298" t="n">
        <v>3</v>
      </c>
      <c r="BC298" t="n">
        <v>4</v>
      </c>
      <c r="BD298" t="n">
        <v>3</v>
      </c>
      <c r="BE298" t="n">
        <v>3</v>
      </c>
      <c r="BF298" t="n">
        <v>2</v>
      </c>
      <c r="BG298" t="n">
        <v>2</v>
      </c>
      <c r="BH298" t="n">
        <v>3</v>
      </c>
      <c r="BI298" t="n">
        <v>3</v>
      </c>
      <c r="BJ298" t="n">
        <v>2</v>
      </c>
      <c r="BK298" t="n">
        <v>2</v>
      </c>
      <c r="BL298" t="n">
        <v>3</v>
      </c>
      <c r="BM298" t="n">
        <v>2</v>
      </c>
      <c r="BN298" t="n">
        <v>4</v>
      </c>
      <c r="BO298" t="n">
        <v>4</v>
      </c>
      <c r="BP298" t="n">
        <v>3</v>
      </c>
      <c r="BQ298" t="n">
        <v>3</v>
      </c>
      <c r="BR298" t="n">
        <v>2</v>
      </c>
      <c r="BS298" s="56">
        <f>IF(COUNT(N298:W298)&gt;=8,AVERAGE(N298:W298),"")</f>
        <v/>
      </c>
      <c r="BT298" s="56">
        <f>IF(COUNT(X298:AE298)&gt;=7,AVERAGE(X298:AE298),"")</f>
        <v/>
      </c>
      <c r="BU298" s="56">
        <f>IF(COUNT(AF298:AM298)&gt;=7,AVERAGE(AF298:AM298),"")</f>
        <v/>
      </c>
      <c r="BV298" s="56">
        <f>IF(COUNT(AN298:AV298)&gt;=8,AVERAGE(AN298:AV298),"")</f>
        <v/>
      </c>
      <c r="BW298" s="56">
        <f>IF(COUNT(AW298:BD298)&gt;=7,AVERAGE(AW298:BD298),"")</f>
        <v/>
      </c>
      <c r="BX298" s="56">
        <f>IF(COUNT(BE298:BJ298)&gt;=5,AVERAGE(BE298:BJ298),"")</f>
        <v/>
      </c>
      <c r="BY298" s="56">
        <f>IF(COUNT(BK298:BR298)&gt;=7,AVERAGE(BK298:BR298),"")</f>
        <v/>
      </c>
    </row>
    <row r="299">
      <c r="A299" t="inlineStr">
        <is>
          <t>R268</t>
        </is>
      </c>
      <c r="B299" t="inlineStr">
        <is>
          <t>Yes</t>
        </is>
      </c>
      <c r="C299" t="inlineStr">
        <is>
          <t>Yes</t>
        </is>
      </c>
      <c r="D299" t="inlineStr">
        <is>
          <t>Male</t>
        </is>
      </c>
      <c r="E299" t="inlineStr">
        <is>
          <t>55 or above</t>
        </is>
      </c>
      <c r="F299" t="inlineStr">
        <is>
          <t>Bachelor/HND</t>
        </is>
      </c>
      <c r="G299" t="inlineStr">
        <is>
          <t>Microfinance bank</t>
        </is>
      </c>
      <c r="H299" t="inlineStr">
        <is>
          <t>Digital Banking/Product</t>
        </is>
      </c>
      <c r="I299" t="inlineStr">
        <is>
          <t>Less than 2</t>
        </is>
      </c>
      <c r="J299" t="inlineStr">
        <is>
          <t>Yes</t>
        </is>
      </c>
      <c r="K299" t="n">
        <v>2</v>
      </c>
      <c r="L299" t="inlineStr">
        <is>
          <t>Yes</t>
        </is>
      </c>
      <c r="M299" t="inlineStr">
        <is>
          <t>Yes</t>
        </is>
      </c>
      <c r="N299" t="n">
        <v>3</v>
      </c>
      <c r="O299" t="n">
        <v>2</v>
      </c>
      <c r="P299" t="n">
        <v>2</v>
      </c>
      <c r="Q299" t="n">
        <v>2</v>
      </c>
      <c r="R299" t="n">
        <v>3</v>
      </c>
      <c r="S299" t="n">
        <v>4</v>
      </c>
      <c r="T299" t="n">
        <v>2</v>
      </c>
      <c r="U299" t="n">
        <v>2</v>
      </c>
      <c r="V299" t="n">
        <v>3</v>
      </c>
      <c r="W299" t="n">
        <v>4</v>
      </c>
      <c r="X299" t="n">
        <v>4</v>
      </c>
      <c r="Y299" t="n">
        <v>3</v>
      </c>
      <c r="Z299" t="n">
        <v>4</v>
      </c>
      <c r="AA299" t="n">
        <v>2</v>
      </c>
      <c r="AB299" t="n">
        <v>2</v>
      </c>
      <c r="AC299" t="n">
        <v>3</v>
      </c>
      <c r="AD299" t="n">
        <v>4</v>
      </c>
      <c r="AE299" t="n">
        <v>3</v>
      </c>
      <c r="AF299" t="n">
        <v>4</v>
      </c>
      <c r="AG299" t="n">
        <v>4</v>
      </c>
      <c r="AH299" t="n">
        <v>2</v>
      </c>
      <c r="AI299" t="n">
        <v>4</v>
      </c>
      <c r="AJ299" t="n">
        <v>4</v>
      </c>
      <c r="AK299" t="n">
        <v>4</v>
      </c>
      <c r="AL299" t="n">
        <v>3</v>
      </c>
      <c r="AM299" t="n">
        <v>3</v>
      </c>
      <c r="AN299" t="n">
        <v>4</v>
      </c>
      <c r="AO299" t="n">
        <v>3</v>
      </c>
      <c r="AP299" t="n">
        <v>4</v>
      </c>
      <c r="AQ299" t="n">
        <v>4</v>
      </c>
      <c r="AS299" t="n">
        <v>5</v>
      </c>
      <c r="AT299" t="n">
        <v>4</v>
      </c>
      <c r="AU299" t="n">
        <v>3</v>
      </c>
      <c r="AV299" t="n">
        <v>5</v>
      </c>
      <c r="AW299" t="n">
        <v>4</v>
      </c>
      <c r="AX299" t="n">
        <v>2</v>
      </c>
      <c r="AY299" t="n">
        <v>3</v>
      </c>
      <c r="BA299" t="n">
        <v>4</v>
      </c>
      <c r="BB299" t="n">
        <v>3</v>
      </c>
      <c r="BC299" t="n">
        <v>3</v>
      </c>
      <c r="BD299" t="n">
        <v>3</v>
      </c>
      <c r="BE299" t="n">
        <v>4</v>
      </c>
      <c r="BF299" t="n">
        <v>3</v>
      </c>
      <c r="BG299" t="n">
        <v>2</v>
      </c>
      <c r="BH299" t="n">
        <v>4</v>
      </c>
      <c r="BI299" t="n">
        <v>3</v>
      </c>
      <c r="BJ299" t="n">
        <v>3</v>
      </c>
      <c r="BK299" t="n">
        <v>4</v>
      </c>
      <c r="BL299" t="n">
        <v>3</v>
      </c>
      <c r="BM299" t="n">
        <v>3</v>
      </c>
      <c r="BN299" t="n">
        <v>3</v>
      </c>
      <c r="BO299" t="n">
        <v>4</v>
      </c>
      <c r="BP299" t="n">
        <v>3</v>
      </c>
      <c r="BQ299" t="n">
        <v>4</v>
      </c>
      <c r="BR299" t="n">
        <v>3</v>
      </c>
      <c r="BS299" s="56">
        <f>IF(COUNT(N299:W299)&gt;=8,AVERAGE(N299:W299),"")</f>
        <v/>
      </c>
      <c r="BT299" s="56">
        <f>IF(COUNT(X299:AE299)&gt;=7,AVERAGE(X299:AE299),"")</f>
        <v/>
      </c>
      <c r="BU299" s="56">
        <f>IF(COUNT(AF299:AM299)&gt;=7,AVERAGE(AF299:AM299),"")</f>
        <v/>
      </c>
      <c r="BV299" s="56">
        <f>IF(COUNT(AN299:AV299)&gt;=8,AVERAGE(AN299:AV299),"")</f>
        <v/>
      </c>
      <c r="BW299" s="56">
        <f>IF(COUNT(AW299:BD299)&gt;=7,AVERAGE(AW299:BD299),"")</f>
        <v/>
      </c>
      <c r="BX299" s="56">
        <f>IF(COUNT(BE299:BJ299)&gt;=5,AVERAGE(BE299:BJ299),"")</f>
        <v/>
      </c>
      <c r="BY299" s="56">
        <f>IF(COUNT(BK299:BR299)&gt;=7,AVERAGE(BK299:BR299),"")</f>
        <v/>
      </c>
    </row>
    <row r="300">
      <c r="A300" t="inlineStr">
        <is>
          <t>R269</t>
        </is>
      </c>
      <c r="B300" t="inlineStr">
        <is>
          <t>Yes</t>
        </is>
      </c>
      <c r="C300" t="inlineStr">
        <is>
          <t>Yes</t>
        </is>
      </c>
      <c r="D300" t="inlineStr">
        <is>
          <t>Female</t>
        </is>
      </c>
      <c r="E300" t="inlineStr">
        <is>
          <t>35-44</t>
        </is>
      </c>
      <c r="F300" t="inlineStr">
        <is>
          <t>Master's</t>
        </is>
      </c>
      <c r="G300" t="inlineStr">
        <is>
          <t>Insurance/investment/other licensed financial institution</t>
        </is>
      </c>
      <c r="H300" t="inlineStr">
        <is>
          <t>IT/Technology</t>
        </is>
      </c>
      <c r="I300" t="inlineStr">
        <is>
          <t>2-5</t>
        </is>
      </c>
      <c r="J300" t="inlineStr">
        <is>
          <t>Yes</t>
        </is>
      </c>
      <c r="K300" t="n">
        <v>3</v>
      </c>
      <c r="L300" t="inlineStr">
        <is>
          <t>No</t>
        </is>
      </c>
      <c r="M300" t="inlineStr">
        <is>
          <t>Yes</t>
        </is>
      </c>
      <c r="N300" t="n">
        <v>3</v>
      </c>
      <c r="O300" t="n">
        <v>2</v>
      </c>
      <c r="P300" t="n">
        <v>3</v>
      </c>
      <c r="Q300" t="n">
        <v>2</v>
      </c>
      <c r="R300" t="n">
        <v>3</v>
      </c>
      <c r="S300" t="n">
        <v>2</v>
      </c>
      <c r="T300" t="n">
        <v>2</v>
      </c>
      <c r="U300" t="n">
        <v>2</v>
      </c>
      <c r="V300" t="n">
        <v>3</v>
      </c>
      <c r="W300" t="n">
        <v>2</v>
      </c>
      <c r="X300" t="n">
        <v>3</v>
      </c>
      <c r="Y300" t="n">
        <v>2</v>
      </c>
      <c r="Z300" t="n">
        <v>2</v>
      </c>
      <c r="AA300" t="n">
        <v>2</v>
      </c>
      <c r="AB300" t="n">
        <v>2</v>
      </c>
      <c r="AC300" t="n">
        <v>2</v>
      </c>
      <c r="AD300" t="n">
        <v>1</v>
      </c>
      <c r="AE300" t="n">
        <v>1</v>
      </c>
      <c r="AF300" t="n">
        <v>3</v>
      </c>
      <c r="AG300" t="n">
        <v>1</v>
      </c>
      <c r="AH300" t="n">
        <v>1</v>
      </c>
      <c r="AI300" t="n">
        <v>2</v>
      </c>
      <c r="AJ300" t="n">
        <v>2</v>
      </c>
      <c r="AK300" t="n">
        <v>3</v>
      </c>
      <c r="AL300" t="n">
        <v>1</v>
      </c>
      <c r="AM300" t="n">
        <v>2</v>
      </c>
      <c r="AN300" t="n">
        <v>4</v>
      </c>
      <c r="AO300" t="n">
        <v>4</v>
      </c>
      <c r="AP300" t="n">
        <v>4</v>
      </c>
      <c r="AQ300" t="n">
        <v>3</v>
      </c>
      <c r="AR300" t="n">
        <v>5</v>
      </c>
      <c r="AS300" t="n">
        <v>3</v>
      </c>
      <c r="AT300" t="n">
        <v>4</v>
      </c>
      <c r="AU300" t="n">
        <v>2</v>
      </c>
      <c r="AV300" t="n">
        <v>3</v>
      </c>
      <c r="AX300" t="n">
        <v>1</v>
      </c>
      <c r="AZ300" t="n">
        <v>2</v>
      </c>
      <c r="BA300" t="n">
        <v>3</v>
      </c>
      <c r="BB300" t="n">
        <v>2</v>
      </c>
      <c r="BC300" t="n">
        <v>3</v>
      </c>
      <c r="BD300" t="n">
        <v>2</v>
      </c>
      <c r="BE300" t="n">
        <v>2</v>
      </c>
      <c r="BF300" t="n">
        <v>2</v>
      </c>
      <c r="BG300" t="n">
        <v>1</v>
      </c>
      <c r="BH300" t="n">
        <v>2</v>
      </c>
      <c r="BI300" t="n">
        <v>1</v>
      </c>
      <c r="BJ300" t="n">
        <v>3</v>
      </c>
      <c r="BK300" t="n">
        <v>3</v>
      </c>
      <c r="BL300" t="n">
        <v>3</v>
      </c>
      <c r="BM300" t="n">
        <v>5</v>
      </c>
      <c r="BN300" t="n">
        <v>3</v>
      </c>
      <c r="BO300" t="n">
        <v>4</v>
      </c>
      <c r="BP300" t="n">
        <v>4</v>
      </c>
      <c r="BQ300" t="n">
        <v>5</v>
      </c>
      <c r="BR300" t="n">
        <v>4</v>
      </c>
      <c r="BS300" s="56">
        <f>IF(COUNT(N300:W300)&gt;=8,AVERAGE(N300:W300),"")</f>
        <v/>
      </c>
      <c r="BT300" s="56">
        <f>IF(COUNT(X300:AE300)&gt;=7,AVERAGE(X300:AE300),"")</f>
        <v/>
      </c>
      <c r="BU300" s="56">
        <f>IF(COUNT(AF300:AM300)&gt;=7,AVERAGE(AF300:AM300),"")</f>
        <v/>
      </c>
      <c r="BV300" s="56">
        <f>IF(COUNT(AN300:AV300)&gt;=8,AVERAGE(AN300:AV300),"")</f>
        <v/>
      </c>
      <c r="BW300" s="56">
        <f>IF(COUNT(AW300:BD300)&gt;=7,AVERAGE(AW300:BD300),"")</f>
        <v/>
      </c>
      <c r="BX300" s="56">
        <f>IF(COUNT(BE300:BJ300)&gt;=5,AVERAGE(BE300:BJ300),"")</f>
        <v/>
      </c>
      <c r="BY300" s="56">
        <f>IF(COUNT(BK300:BR300)&gt;=7,AVERAGE(BK300:BR300),"")</f>
        <v/>
      </c>
    </row>
    <row r="301">
      <c r="A301" t="inlineStr">
        <is>
          <t>R270</t>
        </is>
      </c>
      <c r="B301" t="inlineStr">
        <is>
          <t>Yes</t>
        </is>
      </c>
      <c r="C301" t="inlineStr">
        <is>
          <t>Yes</t>
        </is>
      </c>
      <c r="D301" t="inlineStr">
        <is>
          <t>Male</t>
        </is>
      </c>
      <c r="E301" t="inlineStr">
        <is>
          <t>35-44</t>
        </is>
      </c>
      <c r="F301" t="inlineStr">
        <is>
          <t>Bachelor/HND</t>
        </is>
      </c>
      <c r="G301" t="inlineStr">
        <is>
          <t>Commercial bank</t>
        </is>
      </c>
      <c r="H301" t="inlineStr">
        <is>
          <t>Digital Banking/Product</t>
        </is>
      </c>
      <c r="I301" t="inlineStr">
        <is>
          <t>Less than 2</t>
        </is>
      </c>
      <c r="J301" t="inlineStr">
        <is>
          <t>Yes</t>
        </is>
      </c>
      <c r="K301" t="n">
        <v>3</v>
      </c>
      <c r="L301" t="inlineStr">
        <is>
          <t>Yes</t>
        </is>
      </c>
      <c r="M301" t="inlineStr">
        <is>
          <t>Yes</t>
        </is>
      </c>
      <c r="N301" t="n">
        <v>3</v>
      </c>
      <c r="O301" t="n">
        <v>2</v>
      </c>
      <c r="P301" t="n">
        <v>4</v>
      </c>
      <c r="R301" t="n">
        <v>2</v>
      </c>
      <c r="S301" t="n">
        <v>2</v>
      </c>
      <c r="T301" t="n">
        <v>2</v>
      </c>
      <c r="U301" t="n">
        <v>3</v>
      </c>
      <c r="V301" t="n">
        <v>3</v>
      </c>
      <c r="W301" t="n">
        <v>3</v>
      </c>
      <c r="X301" t="n">
        <v>3</v>
      </c>
      <c r="Y301" t="n">
        <v>3</v>
      </c>
      <c r="Z301" t="n">
        <v>4</v>
      </c>
      <c r="AA301" t="n">
        <v>2</v>
      </c>
      <c r="AB301" t="n">
        <v>2</v>
      </c>
      <c r="AC301" t="n">
        <v>4</v>
      </c>
      <c r="AD301" t="n">
        <v>3</v>
      </c>
      <c r="AE301" t="n">
        <v>4</v>
      </c>
      <c r="AF301" t="n">
        <v>3</v>
      </c>
      <c r="AG301" t="n">
        <v>3</v>
      </c>
      <c r="AH301" t="n">
        <v>2</v>
      </c>
      <c r="AK301" t="n">
        <v>3</v>
      </c>
      <c r="AL301" t="n">
        <v>3</v>
      </c>
      <c r="AM301" t="n">
        <v>3</v>
      </c>
      <c r="AN301" t="n">
        <v>2</v>
      </c>
      <c r="AO301" t="n">
        <v>3</v>
      </c>
      <c r="AP301" t="n">
        <v>4</v>
      </c>
      <c r="AQ301" t="n">
        <v>3</v>
      </c>
      <c r="AR301" t="n">
        <v>4</v>
      </c>
      <c r="AS301" t="n">
        <v>3</v>
      </c>
      <c r="AT301" t="n">
        <v>2</v>
      </c>
      <c r="AU301" t="n">
        <v>3</v>
      </c>
      <c r="AV301" t="n">
        <v>3</v>
      </c>
      <c r="AW301" t="n">
        <v>4</v>
      </c>
      <c r="AX301" t="n">
        <v>2</v>
      </c>
      <c r="AY301" t="n">
        <v>3</v>
      </c>
      <c r="AZ301" t="n">
        <v>4</v>
      </c>
      <c r="BA301" t="n">
        <v>3</v>
      </c>
      <c r="BB301" t="n">
        <v>2</v>
      </c>
      <c r="BC301" t="n">
        <v>3</v>
      </c>
      <c r="BD301" t="n">
        <v>4</v>
      </c>
      <c r="BE301" t="n">
        <v>4</v>
      </c>
      <c r="BF301" t="n">
        <v>4</v>
      </c>
      <c r="BG301" t="n">
        <v>5</v>
      </c>
      <c r="BH301" t="n">
        <v>5</v>
      </c>
      <c r="BI301" t="n">
        <v>4</v>
      </c>
      <c r="BJ301" t="n">
        <v>5</v>
      </c>
      <c r="BK301" t="n">
        <v>1</v>
      </c>
      <c r="BL301" t="n">
        <v>1</v>
      </c>
      <c r="BM301" t="n">
        <v>1</v>
      </c>
      <c r="BO301" t="n">
        <v>2</v>
      </c>
      <c r="BP301" t="n">
        <v>1</v>
      </c>
      <c r="BQ301" t="n">
        <v>3</v>
      </c>
      <c r="BR301" t="n">
        <v>1</v>
      </c>
      <c r="BS301" s="56">
        <f>IF(COUNT(N301:W301)&gt;=8,AVERAGE(N301:W301),"")</f>
        <v/>
      </c>
      <c r="BT301" s="56">
        <f>IF(COUNT(X301:AE301)&gt;=7,AVERAGE(X301:AE301),"")</f>
        <v/>
      </c>
      <c r="BU301" s="56">
        <f>IF(COUNT(AF301:AM301)&gt;=7,AVERAGE(AF301:AM301),"")</f>
        <v/>
      </c>
      <c r="BV301" s="56">
        <f>IF(COUNT(AN301:AV301)&gt;=8,AVERAGE(AN301:AV301),"")</f>
        <v/>
      </c>
      <c r="BW301" s="56">
        <f>IF(COUNT(AW301:BD301)&gt;=7,AVERAGE(AW301:BD301),"")</f>
        <v/>
      </c>
      <c r="BX301" s="56">
        <f>IF(COUNT(BE301:BJ301)&gt;=5,AVERAGE(BE301:BJ301),"")</f>
        <v/>
      </c>
      <c r="BY301" s="56">
        <f>IF(COUNT(BK301:BR301)&gt;=7,AVERAGE(BK301:BR301),"")</f>
        <v/>
      </c>
    </row>
    <row r="302">
      <c r="A302" t="inlineStr">
        <is>
          <t>R271</t>
        </is>
      </c>
      <c r="B302" t="inlineStr">
        <is>
          <t>Yes</t>
        </is>
      </c>
      <c r="C302" t="inlineStr">
        <is>
          <t>Yes</t>
        </is>
      </c>
      <c r="D302" t="inlineStr">
        <is>
          <t>Male</t>
        </is>
      </c>
      <c r="E302" t="inlineStr">
        <is>
          <t>18-24</t>
        </is>
      </c>
      <c r="F302" t="inlineStr">
        <is>
          <t>Bachelor/HND</t>
        </is>
      </c>
      <c r="G302" t="inlineStr">
        <is>
          <t>Commercial bank</t>
        </is>
      </c>
      <c r="H302" t="inlineStr">
        <is>
          <t>IT/Technology</t>
        </is>
      </c>
      <c r="I302" t="inlineStr">
        <is>
          <t>2-5</t>
        </is>
      </c>
      <c r="J302" t="inlineStr">
        <is>
          <t>Yes</t>
        </is>
      </c>
      <c r="K302" t="n">
        <v>3</v>
      </c>
      <c r="L302" t="inlineStr">
        <is>
          <t>Yes</t>
        </is>
      </c>
      <c r="M302" t="inlineStr">
        <is>
          <t>Yes</t>
        </is>
      </c>
      <c r="N302" t="n">
        <v>4</v>
      </c>
      <c r="O302" t="n">
        <v>3</v>
      </c>
      <c r="P302" t="n">
        <v>3</v>
      </c>
      <c r="Q302" t="n">
        <v>3</v>
      </c>
      <c r="R302" t="n">
        <v>3</v>
      </c>
      <c r="S302" t="n">
        <v>3</v>
      </c>
      <c r="T302" t="n">
        <v>4</v>
      </c>
      <c r="U302" t="n">
        <v>4</v>
      </c>
      <c r="V302" t="n">
        <v>5</v>
      </c>
      <c r="W302" t="n">
        <v>3</v>
      </c>
      <c r="X302" t="n">
        <v>3</v>
      </c>
      <c r="Y302" t="n">
        <v>4</v>
      </c>
      <c r="Z302" t="n">
        <v>5</v>
      </c>
      <c r="AA302" t="n">
        <v>4</v>
      </c>
      <c r="AB302" t="n">
        <v>3</v>
      </c>
      <c r="AC302" t="n">
        <v>3</v>
      </c>
      <c r="AD302" t="n">
        <v>4</v>
      </c>
      <c r="AE302" t="n">
        <v>3</v>
      </c>
      <c r="AF302" t="n">
        <v>5</v>
      </c>
      <c r="AG302" t="n">
        <v>5</v>
      </c>
      <c r="AH302" t="n">
        <v>4</v>
      </c>
      <c r="AI302" t="n">
        <v>4</v>
      </c>
      <c r="AJ302" t="n">
        <v>4</v>
      </c>
      <c r="AK302" t="n">
        <v>3</v>
      </c>
      <c r="AM302" t="n">
        <v>2</v>
      </c>
      <c r="AN302" t="n">
        <v>4</v>
      </c>
      <c r="AO302" t="n">
        <v>2</v>
      </c>
      <c r="AP302" t="n">
        <v>2</v>
      </c>
      <c r="AQ302" t="n">
        <v>4</v>
      </c>
      <c r="AR302" t="n">
        <v>3</v>
      </c>
      <c r="AS302" t="n">
        <v>4</v>
      </c>
      <c r="AT302" t="n">
        <v>4</v>
      </c>
      <c r="AU302" t="n">
        <v>4</v>
      </c>
      <c r="AV302" t="n">
        <v>3</v>
      </c>
      <c r="AW302" t="n">
        <v>4</v>
      </c>
      <c r="AX302" t="n">
        <v>4</v>
      </c>
      <c r="AY302" t="n">
        <v>3</v>
      </c>
      <c r="AZ302" t="n">
        <v>3</v>
      </c>
      <c r="BA302" t="n">
        <v>4</v>
      </c>
      <c r="BB302" t="n">
        <v>4</v>
      </c>
      <c r="BC302" t="n">
        <v>3</v>
      </c>
      <c r="BD302" t="n">
        <v>4</v>
      </c>
      <c r="BE302" t="n">
        <v>3</v>
      </c>
      <c r="BF302" t="n">
        <v>4</v>
      </c>
      <c r="BG302" t="n">
        <v>2</v>
      </c>
      <c r="BH302" t="n">
        <v>3</v>
      </c>
      <c r="BI302" t="n">
        <v>2</v>
      </c>
      <c r="BJ302" t="n">
        <v>3</v>
      </c>
      <c r="BK302" t="n">
        <v>3</v>
      </c>
      <c r="BL302" t="n">
        <v>3</v>
      </c>
      <c r="BM302" t="n">
        <v>3</v>
      </c>
      <c r="BN302" t="n">
        <v>4</v>
      </c>
      <c r="BO302" t="n">
        <v>2</v>
      </c>
      <c r="BP302" t="n">
        <v>2</v>
      </c>
      <c r="BQ302" t="n">
        <v>3</v>
      </c>
      <c r="BR302" t="n">
        <v>3</v>
      </c>
      <c r="BS302" s="56">
        <f>IF(COUNT(N302:W302)&gt;=8,AVERAGE(N302:W302),"")</f>
        <v/>
      </c>
      <c r="BT302" s="56">
        <f>IF(COUNT(X302:AE302)&gt;=7,AVERAGE(X302:AE302),"")</f>
        <v/>
      </c>
      <c r="BU302" s="56">
        <f>IF(COUNT(AF302:AM302)&gt;=7,AVERAGE(AF302:AM302),"")</f>
        <v/>
      </c>
      <c r="BV302" s="56">
        <f>IF(COUNT(AN302:AV302)&gt;=8,AVERAGE(AN302:AV302),"")</f>
        <v/>
      </c>
      <c r="BW302" s="56">
        <f>IF(COUNT(AW302:BD302)&gt;=7,AVERAGE(AW302:BD302),"")</f>
        <v/>
      </c>
      <c r="BX302" s="56">
        <f>IF(COUNT(BE302:BJ302)&gt;=5,AVERAGE(BE302:BJ302),"")</f>
        <v/>
      </c>
      <c r="BY302" s="56">
        <f>IF(COUNT(BK302:BR302)&gt;=7,AVERAGE(BK302:BR302),"")</f>
        <v/>
      </c>
    </row>
    <row r="303">
      <c r="A303" t="inlineStr">
        <is>
          <t>R272</t>
        </is>
      </c>
      <c r="B303" t="inlineStr">
        <is>
          <t>Yes</t>
        </is>
      </c>
      <c r="C303" t="inlineStr">
        <is>
          <t>Yes</t>
        </is>
      </c>
      <c r="D303" t="inlineStr">
        <is>
          <t>Male</t>
        </is>
      </c>
      <c r="E303" t="inlineStr">
        <is>
          <t>25-34</t>
        </is>
      </c>
      <c r="F303" t="inlineStr">
        <is>
          <t>Master's</t>
        </is>
      </c>
      <c r="G303" t="inlineStr">
        <is>
          <t>Digital bank/neobank</t>
        </is>
      </c>
      <c r="H303" t="inlineStr">
        <is>
          <t>Digital Banking/Product</t>
        </is>
      </c>
      <c r="I303" t="inlineStr">
        <is>
          <t>6-10</t>
        </is>
      </c>
      <c r="J303" t="inlineStr">
        <is>
          <t>Yes</t>
        </is>
      </c>
      <c r="K303" t="n">
        <v>2</v>
      </c>
      <c r="L303" t="inlineStr">
        <is>
          <t>No</t>
        </is>
      </c>
      <c r="M303" t="inlineStr">
        <is>
          <t>Yes</t>
        </is>
      </c>
      <c r="N303" t="n">
        <v>2</v>
      </c>
      <c r="O303" t="n">
        <v>3</v>
      </c>
      <c r="P303" t="n">
        <v>4</v>
      </c>
      <c r="Q303" t="n">
        <v>2</v>
      </c>
      <c r="R303" t="n">
        <v>4</v>
      </c>
      <c r="S303" t="n">
        <v>3</v>
      </c>
      <c r="T303" t="n">
        <v>3</v>
      </c>
      <c r="U303" t="n">
        <v>3</v>
      </c>
      <c r="V303" t="n">
        <v>2</v>
      </c>
      <c r="W303" t="n">
        <v>3</v>
      </c>
      <c r="X303" t="n">
        <v>3</v>
      </c>
      <c r="Y303" t="n">
        <v>3</v>
      </c>
      <c r="Z303" t="n">
        <v>5</v>
      </c>
      <c r="AA303" t="n">
        <v>3</v>
      </c>
      <c r="AB303" t="n">
        <v>3</v>
      </c>
      <c r="AC303" t="n">
        <v>4</v>
      </c>
      <c r="AD303" t="n">
        <v>3</v>
      </c>
      <c r="AE303" t="n">
        <v>3</v>
      </c>
      <c r="AF303" t="n">
        <v>3</v>
      </c>
      <c r="AG303" t="n">
        <v>3</v>
      </c>
      <c r="AH303" t="n">
        <v>3</v>
      </c>
      <c r="AI303" t="n">
        <v>2</v>
      </c>
      <c r="AJ303" t="n">
        <v>3</v>
      </c>
      <c r="AK303" t="n">
        <v>4</v>
      </c>
      <c r="AL303" t="n">
        <v>4</v>
      </c>
      <c r="AM303" t="n">
        <v>2</v>
      </c>
      <c r="AN303" t="n">
        <v>4</v>
      </c>
      <c r="AO303" t="n">
        <v>4</v>
      </c>
      <c r="AP303" t="n">
        <v>5</v>
      </c>
      <c r="AQ303" t="n">
        <v>5</v>
      </c>
      <c r="AR303" t="n">
        <v>5</v>
      </c>
      <c r="AS303" t="n">
        <v>4</v>
      </c>
      <c r="AT303" t="n">
        <v>4</v>
      </c>
      <c r="AU303" t="n">
        <v>3</v>
      </c>
      <c r="AV303" t="n">
        <v>4</v>
      </c>
      <c r="AW303" t="n">
        <v>3</v>
      </c>
      <c r="AX303" t="n">
        <v>3</v>
      </c>
      <c r="AY303" t="n">
        <v>3</v>
      </c>
      <c r="AZ303" t="n">
        <v>4</v>
      </c>
      <c r="BA303" t="n">
        <v>4</v>
      </c>
      <c r="BB303" t="n">
        <v>4</v>
      </c>
      <c r="BC303" t="n">
        <v>3</v>
      </c>
      <c r="BD303" t="n">
        <v>4</v>
      </c>
      <c r="BE303" t="n">
        <v>3</v>
      </c>
      <c r="BF303" t="n">
        <v>5</v>
      </c>
      <c r="BG303" t="n">
        <v>3</v>
      </c>
      <c r="BH303" t="n">
        <v>4</v>
      </c>
      <c r="BI303" t="n">
        <v>4</v>
      </c>
      <c r="BJ303" t="n">
        <v>3</v>
      </c>
      <c r="BK303" t="n">
        <v>3</v>
      </c>
      <c r="BL303" t="n">
        <v>2</v>
      </c>
      <c r="BM303" t="n">
        <v>3</v>
      </c>
      <c r="BN303" t="n">
        <v>2</v>
      </c>
      <c r="BO303" t="n">
        <v>2</v>
      </c>
      <c r="BP303" t="n">
        <v>3</v>
      </c>
      <c r="BQ303" t="n">
        <v>3</v>
      </c>
      <c r="BR303" t="n">
        <v>2</v>
      </c>
      <c r="BS303" s="56">
        <f>IF(COUNT(N303:W303)&gt;=8,AVERAGE(N303:W303),"")</f>
        <v/>
      </c>
      <c r="BT303" s="56">
        <f>IF(COUNT(X303:AE303)&gt;=7,AVERAGE(X303:AE303),"")</f>
        <v/>
      </c>
      <c r="BU303" s="56">
        <f>IF(COUNT(AF303:AM303)&gt;=7,AVERAGE(AF303:AM303),"")</f>
        <v/>
      </c>
      <c r="BV303" s="56">
        <f>IF(COUNT(AN303:AV303)&gt;=8,AVERAGE(AN303:AV303),"")</f>
        <v/>
      </c>
      <c r="BW303" s="56">
        <f>IF(COUNT(AW303:BD303)&gt;=7,AVERAGE(AW303:BD303),"")</f>
        <v/>
      </c>
      <c r="BX303" s="56">
        <f>IF(COUNT(BE303:BJ303)&gt;=5,AVERAGE(BE303:BJ303),"")</f>
        <v/>
      </c>
      <c r="BY303" s="56">
        <f>IF(COUNT(BK303:BR303)&gt;=7,AVERAGE(BK303:BR303),"")</f>
        <v/>
      </c>
    </row>
    <row r="304">
      <c r="A304" t="inlineStr">
        <is>
          <t>R273</t>
        </is>
      </c>
      <c r="B304" t="inlineStr">
        <is>
          <t>Yes</t>
        </is>
      </c>
      <c r="C304" t="inlineStr">
        <is>
          <t>Yes</t>
        </is>
      </c>
      <c r="D304" t="inlineStr">
        <is>
          <t>Male</t>
        </is>
      </c>
      <c r="E304" t="inlineStr">
        <is>
          <t>25-34</t>
        </is>
      </c>
      <c r="F304" t="inlineStr">
        <is>
          <t>Postgraduate Diploma</t>
        </is>
      </c>
      <c r="G304" t="inlineStr">
        <is>
          <t>Microfinance bank</t>
        </is>
      </c>
      <c r="H304" t="inlineStr">
        <is>
          <t>Management/Strategy</t>
        </is>
      </c>
      <c r="I304" t="inlineStr">
        <is>
          <t>6-10</t>
        </is>
      </c>
      <c r="J304" t="inlineStr">
        <is>
          <t>Yes</t>
        </is>
      </c>
      <c r="K304" t="n">
        <v>4</v>
      </c>
      <c r="L304" t="inlineStr">
        <is>
          <t>Yes</t>
        </is>
      </c>
      <c r="M304" t="inlineStr">
        <is>
          <t>Yes</t>
        </is>
      </c>
      <c r="N304" t="n">
        <v>4</v>
      </c>
      <c r="O304" t="n">
        <v>2</v>
      </c>
      <c r="P304" t="n">
        <v>4</v>
      </c>
      <c r="Q304" t="n">
        <v>3</v>
      </c>
      <c r="R304" t="n">
        <v>3</v>
      </c>
      <c r="S304" t="n">
        <v>3</v>
      </c>
      <c r="T304" t="n">
        <v>2</v>
      </c>
      <c r="V304" t="n">
        <v>3</v>
      </c>
      <c r="W304" t="n">
        <v>4</v>
      </c>
      <c r="X304" t="n">
        <v>4</v>
      </c>
      <c r="Y304" t="n">
        <v>2</v>
      </c>
      <c r="Z304" t="n">
        <v>5</v>
      </c>
      <c r="AA304" t="n">
        <v>4</v>
      </c>
      <c r="AB304" t="n">
        <v>5</v>
      </c>
      <c r="AC304" t="n">
        <v>5</v>
      </c>
      <c r="AD304" t="n">
        <v>5</v>
      </c>
      <c r="AE304" t="n">
        <v>4</v>
      </c>
      <c r="AF304" t="n">
        <v>4</v>
      </c>
      <c r="AG304" t="n">
        <v>4</v>
      </c>
      <c r="AH304" t="n">
        <v>2</v>
      </c>
      <c r="AI304" t="n">
        <v>4</v>
      </c>
      <c r="AJ304" t="n">
        <v>4</v>
      </c>
      <c r="AK304" t="n">
        <v>3</v>
      </c>
      <c r="AL304" t="n">
        <v>4</v>
      </c>
      <c r="AM304" t="n">
        <v>4</v>
      </c>
      <c r="AN304" t="n">
        <v>3</v>
      </c>
      <c r="AO304" t="n">
        <v>3</v>
      </c>
      <c r="AP304" t="n">
        <v>3</v>
      </c>
      <c r="AQ304" t="n">
        <v>3</v>
      </c>
      <c r="AR304" t="n">
        <v>3</v>
      </c>
      <c r="AS304" t="n">
        <v>3</v>
      </c>
      <c r="AT304" t="n">
        <v>3</v>
      </c>
      <c r="AU304" t="n">
        <v>3</v>
      </c>
      <c r="AV304" t="n">
        <v>2</v>
      </c>
      <c r="AW304" t="n">
        <v>4</v>
      </c>
      <c r="AX304" t="n">
        <v>4</v>
      </c>
      <c r="AY304" t="n">
        <v>4</v>
      </c>
      <c r="AZ304" t="n">
        <v>3</v>
      </c>
      <c r="BA304" t="n">
        <v>4</v>
      </c>
      <c r="BB304" t="n">
        <v>4</v>
      </c>
      <c r="BC304" t="n">
        <v>5</v>
      </c>
      <c r="BD304" t="n">
        <v>3</v>
      </c>
      <c r="BF304" t="n">
        <v>5</v>
      </c>
      <c r="BG304" t="n">
        <v>3</v>
      </c>
      <c r="BH304" t="n">
        <v>5</v>
      </c>
      <c r="BI304" t="n">
        <v>5</v>
      </c>
      <c r="BJ304" t="n">
        <v>3</v>
      </c>
      <c r="BK304" t="n">
        <v>4</v>
      </c>
      <c r="BL304" t="n">
        <v>5</v>
      </c>
      <c r="BM304" t="n">
        <v>4</v>
      </c>
      <c r="BN304" t="n">
        <v>4</v>
      </c>
      <c r="BO304" t="n">
        <v>4</v>
      </c>
      <c r="BQ304" t="n">
        <v>3</v>
      </c>
      <c r="BR304" t="n">
        <v>2</v>
      </c>
      <c r="BS304" s="56">
        <f>IF(COUNT(N304:W304)&gt;=8,AVERAGE(N304:W304),"")</f>
        <v/>
      </c>
      <c r="BT304" s="56">
        <f>IF(COUNT(X304:AE304)&gt;=7,AVERAGE(X304:AE304),"")</f>
        <v/>
      </c>
      <c r="BU304" s="56">
        <f>IF(COUNT(AF304:AM304)&gt;=7,AVERAGE(AF304:AM304),"")</f>
        <v/>
      </c>
      <c r="BV304" s="56">
        <f>IF(COUNT(AN304:AV304)&gt;=8,AVERAGE(AN304:AV304),"")</f>
        <v/>
      </c>
      <c r="BW304" s="56">
        <f>IF(COUNT(AW304:BD304)&gt;=7,AVERAGE(AW304:BD304),"")</f>
        <v/>
      </c>
      <c r="BX304" s="56">
        <f>IF(COUNT(BE304:BJ304)&gt;=5,AVERAGE(BE304:BJ304),"")</f>
        <v/>
      </c>
      <c r="BY304" s="56">
        <f>IF(COUNT(BK304:BR304)&gt;=7,AVERAGE(BK304:BR304),"")</f>
        <v/>
      </c>
    </row>
    <row r="305">
      <c r="A305" t="inlineStr">
        <is>
          <t>R274</t>
        </is>
      </c>
      <c r="B305" t="inlineStr">
        <is>
          <t>Yes</t>
        </is>
      </c>
      <c r="C305" t="inlineStr">
        <is>
          <t>Yes</t>
        </is>
      </c>
      <c r="D305" t="inlineStr">
        <is>
          <t>Male</t>
        </is>
      </c>
      <c r="E305" t="inlineStr">
        <is>
          <t>45-54</t>
        </is>
      </c>
      <c r="F305" t="inlineStr">
        <is>
          <t>Bachelor/HND</t>
        </is>
      </c>
      <c r="G305" t="inlineStr">
        <is>
          <t>Merchant bank</t>
        </is>
      </c>
      <c r="H305" t="inlineStr">
        <is>
          <t>Digital Banking/Product</t>
        </is>
      </c>
      <c r="I305" t="inlineStr">
        <is>
          <t>2-5</t>
        </is>
      </c>
      <c r="J305" t="inlineStr">
        <is>
          <t>Yes</t>
        </is>
      </c>
      <c r="K305" t="n">
        <v>2</v>
      </c>
      <c r="L305" t="inlineStr">
        <is>
          <t>Yes</t>
        </is>
      </c>
      <c r="M305" t="inlineStr">
        <is>
          <t>Yes</t>
        </is>
      </c>
      <c r="N305" t="n">
        <v>3</v>
      </c>
      <c r="O305" t="n">
        <v>2</v>
      </c>
      <c r="P305" t="n">
        <v>2</v>
      </c>
      <c r="Q305" t="n">
        <v>3</v>
      </c>
      <c r="R305" t="n">
        <v>2</v>
      </c>
      <c r="S305" t="n">
        <v>3</v>
      </c>
      <c r="T305" t="n">
        <v>3</v>
      </c>
      <c r="U305" t="n">
        <v>3</v>
      </c>
      <c r="V305" t="n">
        <v>3</v>
      </c>
      <c r="W305" t="n">
        <v>2</v>
      </c>
      <c r="X305" t="n">
        <v>3</v>
      </c>
      <c r="Y305" t="n">
        <v>2</v>
      </c>
      <c r="Z305" t="n">
        <v>1</v>
      </c>
      <c r="AA305" t="n">
        <v>1</v>
      </c>
      <c r="AB305" t="n">
        <v>2</v>
      </c>
      <c r="AC305" t="n">
        <v>1</v>
      </c>
      <c r="AD305" t="n">
        <v>2</v>
      </c>
      <c r="AE305" t="n">
        <v>1</v>
      </c>
      <c r="AF305" t="n">
        <v>3</v>
      </c>
      <c r="AG305" t="n">
        <v>3</v>
      </c>
      <c r="AH305" t="n">
        <v>1</v>
      </c>
      <c r="AI305" t="n">
        <v>3</v>
      </c>
      <c r="AJ305" t="n">
        <v>4</v>
      </c>
      <c r="AK305" t="n">
        <v>2</v>
      </c>
      <c r="AL305" t="n">
        <v>3</v>
      </c>
      <c r="AM305" t="n">
        <v>3</v>
      </c>
      <c r="AN305" t="n">
        <v>5</v>
      </c>
      <c r="AO305" t="n">
        <v>2</v>
      </c>
      <c r="AP305" t="n">
        <v>3</v>
      </c>
      <c r="AQ305" t="n">
        <v>3</v>
      </c>
      <c r="AR305" t="n">
        <v>4</v>
      </c>
      <c r="AS305" t="n">
        <v>3</v>
      </c>
      <c r="AT305" t="n">
        <v>3</v>
      </c>
      <c r="AU305" t="n">
        <v>5</v>
      </c>
      <c r="AV305" t="n">
        <v>4</v>
      </c>
      <c r="AW305" t="n">
        <v>4</v>
      </c>
      <c r="AX305" t="n">
        <v>3</v>
      </c>
      <c r="AY305" t="n">
        <v>2</v>
      </c>
      <c r="AZ305" t="n">
        <v>2</v>
      </c>
      <c r="BA305" t="n">
        <v>3</v>
      </c>
      <c r="BB305" t="n">
        <v>3</v>
      </c>
      <c r="BC305" t="n">
        <v>2</v>
      </c>
      <c r="BD305" t="n">
        <v>2</v>
      </c>
      <c r="BE305" t="n">
        <v>3</v>
      </c>
      <c r="BF305" t="n">
        <v>3</v>
      </c>
      <c r="BG305" t="n">
        <v>2</v>
      </c>
      <c r="BI305" t="n">
        <v>2</v>
      </c>
      <c r="BJ305" t="n">
        <v>2</v>
      </c>
      <c r="BK305" t="n">
        <v>2</v>
      </c>
      <c r="BL305" t="n">
        <v>2</v>
      </c>
      <c r="BM305" t="n">
        <v>3</v>
      </c>
      <c r="BN305" t="n">
        <v>3</v>
      </c>
      <c r="BO305" t="n">
        <v>4</v>
      </c>
      <c r="BP305" t="n">
        <v>3</v>
      </c>
      <c r="BQ305" t="n">
        <v>3</v>
      </c>
      <c r="BR305" t="n">
        <v>2</v>
      </c>
      <c r="BS305" s="56">
        <f>IF(COUNT(N305:W305)&gt;=8,AVERAGE(N305:W305),"")</f>
        <v/>
      </c>
      <c r="BT305" s="56">
        <f>IF(COUNT(X305:AE305)&gt;=7,AVERAGE(X305:AE305),"")</f>
        <v/>
      </c>
      <c r="BU305" s="56">
        <f>IF(COUNT(AF305:AM305)&gt;=7,AVERAGE(AF305:AM305),"")</f>
        <v/>
      </c>
      <c r="BV305" s="56">
        <f>IF(COUNT(AN305:AV305)&gt;=8,AVERAGE(AN305:AV305),"")</f>
        <v/>
      </c>
      <c r="BW305" s="56">
        <f>IF(COUNT(AW305:BD305)&gt;=7,AVERAGE(AW305:BD305),"")</f>
        <v/>
      </c>
      <c r="BX305" s="56">
        <f>IF(COUNT(BE305:BJ305)&gt;=5,AVERAGE(BE305:BJ305),"")</f>
        <v/>
      </c>
      <c r="BY305" s="56">
        <f>IF(COUNT(BK305:BR305)&gt;=7,AVERAGE(BK305:BR305),"")</f>
        <v/>
      </c>
    </row>
    <row r="306">
      <c r="A306" t="inlineStr">
        <is>
          <t>R275</t>
        </is>
      </c>
      <c r="B306" t="inlineStr">
        <is>
          <t>Yes</t>
        </is>
      </c>
      <c r="C306" t="inlineStr">
        <is>
          <t>Yes</t>
        </is>
      </c>
      <c r="D306" t="inlineStr">
        <is>
          <t>Male</t>
        </is>
      </c>
      <c r="E306" t="inlineStr">
        <is>
          <t>35-44</t>
        </is>
      </c>
      <c r="F306" t="inlineStr">
        <is>
          <t>Master's</t>
        </is>
      </c>
      <c r="G306" t="inlineStr">
        <is>
          <t>Insurance/investment/other licensed financial institution</t>
        </is>
      </c>
      <c r="H306" t="inlineStr">
        <is>
          <t>Data/Analytics/AI</t>
        </is>
      </c>
      <c r="I306" t="inlineStr">
        <is>
          <t>6-10</t>
        </is>
      </c>
      <c r="J306" t="inlineStr">
        <is>
          <t>Yes</t>
        </is>
      </c>
      <c r="K306" t="n">
        <v>3</v>
      </c>
      <c r="L306" t="inlineStr">
        <is>
          <t>Yes</t>
        </is>
      </c>
      <c r="M306" t="inlineStr">
        <is>
          <t>Yes</t>
        </is>
      </c>
      <c r="N306" t="n">
        <v>4</v>
      </c>
      <c r="O306" t="n">
        <v>3</v>
      </c>
      <c r="P306" t="n">
        <v>4</v>
      </c>
      <c r="Q306" t="n">
        <v>3</v>
      </c>
      <c r="R306" t="n">
        <v>4</v>
      </c>
      <c r="S306" t="n">
        <v>4</v>
      </c>
      <c r="T306" t="n">
        <v>3</v>
      </c>
      <c r="U306" t="n">
        <v>5</v>
      </c>
      <c r="V306" t="n">
        <v>4</v>
      </c>
      <c r="W306" t="n">
        <v>3</v>
      </c>
      <c r="X306" t="n">
        <v>4</v>
      </c>
      <c r="Y306" t="n">
        <v>4</v>
      </c>
      <c r="Z306" t="n">
        <v>4</v>
      </c>
      <c r="AA306" t="n">
        <v>4</v>
      </c>
      <c r="AB306" t="n">
        <v>5</v>
      </c>
      <c r="AC306" t="n">
        <v>3</v>
      </c>
      <c r="AD306" t="n">
        <v>5</v>
      </c>
      <c r="AE306" t="n">
        <v>4</v>
      </c>
      <c r="AF306" t="n">
        <v>4</v>
      </c>
      <c r="AG306" t="n">
        <v>3</v>
      </c>
      <c r="AH306" t="n">
        <v>3</v>
      </c>
      <c r="AI306" t="n">
        <v>4</v>
      </c>
      <c r="AJ306" t="n">
        <v>3</v>
      </c>
      <c r="AK306" t="n">
        <v>3</v>
      </c>
      <c r="AL306" t="n">
        <v>3</v>
      </c>
      <c r="AM306" t="n">
        <v>3</v>
      </c>
      <c r="AN306" t="n">
        <v>1</v>
      </c>
      <c r="AP306" t="n">
        <v>1</v>
      </c>
      <c r="AR306" t="n">
        <v>3</v>
      </c>
      <c r="AS306" t="n">
        <v>1</v>
      </c>
      <c r="AT306" t="n">
        <v>3</v>
      </c>
      <c r="AU306" t="n">
        <v>1</v>
      </c>
      <c r="AV306" t="n">
        <v>1</v>
      </c>
      <c r="AW306" t="n">
        <v>5</v>
      </c>
      <c r="AX306" t="n">
        <v>4</v>
      </c>
      <c r="AY306" t="n">
        <v>4</v>
      </c>
      <c r="AZ306" t="n">
        <v>4</v>
      </c>
      <c r="BA306" t="n">
        <v>5</v>
      </c>
      <c r="BB306" t="n">
        <v>5</v>
      </c>
      <c r="BC306" t="n">
        <v>4</v>
      </c>
      <c r="BD306" t="n">
        <v>3</v>
      </c>
      <c r="BE306" t="n">
        <v>4</v>
      </c>
      <c r="BF306" t="n">
        <v>4</v>
      </c>
      <c r="BH306" t="n">
        <v>4</v>
      </c>
      <c r="BI306" t="n">
        <v>2</v>
      </c>
      <c r="BJ306" t="n">
        <v>3</v>
      </c>
      <c r="BK306" t="n">
        <v>3</v>
      </c>
      <c r="BL306" t="n">
        <v>2</v>
      </c>
      <c r="BM306" t="n">
        <v>3</v>
      </c>
      <c r="BN306" t="n">
        <v>3</v>
      </c>
      <c r="BO306" t="n">
        <v>3</v>
      </c>
      <c r="BP306" t="n">
        <v>1</v>
      </c>
      <c r="BQ306" t="n">
        <v>4</v>
      </c>
      <c r="BR306" t="n">
        <v>1</v>
      </c>
      <c r="BS306" s="56">
        <f>IF(COUNT(N306:W306)&gt;=8,AVERAGE(N306:W306),"")</f>
        <v/>
      </c>
      <c r="BT306" s="56">
        <f>IF(COUNT(X306:AE306)&gt;=7,AVERAGE(X306:AE306),"")</f>
        <v/>
      </c>
      <c r="BU306" s="56">
        <f>IF(COUNT(AF306:AM306)&gt;=7,AVERAGE(AF306:AM306),"")</f>
        <v/>
      </c>
      <c r="BV306" s="56">
        <f>IF(COUNT(AN306:AV306)&gt;=8,AVERAGE(AN306:AV306),"")</f>
        <v/>
      </c>
      <c r="BW306" s="56">
        <f>IF(COUNT(AW306:BD306)&gt;=7,AVERAGE(AW306:BD306),"")</f>
        <v/>
      </c>
      <c r="BX306" s="56">
        <f>IF(COUNT(BE306:BJ306)&gt;=5,AVERAGE(BE306:BJ306),"")</f>
        <v/>
      </c>
      <c r="BY306" s="56">
        <f>IF(COUNT(BK306:BR306)&gt;=7,AVERAGE(BK306:BR306),"")</f>
        <v/>
      </c>
    </row>
    <row r="307">
      <c r="A307" t="inlineStr">
        <is>
          <t>R276</t>
        </is>
      </c>
      <c r="B307" t="inlineStr">
        <is>
          <t>Yes</t>
        </is>
      </c>
      <c r="C307" t="inlineStr">
        <is>
          <t>Yes</t>
        </is>
      </c>
      <c r="D307" t="inlineStr">
        <is>
          <t>Female</t>
        </is>
      </c>
      <c r="E307" t="inlineStr">
        <is>
          <t>45-54</t>
        </is>
      </c>
      <c r="F307" t="inlineStr">
        <is>
          <t>Diploma/OND/NCE</t>
        </is>
      </c>
      <c r="G307" t="inlineStr">
        <is>
          <t>Microfinance bank</t>
        </is>
      </c>
      <c r="H307" t="inlineStr">
        <is>
          <t>IT/Technology</t>
        </is>
      </c>
      <c r="I307" t="inlineStr">
        <is>
          <t>6-10</t>
        </is>
      </c>
      <c r="J307" t="inlineStr">
        <is>
          <t>Yes</t>
        </is>
      </c>
      <c r="K307" t="n">
        <v>4</v>
      </c>
      <c r="L307" t="inlineStr">
        <is>
          <t>Yes</t>
        </is>
      </c>
      <c r="M307" t="inlineStr">
        <is>
          <t>Yes</t>
        </is>
      </c>
      <c r="N307" t="n">
        <v>3</v>
      </c>
      <c r="O307" t="n">
        <v>2</v>
      </c>
      <c r="P307" t="n">
        <v>4</v>
      </c>
      <c r="Q307" t="n">
        <v>4</v>
      </c>
      <c r="R307" t="n">
        <v>2</v>
      </c>
      <c r="S307" t="n">
        <v>2</v>
      </c>
      <c r="T307" t="n">
        <v>2</v>
      </c>
      <c r="U307" t="n">
        <v>4</v>
      </c>
      <c r="V307" t="n">
        <v>4</v>
      </c>
      <c r="W307" t="n">
        <v>3</v>
      </c>
      <c r="X307" t="n">
        <v>3</v>
      </c>
      <c r="Y307" t="n">
        <v>2</v>
      </c>
      <c r="Z307" t="n">
        <v>4</v>
      </c>
      <c r="AA307" t="n">
        <v>4</v>
      </c>
      <c r="AB307" t="n">
        <v>3</v>
      </c>
      <c r="AC307" t="n">
        <v>3</v>
      </c>
      <c r="AD307" t="n">
        <v>4</v>
      </c>
      <c r="AE307" t="n">
        <v>4</v>
      </c>
      <c r="AF307" t="n">
        <v>2</v>
      </c>
      <c r="AG307" t="n">
        <v>3</v>
      </c>
      <c r="AH307" t="n">
        <v>3</v>
      </c>
      <c r="AI307" t="n">
        <v>4</v>
      </c>
      <c r="AJ307" t="n">
        <v>3</v>
      </c>
      <c r="AK307" t="n">
        <v>3</v>
      </c>
      <c r="AL307" t="n">
        <v>4</v>
      </c>
      <c r="AM307" t="n">
        <v>4</v>
      </c>
      <c r="AN307" t="n">
        <v>4</v>
      </c>
      <c r="AO307" t="n">
        <v>3</v>
      </c>
      <c r="AP307" t="n">
        <v>4</v>
      </c>
      <c r="AQ307" t="n">
        <v>4</v>
      </c>
      <c r="AR307" t="n">
        <v>4</v>
      </c>
      <c r="AS307" t="n">
        <v>3</v>
      </c>
      <c r="AT307" t="n">
        <v>4</v>
      </c>
      <c r="AU307" t="n">
        <v>4</v>
      </c>
      <c r="AV307" t="n">
        <v>3</v>
      </c>
      <c r="AW307" t="n">
        <v>3</v>
      </c>
      <c r="AX307" t="n">
        <v>2</v>
      </c>
      <c r="AY307" t="n">
        <v>3</v>
      </c>
      <c r="AZ307" t="n">
        <v>3</v>
      </c>
      <c r="BB307" t="n">
        <v>4</v>
      </c>
      <c r="BC307" t="n">
        <v>4</v>
      </c>
      <c r="BD307" t="n">
        <v>3</v>
      </c>
      <c r="BE307" t="n">
        <v>5</v>
      </c>
      <c r="BF307" t="n">
        <v>3</v>
      </c>
      <c r="BG307" t="n">
        <v>4</v>
      </c>
      <c r="BH307" t="n">
        <v>5</v>
      </c>
      <c r="BI307" t="n">
        <v>5</v>
      </c>
      <c r="BJ307" t="n">
        <v>4</v>
      </c>
      <c r="BK307" t="n">
        <v>3</v>
      </c>
      <c r="BL307" t="n">
        <v>3</v>
      </c>
      <c r="BM307" t="n">
        <v>3</v>
      </c>
      <c r="BN307" t="n">
        <v>4</v>
      </c>
      <c r="BO307" t="n">
        <v>3</v>
      </c>
      <c r="BP307" t="n">
        <v>3</v>
      </c>
      <c r="BQ307" t="n">
        <v>3</v>
      </c>
      <c r="BR307" t="n">
        <v>3</v>
      </c>
      <c r="BS307" s="56">
        <f>IF(COUNT(N307:W307)&gt;=8,AVERAGE(N307:W307),"")</f>
        <v/>
      </c>
      <c r="BT307" s="56">
        <f>IF(COUNT(X307:AE307)&gt;=7,AVERAGE(X307:AE307),"")</f>
        <v/>
      </c>
      <c r="BU307" s="56">
        <f>IF(COUNT(AF307:AM307)&gt;=7,AVERAGE(AF307:AM307),"")</f>
        <v/>
      </c>
      <c r="BV307" s="56">
        <f>IF(COUNT(AN307:AV307)&gt;=8,AVERAGE(AN307:AV307),"")</f>
        <v/>
      </c>
      <c r="BW307" s="56">
        <f>IF(COUNT(AW307:BD307)&gt;=7,AVERAGE(AW307:BD307),"")</f>
        <v/>
      </c>
      <c r="BX307" s="56">
        <f>IF(COUNT(BE307:BJ307)&gt;=5,AVERAGE(BE307:BJ307),"")</f>
        <v/>
      </c>
      <c r="BY307" s="56">
        <f>IF(COUNT(BK307:BR307)&gt;=7,AVERAGE(BK307:BR307),"")</f>
        <v/>
      </c>
    </row>
    <row r="308">
      <c r="A308" t="inlineStr">
        <is>
          <t>R277</t>
        </is>
      </c>
      <c r="B308" t="inlineStr">
        <is>
          <t>Yes</t>
        </is>
      </c>
      <c r="C308" t="inlineStr">
        <is>
          <t>Yes</t>
        </is>
      </c>
      <c r="D308" t="inlineStr">
        <is>
          <t>Male</t>
        </is>
      </c>
      <c r="E308" t="inlineStr">
        <is>
          <t>35-44</t>
        </is>
      </c>
      <c r="F308" t="inlineStr">
        <is>
          <t>Postgraduate Diploma</t>
        </is>
      </c>
      <c r="G308" t="inlineStr">
        <is>
          <t>Commercial bank</t>
        </is>
      </c>
      <c r="H308" t="inlineStr">
        <is>
          <t>Relationship/Marketing</t>
        </is>
      </c>
      <c r="I308" t="inlineStr">
        <is>
          <t>16 or more</t>
        </is>
      </c>
      <c r="J308" t="inlineStr">
        <is>
          <t>Yes</t>
        </is>
      </c>
      <c r="K308" t="n">
        <v>1</v>
      </c>
      <c r="L308" t="inlineStr">
        <is>
          <t>No</t>
        </is>
      </c>
      <c r="M308" t="inlineStr">
        <is>
          <t>Yes</t>
        </is>
      </c>
      <c r="N308" t="n">
        <v>2</v>
      </c>
      <c r="O308" t="n">
        <v>2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3</v>
      </c>
      <c r="Y308" t="n">
        <v>2</v>
      </c>
      <c r="Z308" t="n">
        <v>3</v>
      </c>
      <c r="AA308" t="n">
        <v>2</v>
      </c>
      <c r="AB308" t="n">
        <v>4</v>
      </c>
      <c r="AC308" t="n">
        <v>4</v>
      </c>
      <c r="AD308" t="n">
        <v>2</v>
      </c>
      <c r="AE308" t="n">
        <v>4</v>
      </c>
      <c r="AF308" t="n">
        <v>4</v>
      </c>
      <c r="AG308" t="n">
        <v>5</v>
      </c>
      <c r="AH308" t="n">
        <v>4</v>
      </c>
      <c r="AI308" t="n">
        <v>5</v>
      </c>
      <c r="AJ308" t="n">
        <v>5</v>
      </c>
      <c r="AK308" t="n">
        <v>5</v>
      </c>
      <c r="AL308" t="n">
        <v>4</v>
      </c>
      <c r="AM308" t="n">
        <v>5</v>
      </c>
      <c r="AN308" t="n">
        <v>3</v>
      </c>
      <c r="AO308" t="n">
        <v>2</v>
      </c>
      <c r="AP308" t="n">
        <v>2</v>
      </c>
      <c r="AQ308" t="n">
        <v>2</v>
      </c>
      <c r="AR308" t="n">
        <v>2</v>
      </c>
      <c r="AS308" t="n">
        <v>3</v>
      </c>
      <c r="AT308" t="n">
        <v>3</v>
      </c>
      <c r="AU308" t="n">
        <v>3</v>
      </c>
      <c r="AV308" t="n">
        <v>3</v>
      </c>
      <c r="AW308" t="n">
        <v>3</v>
      </c>
      <c r="AX308" t="n">
        <v>3</v>
      </c>
      <c r="AY308" t="n">
        <v>4</v>
      </c>
      <c r="AZ308" t="n">
        <v>3</v>
      </c>
      <c r="BA308" t="n">
        <v>4</v>
      </c>
      <c r="BB308" t="n">
        <v>4</v>
      </c>
      <c r="BC308" t="n">
        <v>2</v>
      </c>
      <c r="BD308" t="n">
        <v>3</v>
      </c>
      <c r="BE308" t="n">
        <v>2</v>
      </c>
      <c r="BF308" t="n">
        <v>4</v>
      </c>
      <c r="BG308" t="n">
        <v>2</v>
      </c>
      <c r="BH308" t="n">
        <v>4</v>
      </c>
      <c r="BI308" t="n">
        <v>2</v>
      </c>
      <c r="BJ308" t="n">
        <v>3</v>
      </c>
      <c r="BK308" t="n">
        <v>2</v>
      </c>
      <c r="BL308" t="n">
        <v>2</v>
      </c>
      <c r="BM308" t="n">
        <v>2</v>
      </c>
      <c r="BN308" t="n">
        <v>3</v>
      </c>
      <c r="BO308" t="n">
        <v>2</v>
      </c>
      <c r="BP308" t="n">
        <v>2</v>
      </c>
      <c r="BQ308" t="n">
        <v>2</v>
      </c>
      <c r="BR308" t="n">
        <v>2</v>
      </c>
      <c r="BS308" s="56">
        <f>IF(COUNT(N308:W308)&gt;=8,AVERAGE(N308:W308),"")</f>
        <v/>
      </c>
      <c r="BT308" s="56">
        <f>IF(COUNT(X308:AE308)&gt;=7,AVERAGE(X308:AE308),"")</f>
        <v/>
      </c>
      <c r="BU308" s="56">
        <f>IF(COUNT(AF308:AM308)&gt;=7,AVERAGE(AF308:AM308),"")</f>
        <v/>
      </c>
      <c r="BV308" s="56">
        <f>IF(COUNT(AN308:AV308)&gt;=8,AVERAGE(AN308:AV308),"")</f>
        <v/>
      </c>
      <c r="BW308" s="56">
        <f>IF(COUNT(AW308:BD308)&gt;=7,AVERAGE(AW308:BD308),"")</f>
        <v/>
      </c>
      <c r="BX308" s="56">
        <f>IF(COUNT(BE308:BJ308)&gt;=5,AVERAGE(BE308:BJ308),"")</f>
        <v/>
      </c>
      <c r="BY308" s="56">
        <f>IF(COUNT(BK308:BR308)&gt;=7,AVERAGE(BK308:BR308),"")</f>
        <v/>
      </c>
    </row>
    <row r="309">
      <c r="A309" t="inlineStr">
        <is>
          <t>R278</t>
        </is>
      </c>
      <c r="B309" t="inlineStr">
        <is>
          <t>Yes</t>
        </is>
      </c>
      <c r="C309" t="inlineStr">
        <is>
          <t>Yes</t>
        </is>
      </c>
      <c r="D309" t="inlineStr">
        <is>
          <t>Male</t>
        </is>
      </c>
      <c r="E309" t="inlineStr">
        <is>
          <t>35-44</t>
        </is>
      </c>
      <c r="F309" t="inlineStr">
        <is>
          <t>Master's</t>
        </is>
      </c>
      <c r="G309" t="inlineStr">
        <is>
          <t>Merchant bank</t>
        </is>
      </c>
      <c r="H309" t="inlineStr">
        <is>
          <t>Relationship/Marketing</t>
        </is>
      </c>
      <c r="I309" t="inlineStr">
        <is>
          <t>6-10</t>
        </is>
      </c>
      <c r="J309" t="inlineStr">
        <is>
          <t>Yes</t>
        </is>
      </c>
      <c r="K309" t="n">
        <v>3</v>
      </c>
      <c r="L309" t="inlineStr">
        <is>
          <t>Yes</t>
        </is>
      </c>
      <c r="M309" t="inlineStr">
        <is>
          <t>Yes</t>
        </is>
      </c>
      <c r="N309" t="n">
        <v>2</v>
      </c>
      <c r="O309" t="n">
        <v>3</v>
      </c>
      <c r="P309" t="n">
        <v>3</v>
      </c>
      <c r="Q309" t="n">
        <v>4</v>
      </c>
      <c r="R309" t="n">
        <v>3</v>
      </c>
      <c r="S309" t="n">
        <v>3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2</v>
      </c>
      <c r="Z309" t="n">
        <v>4</v>
      </c>
      <c r="AA309" t="n">
        <v>2</v>
      </c>
      <c r="AB309" t="n">
        <v>3</v>
      </c>
      <c r="AC309" t="n">
        <v>3</v>
      </c>
      <c r="AD309" t="n">
        <v>4</v>
      </c>
      <c r="AE309" t="n">
        <v>4</v>
      </c>
      <c r="AF309" t="n">
        <v>3</v>
      </c>
      <c r="AG309" t="n">
        <v>4</v>
      </c>
      <c r="AH309" t="n">
        <v>4</v>
      </c>
      <c r="AI309" t="n">
        <v>3</v>
      </c>
      <c r="AJ309" t="n">
        <v>3</v>
      </c>
      <c r="AK309" t="n">
        <v>3</v>
      </c>
      <c r="AM309" t="n">
        <v>4</v>
      </c>
      <c r="AN309" t="n">
        <v>3</v>
      </c>
      <c r="AO309" t="n">
        <v>5</v>
      </c>
      <c r="AP309" t="n">
        <v>3</v>
      </c>
      <c r="AR309" t="n">
        <v>4</v>
      </c>
      <c r="AS309" t="n">
        <v>3</v>
      </c>
      <c r="AT309" t="n">
        <v>4</v>
      </c>
      <c r="AU309" t="n">
        <v>3</v>
      </c>
      <c r="AV309" t="n">
        <v>3</v>
      </c>
      <c r="AW309" t="n">
        <v>4</v>
      </c>
      <c r="AX309" t="n">
        <v>3</v>
      </c>
      <c r="AY309" t="n">
        <v>3</v>
      </c>
      <c r="AZ309" t="n">
        <v>3</v>
      </c>
      <c r="BA309" t="n">
        <v>4</v>
      </c>
      <c r="BB309" t="n">
        <v>2</v>
      </c>
      <c r="BC309" t="n">
        <v>2</v>
      </c>
      <c r="BD309" t="n">
        <v>3</v>
      </c>
      <c r="BE309" t="n">
        <v>3</v>
      </c>
      <c r="BF309" t="n">
        <v>4</v>
      </c>
      <c r="BG309" t="n">
        <v>2</v>
      </c>
      <c r="BH309" t="n">
        <v>3</v>
      </c>
      <c r="BI309" t="n">
        <v>3</v>
      </c>
      <c r="BJ309" t="n">
        <v>3</v>
      </c>
      <c r="BK309" t="n">
        <v>2</v>
      </c>
      <c r="BL309" t="n">
        <v>2</v>
      </c>
      <c r="BM309" t="n">
        <v>3</v>
      </c>
      <c r="BN309" t="n">
        <v>3</v>
      </c>
      <c r="BO309" t="n">
        <v>3</v>
      </c>
      <c r="BP309" t="n">
        <v>2</v>
      </c>
      <c r="BQ309" t="n">
        <v>3</v>
      </c>
      <c r="BR309" t="n">
        <v>2</v>
      </c>
      <c r="BS309" s="56">
        <f>IF(COUNT(N309:W309)&gt;=8,AVERAGE(N309:W309),"")</f>
        <v/>
      </c>
      <c r="BT309" s="56">
        <f>IF(COUNT(X309:AE309)&gt;=7,AVERAGE(X309:AE309),"")</f>
        <v/>
      </c>
      <c r="BU309" s="56">
        <f>IF(COUNT(AF309:AM309)&gt;=7,AVERAGE(AF309:AM309),"")</f>
        <v/>
      </c>
      <c r="BV309" s="56">
        <f>IF(COUNT(AN309:AV309)&gt;=8,AVERAGE(AN309:AV309),"")</f>
        <v/>
      </c>
      <c r="BW309" s="56">
        <f>IF(COUNT(AW309:BD309)&gt;=7,AVERAGE(AW309:BD309),"")</f>
        <v/>
      </c>
      <c r="BX309" s="56">
        <f>IF(COUNT(BE309:BJ309)&gt;=5,AVERAGE(BE309:BJ309),"")</f>
        <v/>
      </c>
      <c r="BY309" s="56">
        <f>IF(COUNT(BK309:BR309)&gt;=7,AVERAGE(BK309:BR309),"")</f>
        <v/>
      </c>
    </row>
    <row r="310">
      <c r="A310" t="inlineStr">
        <is>
          <t>R279</t>
        </is>
      </c>
      <c r="B310" t="inlineStr">
        <is>
          <t>Yes</t>
        </is>
      </c>
      <c r="C310" t="inlineStr">
        <is>
          <t>Yes</t>
        </is>
      </c>
      <c r="D310" t="inlineStr">
        <is>
          <t>Prefer not to say</t>
        </is>
      </c>
      <c r="E310" t="inlineStr">
        <is>
          <t>25-34</t>
        </is>
      </c>
      <c r="F310" t="inlineStr">
        <is>
          <t>Diploma/OND/NCE</t>
        </is>
      </c>
      <c r="G310" t="inlineStr">
        <is>
          <t>Fintech/payment provider</t>
        </is>
      </c>
      <c r="H310" t="inlineStr">
        <is>
          <t>Digital Banking/Product</t>
        </is>
      </c>
      <c r="I310" t="inlineStr">
        <is>
          <t>16 or more</t>
        </is>
      </c>
      <c r="J310" t="inlineStr">
        <is>
          <t>Yes</t>
        </is>
      </c>
      <c r="K310" t="n">
        <v>1</v>
      </c>
      <c r="L310" t="inlineStr">
        <is>
          <t>No</t>
        </is>
      </c>
      <c r="M310" t="inlineStr">
        <is>
          <t>Yes</t>
        </is>
      </c>
      <c r="O310" t="n">
        <v>2</v>
      </c>
      <c r="P310" t="n">
        <v>2</v>
      </c>
      <c r="Q310" t="n">
        <v>2</v>
      </c>
      <c r="R310" t="n">
        <v>3</v>
      </c>
      <c r="T310" t="n">
        <v>2</v>
      </c>
      <c r="U310" t="n">
        <v>2</v>
      </c>
      <c r="W310" t="n">
        <v>2</v>
      </c>
      <c r="X310" t="n">
        <v>4</v>
      </c>
      <c r="Y310" t="n">
        <v>3</v>
      </c>
      <c r="Z310" t="n">
        <v>3</v>
      </c>
      <c r="AA310" t="n">
        <v>2</v>
      </c>
      <c r="AB310" t="n">
        <v>4</v>
      </c>
      <c r="AC310" t="n">
        <v>3</v>
      </c>
      <c r="AD310" t="n">
        <v>2</v>
      </c>
      <c r="AE310" t="n">
        <v>2</v>
      </c>
      <c r="AF310" t="n">
        <v>3</v>
      </c>
      <c r="AG310" t="n">
        <v>2</v>
      </c>
      <c r="AH310" t="n">
        <v>2</v>
      </c>
      <c r="AI310" t="n">
        <v>3</v>
      </c>
      <c r="AJ310" t="n">
        <v>2</v>
      </c>
      <c r="AK310" t="n">
        <v>3</v>
      </c>
      <c r="AL310" t="n">
        <v>3</v>
      </c>
      <c r="AM310" t="n">
        <v>3</v>
      </c>
      <c r="AN310" t="n">
        <v>3</v>
      </c>
      <c r="AO310" t="n">
        <v>2</v>
      </c>
      <c r="AP310" t="n">
        <v>3</v>
      </c>
      <c r="AQ310" t="n">
        <v>3</v>
      </c>
      <c r="AR310" t="n">
        <v>3</v>
      </c>
      <c r="AS310" t="n">
        <v>3</v>
      </c>
      <c r="AT310" t="n">
        <v>2</v>
      </c>
      <c r="AU310" t="n">
        <v>2</v>
      </c>
      <c r="AV310" t="n">
        <v>2</v>
      </c>
      <c r="AW310" t="n">
        <v>2</v>
      </c>
      <c r="AX310" t="n">
        <v>2</v>
      </c>
      <c r="AY310" t="n">
        <v>4</v>
      </c>
      <c r="AZ310" t="n">
        <v>1</v>
      </c>
      <c r="BA310" t="n">
        <v>2</v>
      </c>
      <c r="BB310" t="n">
        <v>2</v>
      </c>
      <c r="BC310" t="n">
        <v>3</v>
      </c>
      <c r="BD310" t="n">
        <v>2</v>
      </c>
      <c r="BE310" t="n">
        <v>3</v>
      </c>
      <c r="BF310" t="n">
        <v>2</v>
      </c>
      <c r="BG310" t="n">
        <v>2</v>
      </c>
      <c r="BI310" t="n">
        <v>2</v>
      </c>
      <c r="BJ310" t="n">
        <v>2</v>
      </c>
      <c r="BK310" t="n">
        <v>2</v>
      </c>
      <c r="BL310" t="n">
        <v>3</v>
      </c>
      <c r="BM310" t="n">
        <v>4</v>
      </c>
      <c r="BN310" t="n">
        <v>3</v>
      </c>
      <c r="BO310" t="n">
        <v>3</v>
      </c>
      <c r="BP310" t="n">
        <v>3</v>
      </c>
      <c r="BQ310" t="n">
        <v>4</v>
      </c>
      <c r="BR310" t="n">
        <v>3</v>
      </c>
      <c r="BS310" s="56">
        <f>IF(COUNT(N310:W310)&gt;=8,AVERAGE(N310:W310),"")</f>
        <v/>
      </c>
      <c r="BT310" s="56">
        <f>IF(COUNT(X310:AE310)&gt;=7,AVERAGE(X310:AE310),"")</f>
        <v/>
      </c>
      <c r="BU310" s="56">
        <f>IF(COUNT(AF310:AM310)&gt;=7,AVERAGE(AF310:AM310),"")</f>
        <v/>
      </c>
      <c r="BV310" s="56">
        <f>IF(COUNT(AN310:AV310)&gt;=8,AVERAGE(AN310:AV310),"")</f>
        <v/>
      </c>
      <c r="BW310" s="56">
        <f>IF(COUNT(AW310:BD310)&gt;=7,AVERAGE(AW310:BD310),"")</f>
        <v/>
      </c>
      <c r="BX310" s="56">
        <f>IF(COUNT(BE310:BJ310)&gt;=5,AVERAGE(BE310:BJ310),"")</f>
        <v/>
      </c>
      <c r="BY310" s="56">
        <f>IF(COUNT(BK310:BR310)&gt;=7,AVERAGE(BK310:BR310),"")</f>
        <v/>
      </c>
    </row>
    <row r="311">
      <c r="A311" t="inlineStr">
        <is>
          <t>R280</t>
        </is>
      </c>
      <c r="B311" t="inlineStr">
        <is>
          <t>Yes</t>
        </is>
      </c>
      <c r="C311" t="inlineStr">
        <is>
          <t>Yes</t>
        </is>
      </c>
      <c r="D311" t="inlineStr">
        <is>
          <t>Female</t>
        </is>
      </c>
      <c r="E311" t="inlineStr">
        <is>
          <t>25-34</t>
        </is>
      </c>
      <c r="F311" t="inlineStr">
        <is>
          <t>Bachelor/HND</t>
        </is>
      </c>
      <c r="G311" t="inlineStr">
        <is>
          <t>Microfinance bank</t>
        </is>
      </c>
      <c r="H311" t="inlineStr">
        <is>
          <t>Customer Experience/Service</t>
        </is>
      </c>
      <c r="I311" t="inlineStr">
        <is>
          <t>2-5</t>
        </is>
      </c>
      <c r="J311" t="inlineStr">
        <is>
          <t>Yes</t>
        </is>
      </c>
      <c r="K311" t="n">
        <v>3</v>
      </c>
      <c r="L311" t="inlineStr">
        <is>
          <t>No</t>
        </is>
      </c>
      <c r="M311" t="inlineStr">
        <is>
          <t>Yes</t>
        </is>
      </c>
      <c r="N311" t="n">
        <v>4</v>
      </c>
      <c r="O311" t="n">
        <v>3</v>
      </c>
      <c r="P311" t="n">
        <v>4</v>
      </c>
      <c r="Q311" t="n">
        <v>2</v>
      </c>
      <c r="R311" t="n">
        <v>3</v>
      </c>
      <c r="S311" t="n">
        <v>3</v>
      </c>
      <c r="T311" t="n">
        <v>2</v>
      </c>
      <c r="U311" t="n">
        <v>4</v>
      </c>
      <c r="V311" t="n">
        <v>4</v>
      </c>
      <c r="W311" t="n">
        <v>3</v>
      </c>
      <c r="X311" t="n">
        <v>5</v>
      </c>
      <c r="Y311" t="n">
        <v>4</v>
      </c>
      <c r="Z311" t="n">
        <v>5</v>
      </c>
      <c r="AA311" t="n">
        <v>3</v>
      </c>
      <c r="AB311" t="n">
        <v>2</v>
      </c>
      <c r="AC311" t="n">
        <v>5</v>
      </c>
      <c r="AD311" t="n">
        <v>4</v>
      </c>
      <c r="AE311" t="n">
        <v>3</v>
      </c>
      <c r="AF311" t="n">
        <v>4</v>
      </c>
      <c r="AG311" t="n">
        <v>4</v>
      </c>
      <c r="AH311" t="n">
        <v>3</v>
      </c>
      <c r="AI311" t="n">
        <v>4</v>
      </c>
      <c r="AJ311" t="n">
        <v>3</v>
      </c>
      <c r="AK311" t="n">
        <v>4</v>
      </c>
      <c r="AL311" t="n">
        <v>3</v>
      </c>
      <c r="AM311" t="n">
        <v>3</v>
      </c>
      <c r="AN311" t="n">
        <v>4</v>
      </c>
      <c r="AO311" t="n">
        <v>2</v>
      </c>
      <c r="AP311" t="n">
        <v>3</v>
      </c>
      <c r="AQ311" t="n">
        <v>4</v>
      </c>
      <c r="AR311" t="n">
        <v>4</v>
      </c>
      <c r="AS311" t="n">
        <v>3</v>
      </c>
      <c r="AT311" t="n">
        <v>3</v>
      </c>
      <c r="AU311" t="n">
        <v>2</v>
      </c>
      <c r="AV311" t="n">
        <v>4</v>
      </c>
      <c r="AW311" t="n">
        <v>4</v>
      </c>
      <c r="AX311" t="n">
        <v>3</v>
      </c>
      <c r="AY311" t="n">
        <v>3</v>
      </c>
      <c r="AZ311" t="n">
        <v>3</v>
      </c>
      <c r="BA311" t="n">
        <v>4</v>
      </c>
      <c r="BB311" t="n">
        <v>4</v>
      </c>
      <c r="BC311" t="n">
        <v>4</v>
      </c>
      <c r="BD311" t="n">
        <v>3</v>
      </c>
      <c r="BE311" t="n">
        <v>3</v>
      </c>
      <c r="BF311" t="n">
        <v>4</v>
      </c>
      <c r="BG311" t="n">
        <v>5</v>
      </c>
      <c r="BH311" t="n">
        <v>4</v>
      </c>
      <c r="BI311" t="n">
        <v>4</v>
      </c>
      <c r="BJ311" t="n">
        <v>4</v>
      </c>
      <c r="BK311" t="n">
        <v>2</v>
      </c>
      <c r="BL311" t="n">
        <v>3</v>
      </c>
      <c r="BM311" t="n">
        <v>3</v>
      </c>
      <c r="BN311" t="n">
        <v>3</v>
      </c>
      <c r="BO311" t="n">
        <v>3</v>
      </c>
      <c r="BP311" t="n">
        <v>4</v>
      </c>
      <c r="BQ311" t="n">
        <v>3</v>
      </c>
      <c r="BR311" t="n">
        <v>3</v>
      </c>
      <c r="BS311" s="56">
        <f>IF(COUNT(N311:W311)&gt;=8,AVERAGE(N311:W311),"")</f>
        <v/>
      </c>
      <c r="BT311" s="56">
        <f>IF(COUNT(X311:AE311)&gt;=7,AVERAGE(X311:AE311),"")</f>
        <v/>
      </c>
      <c r="BU311" s="56">
        <f>IF(COUNT(AF311:AM311)&gt;=7,AVERAGE(AF311:AM311),"")</f>
        <v/>
      </c>
      <c r="BV311" s="56">
        <f>IF(COUNT(AN311:AV311)&gt;=8,AVERAGE(AN311:AV311),"")</f>
        <v/>
      </c>
      <c r="BW311" s="56">
        <f>IF(COUNT(AW311:BD311)&gt;=7,AVERAGE(AW311:BD311),"")</f>
        <v/>
      </c>
      <c r="BX311" s="56">
        <f>IF(COUNT(BE311:BJ311)&gt;=5,AVERAGE(BE311:BJ311),"")</f>
        <v/>
      </c>
      <c r="BY311" s="56">
        <f>IF(COUNT(BK311:BR311)&gt;=7,AVERAGE(BK311:BR311),"")</f>
        <v/>
      </c>
    </row>
    <row r="312">
      <c r="A312" t="inlineStr">
        <is>
          <t>R281</t>
        </is>
      </c>
      <c r="B312" t="inlineStr">
        <is>
          <t>Yes</t>
        </is>
      </c>
      <c r="C312" t="inlineStr">
        <is>
          <t>Yes</t>
        </is>
      </c>
      <c r="D312" t="inlineStr">
        <is>
          <t>Female</t>
        </is>
      </c>
      <c r="E312" t="inlineStr">
        <is>
          <t>45-54</t>
        </is>
      </c>
      <c r="F312" t="inlineStr">
        <is>
          <t>Bachelor/HND</t>
        </is>
      </c>
      <c r="G312" t="inlineStr">
        <is>
          <t>Commercial bank</t>
        </is>
      </c>
      <c r="H312" t="inlineStr">
        <is>
          <t>Digital Banking/Product</t>
        </is>
      </c>
      <c r="I312" t="inlineStr">
        <is>
          <t>2-5</t>
        </is>
      </c>
      <c r="J312" t="inlineStr">
        <is>
          <t>Yes</t>
        </is>
      </c>
      <c r="K312" t="n">
        <v>1</v>
      </c>
      <c r="L312" t="inlineStr">
        <is>
          <t>No</t>
        </is>
      </c>
      <c r="M312" t="inlineStr">
        <is>
          <t>Yes</t>
        </is>
      </c>
      <c r="N312" t="n">
        <v>3</v>
      </c>
      <c r="O312" t="n">
        <v>2</v>
      </c>
      <c r="P312" t="n">
        <v>3</v>
      </c>
      <c r="Q312" t="n">
        <v>2</v>
      </c>
      <c r="R312" t="n">
        <v>3</v>
      </c>
      <c r="S312" t="n">
        <v>3</v>
      </c>
      <c r="T312" t="n">
        <v>2</v>
      </c>
      <c r="U312" t="n">
        <v>4</v>
      </c>
      <c r="V312" t="n">
        <v>3</v>
      </c>
      <c r="W312" t="n">
        <v>2</v>
      </c>
      <c r="X312" t="n">
        <v>3</v>
      </c>
      <c r="Y312" t="n">
        <v>3</v>
      </c>
      <c r="Z312" t="n">
        <v>4</v>
      </c>
      <c r="AA312" t="n">
        <v>3</v>
      </c>
      <c r="AB312" t="n">
        <v>4</v>
      </c>
      <c r="AC312" t="n">
        <v>3</v>
      </c>
      <c r="AD312" t="n">
        <v>4</v>
      </c>
      <c r="AE312" t="n">
        <v>3</v>
      </c>
      <c r="AF312" t="n">
        <v>2</v>
      </c>
      <c r="AG312" t="n">
        <v>2</v>
      </c>
      <c r="AH312" t="n">
        <v>3</v>
      </c>
      <c r="AI312" t="n">
        <v>3</v>
      </c>
      <c r="AJ312" t="n">
        <v>3</v>
      </c>
      <c r="AK312" t="n">
        <v>4</v>
      </c>
      <c r="AL312" t="n">
        <v>2</v>
      </c>
      <c r="AM312" t="n">
        <v>2</v>
      </c>
      <c r="AN312" t="n">
        <v>4</v>
      </c>
      <c r="AO312" t="n">
        <v>4</v>
      </c>
      <c r="AP312" t="n">
        <v>4</v>
      </c>
      <c r="AQ312" t="n">
        <v>4</v>
      </c>
      <c r="AR312" t="n">
        <v>4</v>
      </c>
      <c r="AS312" t="n">
        <v>5</v>
      </c>
      <c r="AT312" t="n">
        <v>4</v>
      </c>
      <c r="AU312" t="n">
        <v>3</v>
      </c>
      <c r="AV312" t="n">
        <v>4</v>
      </c>
      <c r="AW312" t="n">
        <v>3</v>
      </c>
      <c r="AX312" t="n">
        <v>3</v>
      </c>
      <c r="AY312" t="n">
        <v>4</v>
      </c>
      <c r="AZ312" t="n">
        <v>2</v>
      </c>
      <c r="BA312" t="n">
        <v>3</v>
      </c>
      <c r="BB312" t="n">
        <v>3</v>
      </c>
      <c r="BC312" t="n">
        <v>3</v>
      </c>
      <c r="BD312" t="n">
        <v>3</v>
      </c>
      <c r="BE312" t="n">
        <v>1</v>
      </c>
      <c r="BF312" t="n">
        <v>2</v>
      </c>
      <c r="BG312" t="n">
        <v>2</v>
      </c>
      <c r="BH312" t="n">
        <v>3</v>
      </c>
      <c r="BI312" t="n">
        <v>4</v>
      </c>
      <c r="BJ312" t="n">
        <v>2</v>
      </c>
      <c r="BK312" t="n">
        <v>3</v>
      </c>
      <c r="BL312" t="n">
        <v>3</v>
      </c>
      <c r="BM312" t="n">
        <v>3</v>
      </c>
      <c r="BN312" t="n">
        <v>3</v>
      </c>
      <c r="BO312" t="n">
        <v>3</v>
      </c>
      <c r="BP312" t="n">
        <v>3</v>
      </c>
      <c r="BQ312" t="n">
        <v>5</v>
      </c>
      <c r="BR312" t="n">
        <v>3</v>
      </c>
      <c r="BS312" s="56">
        <f>IF(COUNT(N312:W312)&gt;=8,AVERAGE(N312:W312),"")</f>
        <v/>
      </c>
      <c r="BT312" s="56">
        <f>IF(COUNT(X312:AE312)&gt;=7,AVERAGE(X312:AE312),"")</f>
        <v/>
      </c>
      <c r="BU312" s="56">
        <f>IF(COUNT(AF312:AM312)&gt;=7,AVERAGE(AF312:AM312),"")</f>
        <v/>
      </c>
      <c r="BV312" s="56">
        <f>IF(COUNT(AN312:AV312)&gt;=8,AVERAGE(AN312:AV312),"")</f>
        <v/>
      </c>
      <c r="BW312" s="56">
        <f>IF(COUNT(AW312:BD312)&gt;=7,AVERAGE(AW312:BD312),"")</f>
        <v/>
      </c>
      <c r="BX312" s="56">
        <f>IF(COUNT(BE312:BJ312)&gt;=5,AVERAGE(BE312:BJ312),"")</f>
        <v/>
      </c>
      <c r="BY312" s="56">
        <f>IF(COUNT(BK312:BR312)&gt;=7,AVERAGE(BK312:BR312),"")</f>
        <v/>
      </c>
    </row>
    <row r="313">
      <c r="A313" t="inlineStr">
        <is>
          <t>R282</t>
        </is>
      </c>
      <c r="B313" t="inlineStr">
        <is>
          <t>Yes</t>
        </is>
      </c>
      <c r="C313" t="inlineStr">
        <is>
          <t>Yes</t>
        </is>
      </c>
      <c r="D313" t="inlineStr">
        <is>
          <t>Male</t>
        </is>
      </c>
      <c r="E313" t="inlineStr">
        <is>
          <t>35-44</t>
        </is>
      </c>
      <c r="F313" t="inlineStr">
        <is>
          <t>Master's</t>
        </is>
      </c>
      <c r="G313" t="inlineStr">
        <is>
          <t>Commercial bank</t>
        </is>
      </c>
      <c r="H313" t="inlineStr">
        <is>
          <t>Relationship/Marketing</t>
        </is>
      </c>
      <c r="I313" t="inlineStr">
        <is>
          <t>2-5</t>
        </is>
      </c>
      <c r="J313" t="inlineStr">
        <is>
          <t>Yes</t>
        </is>
      </c>
      <c r="K313" t="n">
        <v>2</v>
      </c>
      <c r="L313" t="inlineStr">
        <is>
          <t>Do not know</t>
        </is>
      </c>
      <c r="M313" t="inlineStr">
        <is>
          <t>Yes</t>
        </is>
      </c>
      <c r="N313" t="n">
        <v>3</v>
      </c>
      <c r="O313" t="n">
        <v>2</v>
      </c>
      <c r="P313" t="n">
        <v>2</v>
      </c>
      <c r="Q313" t="n">
        <v>3</v>
      </c>
      <c r="R313" t="n">
        <v>2</v>
      </c>
      <c r="S313" t="n">
        <v>2</v>
      </c>
      <c r="T313" t="n">
        <v>2</v>
      </c>
      <c r="U313" t="n">
        <v>2</v>
      </c>
      <c r="V313" t="n">
        <v>3</v>
      </c>
      <c r="W313" t="n">
        <v>3</v>
      </c>
      <c r="X313" t="n">
        <v>2</v>
      </c>
      <c r="Y313" t="n">
        <v>2</v>
      </c>
      <c r="Z313" t="n">
        <v>3</v>
      </c>
      <c r="AA313" t="n">
        <v>1</v>
      </c>
      <c r="AB313" t="n">
        <v>1</v>
      </c>
      <c r="AC313" t="n">
        <v>3</v>
      </c>
      <c r="AD313" t="n">
        <v>1</v>
      </c>
      <c r="AE313" t="n">
        <v>2</v>
      </c>
      <c r="AF313" t="n">
        <v>2</v>
      </c>
      <c r="AG313" t="n">
        <v>3</v>
      </c>
      <c r="AH313" t="n">
        <v>1</v>
      </c>
      <c r="AI313" t="n">
        <v>4</v>
      </c>
      <c r="AJ313" t="n">
        <v>2</v>
      </c>
      <c r="AK313" t="n">
        <v>2</v>
      </c>
      <c r="AL313" t="n">
        <v>2</v>
      </c>
      <c r="AM313" t="n">
        <v>1</v>
      </c>
      <c r="AN313" t="n">
        <v>2</v>
      </c>
      <c r="AO313" t="n">
        <v>2</v>
      </c>
      <c r="AP313" t="n">
        <v>2</v>
      </c>
      <c r="AQ313" t="n">
        <v>2</v>
      </c>
      <c r="AR313" t="n">
        <v>2</v>
      </c>
      <c r="AS313" t="n">
        <v>2</v>
      </c>
      <c r="AT313" t="n">
        <v>3</v>
      </c>
      <c r="AU313" t="n">
        <v>2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3</v>
      </c>
      <c r="BB313" t="n">
        <v>3</v>
      </c>
      <c r="BC313" t="n">
        <v>2</v>
      </c>
      <c r="BD313" t="n">
        <v>1</v>
      </c>
      <c r="BE313" t="n">
        <v>4</v>
      </c>
      <c r="BF313" t="n">
        <v>3</v>
      </c>
      <c r="BG313" t="n">
        <v>2</v>
      </c>
      <c r="BH313" t="n">
        <v>4</v>
      </c>
      <c r="BI313" t="n">
        <v>2</v>
      </c>
      <c r="BJ313" t="n">
        <v>4</v>
      </c>
      <c r="BK313" t="n">
        <v>3</v>
      </c>
      <c r="BL313" t="n">
        <v>1</v>
      </c>
      <c r="BM313" t="n">
        <v>3</v>
      </c>
      <c r="BN313" t="n">
        <v>3</v>
      </c>
      <c r="BO313" t="n">
        <v>2</v>
      </c>
      <c r="BP313" t="n">
        <v>3</v>
      </c>
      <c r="BQ313" t="n">
        <v>3</v>
      </c>
      <c r="BR313" t="n">
        <v>2</v>
      </c>
      <c r="BS313" s="56">
        <f>IF(COUNT(N313:W313)&gt;=8,AVERAGE(N313:W313),"")</f>
        <v/>
      </c>
      <c r="BT313" s="56">
        <f>IF(COUNT(X313:AE313)&gt;=7,AVERAGE(X313:AE313),"")</f>
        <v/>
      </c>
      <c r="BU313" s="56">
        <f>IF(COUNT(AF313:AM313)&gt;=7,AVERAGE(AF313:AM313),"")</f>
        <v/>
      </c>
      <c r="BV313" s="56">
        <f>IF(COUNT(AN313:AV313)&gt;=8,AVERAGE(AN313:AV313),"")</f>
        <v/>
      </c>
      <c r="BW313" s="56">
        <f>IF(COUNT(AW313:BD313)&gt;=7,AVERAGE(AW313:BD313),"")</f>
        <v/>
      </c>
      <c r="BX313" s="56">
        <f>IF(COUNT(BE313:BJ313)&gt;=5,AVERAGE(BE313:BJ313),"")</f>
        <v/>
      </c>
      <c r="BY313" s="56">
        <f>IF(COUNT(BK313:BR313)&gt;=7,AVERAGE(BK313:BR313),"")</f>
        <v/>
      </c>
    </row>
    <row r="314">
      <c r="A314" t="inlineStr">
        <is>
          <t>R283</t>
        </is>
      </c>
      <c r="B314" t="inlineStr">
        <is>
          <t>Yes</t>
        </is>
      </c>
      <c r="C314" t="inlineStr">
        <is>
          <t>Yes</t>
        </is>
      </c>
      <c r="D314" t="inlineStr">
        <is>
          <t>Male</t>
        </is>
      </c>
      <c r="E314" t="inlineStr">
        <is>
          <t>25-34</t>
        </is>
      </c>
      <c r="F314" t="inlineStr">
        <is>
          <t>Bachelor/HND</t>
        </is>
      </c>
      <c r="G314" t="inlineStr">
        <is>
          <t>Microfinance bank</t>
        </is>
      </c>
      <c r="H314" t="inlineStr">
        <is>
          <t>Customer Experience/Service</t>
        </is>
      </c>
      <c r="I314" t="inlineStr">
        <is>
          <t>11-15</t>
        </is>
      </c>
      <c r="J314" t="inlineStr">
        <is>
          <t>Yes</t>
        </is>
      </c>
      <c r="K314" t="n">
        <v>0</v>
      </c>
      <c r="L314" t="inlineStr">
        <is>
          <t>No</t>
        </is>
      </c>
      <c r="M314" t="inlineStr">
        <is>
          <t>Yes</t>
        </is>
      </c>
      <c r="N314" t="n">
        <v>5</v>
      </c>
      <c r="O314" t="n">
        <v>3</v>
      </c>
      <c r="P314" t="n">
        <v>3</v>
      </c>
      <c r="Q314" t="n">
        <v>3</v>
      </c>
      <c r="R314" t="n">
        <v>3</v>
      </c>
      <c r="S314" t="n">
        <v>3</v>
      </c>
      <c r="T314" t="n">
        <v>2</v>
      </c>
      <c r="U314" t="n">
        <v>3</v>
      </c>
      <c r="V314" t="n">
        <v>3</v>
      </c>
      <c r="W314" t="n">
        <v>3</v>
      </c>
      <c r="X314" t="n">
        <v>1</v>
      </c>
      <c r="Y314" t="n">
        <v>2</v>
      </c>
      <c r="Z314" t="n">
        <v>3</v>
      </c>
      <c r="AA314" t="n">
        <v>1</v>
      </c>
      <c r="AB314" t="n">
        <v>3</v>
      </c>
      <c r="AC314" t="n">
        <v>3</v>
      </c>
      <c r="AD314" t="n">
        <v>3</v>
      </c>
      <c r="AE314" t="n">
        <v>3</v>
      </c>
      <c r="AF314" t="n">
        <v>3</v>
      </c>
      <c r="AG314" t="n">
        <v>3</v>
      </c>
      <c r="AH314" t="n">
        <v>2</v>
      </c>
      <c r="AI314" t="n">
        <v>1</v>
      </c>
      <c r="AJ314" t="n">
        <v>3</v>
      </c>
      <c r="AK314" t="n">
        <v>2</v>
      </c>
      <c r="AL314" t="n">
        <v>2</v>
      </c>
      <c r="AM314" t="n">
        <v>3</v>
      </c>
      <c r="AN314" t="n">
        <v>4</v>
      </c>
      <c r="AO314" t="n">
        <v>2</v>
      </c>
      <c r="AP314" t="n">
        <v>4</v>
      </c>
      <c r="AQ314" t="n">
        <v>2</v>
      </c>
      <c r="AR314" t="n">
        <v>4</v>
      </c>
      <c r="AS314" t="n">
        <v>3</v>
      </c>
      <c r="AT314" t="n">
        <v>3</v>
      </c>
      <c r="AU314" t="n">
        <v>2</v>
      </c>
      <c r="AV314" t="n">
        <v>4</v>
      </c>
      <c r="AW314" t="n">
        <v>2</v>
      </c>
      <c r="AX314" t="n">
        <v>3</v>
      </c>
      <c r="AY314" t="n">
        <v>1</v>
      </c>
      <c r="AZ314" t="n">
        <v>1</v>
      </c>
      <c r="BA314" t="n">
        <v>2</v>
      </c>
      <c r="BB314" t="n">
        <v>3</v>
      </c>
      <c r="BC314" t="n">
        <v>2</v>
      </c>
      <c r="BD314" t="n">
        <v>2</v>
      </c>
      <c r="BE314" t="n">
        <v>1</v>
      </c>
      <c r="BF314" t="n">
        <v>3</v>
      </c>
      <c r="BG314" t="n">
        <v>2</v>
      </c>
      <c r="BH314" t="n">
        <v>2</v>
      </c>
      <c r="BI314" t="n">
        <v>3</v>
      </c>
      <c r="BJ314" t="n">
        <v>2</v>
      </c>
      <c r="BK314" t="n">
        <v>2</v>
      </c>
      <c r="BL314" t="n">
        <v>2</v>
      </c>
      <c r="BM314" t="n">
        <v>2</v>
      </c>
      <c r="BN314" t="n">
        <v>2</v>
      </c>
      <c r="BO314" t="n">
        <v>3</v>
      </c>
      <c r="BP314" t="n">
        <v>3</v>
      </c>
      <c r="BQ314" t="n">
        <v>4</v>
      </c>
      <c r="BR314" t="n">
        <v>3</v>
      </c>
      <c r="BS314" s="56">
        <f>IF(COUNT(N314:W314)&gt;=8,AVERAGE(N314:W314),"")</f>
        <v/>
      </c>
      <c r="BT314" s="56">
        <f>IF(COUNT(X314:AE314)&gt;=7,AVERAGE(X314:AE314),"")</f>
        <v/>
      </c>
      <c r="BU314" s="56">
        <f>IF(COUNT(AF314:AM314)&gt;=7,AVERAGE(AF314:AM314),"")</f>
        <v/>
      </c>
      <c r="BV314" s="56">
        <f>IF(COUNT(AN314:AV314)&gt;=8,AVERAGE(AN314:AV314),"")</f>
        <v/>
      </c>
      <c r="BW314" s="56">
        <f>IF(COUNT(AW314:BD314)&gt;=7,AVERAGE(AW314:BD314),"")</f>
        <v/>
      </c>
      <c r="BX314" s="56">
        <f>IF(COUNT(BE314:BJ314)&gt;=5,AVERAGE(BE314:BJ314),"")</f>
        <v/>
      </c>
      <c r="BY314" s="56">
        <f>IF(COUNT(BK314:BR314)&gt;=7,AVERAGE(BK314:BR314),"")</f>
        <v/>
      </c>
    </row>
    <row r="315">
      <c r="A315" t="inlineStr">
        <is>
          <t>R284</t>
        </is>
      </c>
      <c r="B315" t="inlineStr">
        <is>
          <t>Yes</t>
        </is>
      </c>
      <c r="C315" t="inlineStr">
        <is>
          <t>Yes</t>
        </is>
      </c>
      <c r="D315" t="inlineStr">
        <is>
          <t>Female</t>
        </is>
      </c>
      <c r="E315" t="inlineStr">
        <is>
          <t>25-34</t>
        </is>
      </c>
      <c r="F315" t="inlineStr">
        <is>
          <t>Bachelor/HND</t>
        </is>
      </c>
      <c r="G315" t="inlineStr">
        <is>
          <t>Commercial bank</t>
        </is>
      </c>
      <c r="H315" t="inlineStr">
        <is>
          <t>Customer Experience/Service</t>
        </is>
      </c>
      <c r="I315" t="inlineStr">
        <is>
          <t>2-5</t>
        </is>
      </c>
      <c r="J315" t="inlineStr">
        <is>
          <t>Yes</t>
        </is>
      </c>
      <c r="K315" t="n">
        <v>3</v>
      </c>
      <c r="L315" t="inlineStr">
        <is>
          <t>Yes</t>
        </is>
      </c>
      <c r="M315" t="inlineStr">
        <is>
          <t>Yes</t>
        </is>
      </c>
      <c r="N315" t="n">
        <v>3</v>
      </c>
      <c r="O315" t="n">
        <v>3</v>
      </c>
      <c r="P315" t="n">
        <v>4</v>
      </c>
      <c r="Q315" t="n">
        <v>1</v>
      </c>
      <c r="R315" t="n">
        <v>3</v>
      </c>
      <c r="S315" t="n">
        <v>3</v>
      </c>
      <c r="T315" t="n">
        <v>3</v>
      </c>
      <c r="U315" t="n">
        <v>2</v>
      </c>
      <c r="V315" t="n">
        <v>3</v>
      </c>
      <c r="W315" t="n">
        <v>3</v>
      </c>
      <c r="X315" t="n">
        <v>5</v>
      </c>
      <c r="Y315" t="n">
        <v>5</v>
      </c>
      <c r="Z315" t="n">
        <v>5</v>
      </c>
      <c r="AA315" t="n">
        <v>4</v>
      </c>
      <c r="AB315" t="n">
        <v>5</v>
      </c>
      <c r="AC315" t="n">
        <v>4</v>
      </c>
      <c r="AD315" t="n">
        <v>4</v>
      </c>
      <c r="AE315" t="n">
        <v>5</v>
      </c>
      <c r="AF315" t="n">
        <v>3</v>
      </c>
      <c r="AG315" t="n">
        <v>5</v>
      </c>
      <c r="AH315" t="n">
        <v>4</v>
      </c>
      <c r="AI315" t="n">
        <v>4</v>
      </c>
      <c r="AJ315" t="n">
        <v>3</v>
      </c>
      <c r="AK315" t="n">
        <v>4</v>
      </c>
      <c r="AL315" t="n">
        <v>4</v>
      </c>
      <c r="AM315" t="n">
        <v>3</v>
      </c>
      <c r="AN315" t="n">
        <v>4</v>
      </c>
      <c r="AO315" t="n">
        <v>3</v>
      </c>
      <c r="AP315" t="n">
        <v>4</v>
      </c>
      <c r="AQ315" t="n">
        <v>3</v>
      </c>
      <c r="AR315" t="n">
        <v>3</v>
      </c>
      <c r="AS315" t="n">
        <v>3</v>
      </c>
      <c r="AT315" t="n">
        <v>3</v>
      </c>
      <c r="AU315" t="n">
        <v>2</v>
      </c>
      <c r="AV315" t="n">
        <v>3</v>
      </c>
      <c r="AW315" t="n">
        <v>3</v>
      </c>
      <c r="AX315" t="n">
        <v>4</v>
      </c>
      <c r="AY315" t="n">
        <v>4</v>
      </c>
      <c r="AZ315" t="n">
        <v>4</v>
      </c>
      <c r="BA315" t="n">
        <v>4</v>
      </c>
      <c r="BB315" t="n">
        <v>2</v>
      </c>
      <c r="BC315" t="n">
        <v>3</v>
      </c>
      <c r="BD315" t="n">
        <v>4</v>
      </c>
      <c r="BE315" t="n">
        <v>3</v>
      </c>
      <c r="BF315" t="n">
        <v>3</v>
      </c>
      <c r="BG315" t="n">
        <v>2</v>
      </c>
      <c r="BI315" t="n">
        <v>3</v>
      </c>
      <c r="BJ315" t="n">
        <v>3</v>
      </c>
      <c r="BL315" t="n">
        <v>2</v>
      </c>
      <c r="BM315" t="n">
        <v>5</v>
      </c>
      <c r="BN315" t="n">
        <v>4</v>
      </c>
      <c r="BO315" t="n">
        <v>3</v>
      </c>
      <c r="BP315" t="n">
        <v>4</v>
      </c>
      <c r="BQ315" t="n">
        <v>3</v>
      </c>
      <c r="BR315" t="n">
        <v>3</v>
      </c>
      <c r="BS315" s="56">
        <f>IF(COUNT(N315:W315)&gt;=8,AVERAGE(N315:W315),"")</f>
        <v/>
      </c>
      <c r="BT315" s="56">
        <f>IF(COUNT(X315:AE315)&gt;=7,AVERAGE(X315:AE315),"")</f>
        <v/>
      </c>
      <c r="BU315" s="56">
        <f>IF(COUNT(AF315:AM315)&gt;=7,AVERAGE(AF315:AM315),"")</f>
        <v/>
      </c>
      <c r="BV315" s="56">
        <f>IF(COUNT(AN315:AV315)&gt;=8,AVERAGE(AN315:AV315),"")</f>
        <v/>
      </c>
      <c r="BW315" s="56">
        <f>IF(COUNT(AW315:BD315)&gt;=7,AVERAGE(AW315:BD315),"")</f>
        <v/>
      </c>
      <c r="BX315" s="56">
        <f>IF(COUNT(BE315:BJ315)&gt;=5,AVERAGE(BE315:BJ315),"")</f>
        <v/>
      </c>
      <c r="BY315" s="56">
        <f>IF(COUNT(BK315:BR315)&gt;=7,AVERAGE(BK315:BR315),"")</f>
        <v/>
      </c>
    </row>
    <row r="316">
      <c r="A316" t="inlineStr">
        <is>
          <t>R285</t>
        </is>
      </c>
      <c r="B316" t="inlineStr">
        <is>
          <t>Yes</t>
        </is>
      </c>
      <c r="C316" t="inlineStr">
        <is>
          <t>Yes</t>
        </is>
      </c>
      <c r="D316" t="inlineStr">
        <is>
          <t>Male</t>
        </is>
      </c>
      <c r="E316" t="inlineStr">
        <is>
          <t>35-44</t>
        </is>
      </c>
      <c r="F316" t="inlineStr">
        <is>
          <t>Postgraduate Diploma</t>
        </is>
      </c>
      <c r="G316" t="inlineStr">
        <is>
          <t>Fintech/payment provider</t>
        </is>
      </c>
      <c r="H316" t="inlineStr">
        <is>
          <t>Digital Banking/Product</t>
        </is>
      </c>
      <c r="I316" t="inlineStr">
        <is>
          <t>2-5</t>
        </is>
      </c>
      <c r="J316" t="inlineStr">
        <is>
          <t>Yes</t>
        </is>
      </c>
      <c r="K316" t="n">
        <v>1</v>
      </c>
      <c r="L316" t="inlineStr">
        <is>
          <t>Yes</t>
        </is>
      </c>
      <c r="M316" t="inlineStr">
        <is>
          <t>Yes</t>
        </is>
      </c>
      <c r="N316" t="n">
        <v>3</v>
      </c>
      <c r="O316" t="n">
        <v>3</v>
      </c>
      <c r="P316" t="n">
        <v>3</v>
      </c>
      <c r="Q316" t="n">
        <v>2</v>
      </c>
      <c r="R316" t="n">
        <v>3</v>
      </c>
      <c r="S316" t="n">
        <v>3</v>
      </c>
      <c r="T316" t="n">
        <v>2</v>
      </c>
      <c r="U316" t="n">
        <v>3</v>
      </c>
      <c r="V316" t="n">
        <v>2</v>
      </c>
      <c r="W316" t="n">
        <v>4</v>
      </c>
      <c r="X316" t="n">
        <v>2</v>
      </c>
      <c r="Y316" t="n">
        <v>2</v>
      </c>
      <c r="Z316" t="n">
        <v>2</v>
      </c>
      <c r="AA316" t="n">
        <v>2</v>
      </c>
      <c r="AB316" t="n">
        <v>3</v>
      </c>
      <c r="AC316" t="n">
        <v>3</v>
      </c>
      <c r="AD316" t="n">
        <v>4</v>
      </c>
      <c r="AE316" t="n">
        <v>3</v>
      </c>
      <c r="AF316" t="n">
        <v>3</v>
      </c>
      <c r="AG316" t="n">
        <v>2</v>
      </c>
      <c r="AH316" t="n">
        <v>3</v>
      </c>
      <c r="AI316" t="n">
        <v>2</v>
      </c>
      <c r="AJ316" t="n">
        <v>2</v>
      </c>
      <c r="AK316" t="n">
        <v>2</v>
      </c>
      <c r="AL316" t="n">
        <v>2</v>
      </c>
      <c r="AM316" t="n">
        <v>3</v>
      </c>
      <c r="AN316" t="n">
        <v>3</v>
      </c>
      <c r="AO316" t="n">
        <v>2</v>
      </c>
      <c r="AP316" t="n">
        <v>2</v>
      </c>
      <c r="AQ316" t="n">
        <v>2</v>
      </c>
      <c r="AR316" t="n">
        <v>4</v>
      </c>
      <c r="AS316" t="n">
        <v>2</v>
      </c>
      <c r="AT316" t="n">
        <v>2</v>
      </c>
      <c r="AU316" t="n">
        <v>3</v>
      </c>
      <c r="AV316" t="n">
        <v>3</v>
      </c>
      <c r="AW316" t="n">
        <v>3</v>
      </c>
      <c r="AX316" t="n">
        <v>2</v>
      </c>
      <c r="AY316" t="n">
        <v>2</v>
      </c>
      <c r="AZ316" t="n">
        <v>3</v>
      </c>
      <c r="BA316" t="n">
        <v>2</v>
      </c>
      <c r="BB316" t="n">
        <v>2</v>
      </c>
      <c r="BC316" t="n">
        <v>3</v>
      </c>
      <c r="BD316" t="n">
        <v>3</v>
      </c>
      <c r="BE316" t="n">
        <v>3</v>
      </c>
      <c r="BF316" t="n">
        <v>2</v>
      </c>
      <c r="BG316" t="n">
        <v>4</v>
      </c>
      <c r="BH316" t="n">
        <v>3</v>
      </c>
      <c r="BI316" t="n">
        <v>2</v>
      </c>
      <c r="BJ316" t="n">
        <v>3</v>
      </c>
      <c r="BK316" t="n">
        <v>1</v>
      </c>
      <c r="BL316" t="n">
        <v>2</v>
      </c>
      <c r="BM316" t="n">
        <v>2</v>
      </c>
      <c r="BN316" t="n">
        <v>2</v>
      </c>
      <c r="BO316" t="n">
        <v>2</v>
      </c>
      <c r="BP316" t="n">
        <v>2</v>
      </c>
      <c r="BQ316" t="n">
        <v>3</v>
      </c>
      <c r="BR316" t="n">
        <v>1</v>
      </c>
      <c r="BS316" s="56">
        <f>IF(COUNT(N316:W316)&gt;=8,AVERAGE(N316:W316),"")</f>
        <v/>
      </c>
      <c r="BT316" s="56">
        <f>IF(COUNT(X316:AE316)&gt;=7,AVERAGE(X316:AE316),"")</f>
        <v/>
      </c>
      <c r="BU316" s="56">
        <f>IF(COUNT(AF316:AM316)&gt;=7,AVERAGE(AF316:AM316),"")</f>
        <v/>
      </c>
      <c r="BV316" s="56">
        <f>IF(COUNT(AN316:AV316)&gt;=8,AVERAGE(AN316:AV316),"")</f>
        <v/>
      </c>
      <c r="BW316" s="56">
        <f>IF(COUNT(AW316:BD316)&gt;=7,AVERAGE(AW316:BD316),"")</f>
        <v/>
      </c>
      <c r="BX316" s="56">
        <f>IF(COUNT(BE316:BJ316)&gt;=5,AVERAGE(BE316:BJ316),"")</f>
        <v/>
      </c>
      <c r="BY316" s="56">
        <f>IF(COUNT(BK316:BR316)&gt;=7,AVERAGE(BK316:BR316),"")</f>
        <v/>
      </c>
    </row>
    <row r="317">
      <c r="A317" t="inlineStr">
        <is>
          <t>R286</t>
        </is>
      </c>
      <c r="B317" t="inlineStr">
        <is>
          <t>Yes</t>
        </is>
      </c>
      <c r="C317" t="inlineStr">
        <is>
          <t>Yes</t>
        </is>
      </c>
      <c r="D317" t="inlineStr">
        <is>
          <t>Male</t>
        </is>
      </c>
      <c r="E317" t="inlineStr">
        <is>
          <t>25-34</t>
        </is>
      </c>
      <c r="F317" t="inlineStr">
        <is>
          <t>Bachelor/HND</t>
        </is>
      </c>
      <c r="G317" t="inlineStr">
        <is>
          <t>Digital bank/neobank</t>
        </is>
      </c>
      <c r="H317" t="inlineStr">
        <is>
          <t>Risk/Compliance</t>
        </is>
      </c>
      <c r="I317" t="inlineStr">
        <is>
          <t>6-10</t>
        </is>
      </c>
      <c r="J317" t="inlineStr">
        <is>
          <t>Yes</t>
        </is>
      </c>
      <c r="K317" t="n">
        <v>3</v>
      </c>
      <c r="L317" t="inlineStr">
        <is>
          <t>Yes</t>
        </is>
      </c>
      <c r="M317" t="inlineStr">
        <is>
          <t>Yes</t>
        </is>
      </c>
      <c r="N317" t="n">
        <v>2</v>
      </c>
      <c r="O317" t="n">
        <v>2</v>
      </c>
      <c r="P317" t="n">
        <v>2</v>
      </c>
      <c r="Q317" t="n">
        <v>2</v>
      </c>
      <c r="R317" t="n">
        <v>2</v>
      </c>
      <c r="S317" t="n">
        <v>2</v>
      </c>
      <c r="T317" t="n">
        <v>2</v>
      </c>
      <c r="U317" t="n">
        <v>2</v>
      </c>
      <c r="V317" t="n">
        <v>2</v>
      </c>
      <c r="W317" t="n">
        <v>3</v>
      </c>
      <c r="X317" t="n">
        <v>1</v>
      </c>
      <c r="Z317" t="n">
        <v>2</v>
      </c>
      <c r="AA317" t="n">
        <v>1</v>
      </c>
      <c r="AB317" t="n">
        <v>1</v>
      </c>
      <c r="AC317" t="n">
        <v>1</v>
      </c>
      <c r="AD317" t="n">
        <v>1</v>
      </c>
      <c r="AE317" t="n">
        <v>2</v>
      </c>
      <c r="AF317" t="n">
        <v>2</v>
      </c>
      <c r="AG317" t="n">
        <v>3</v>
      </c>
      <c r="AH317" t="n">
        <v>2</v>
      </c>
      <c r="AI317" t="n">
        <v>2</v>
      </c>
      <c r="AJ317" t="n">
        <v>3</v>
      </c>
      <c r="AK317" t="n">
        <v>4</v>
      </c>
      <c r="AL317" t="n">
        <v>2</v>
      </c>
      <c r="AM317" t="n">
        <v>2</v>
      </c>
      <c r="AN317" t="n">
        <v>3</v>
      </c>
      <c r="AO317" t="n">
        <v>3</v>
      </c>
      <c r="AP317" t="n">
        <v>3</v>
      </c>
      <c r="AQ317" t="n">
        <v>3</v>
      </c>
      <c r="AR317" t="n">
        <v>3</v>
      </c>
      <c r="AS317" t="n">
        <v>3</v>
      </c>
      <c r="AT317" t="n">
        <v>2</v>
      </c>
      <c r="AU317" t="n">
        <v>3</v>
      </c>
      <c r="AV317" t="n">
        <v>3</v>
      </c>
      <c r="AW317" t="n">
        <v>4</v>
      </c>
      <c r="AX317" t="n">
        <v>1</v>
      </c>
      <c r="AY317" t="n">
        <v>2</v>
      </c>
      <c r="AZ317" t="n">
        <v>2</v>
      </c>
      <c r="BA317" t="n">
        <v>3</v>
      </c>
      <c r="BB317" t="n">
        <v>3</v>
      </c>
      <c r="BC317" t="n">
        <v>3</v>
      </c>
      <c r="BD317" t="n">
        <v>2</v>
      </c>
      <c r="BE317" t="n">
        <v>4</v>
      </c>
      <c r="BF317" t="n">
        <v>4</v>
      </c>
      <c r="BG317" t="n">
        <v>3</v>
      </c>
      <c r="BH317" t="n">
        <v>5</v>
      </c>
      <c r="BI317" t="n">
        <v>4</v>
      </c>
      <c r="BJ317" t="n">
        <v>4</v>
      </c>
      <c r="BK317" t="n">
        <v>4</v>
      </c>
      <c r="BL317" t="n">
        <v>4</v>
      </c>
      <c r="BM317" t="n">
        <v>4</v>
      </c>
      <c r="BN317" t="n">
        <v>3</v>
      </c>
      <c r="BO317" t="n">
        <v>3</v>
      </c>
      <c r="BP317" t="n">
        <v>5</v>
      </c>
      <c r="BQ317" t="n">
        <v>3</v>
      </c>
      <c r="BR317" t="n">
        <v>3</v>
      </c>
      <c r="BS317" s="56">
        <f>IF(COUNT(N317:W317)&gt;=8,AVERAGE(N317:W317),"")</f>
        <v/>
      </c>
      <c r="BT317" s="56">
        <f>IF(COUNT(X317:AE317)&gt;=7,AVERAGE(X317:AE317),"")</f>
        <v/>
      </c>
      <c r="BU317" s="56">
        <f>IF(COUNT(AF317:AM317)&gt;=7,AVERAGE(AF317:AM317),"")</f>
        <v/>
      </c>
      <c r="BV317" s="56">
        <f>IF(COUNT(AN317:AV317)&gt;=8,AVERAGE(AN317:AV317),"")</f>
        <v/>
      </c>
      <c r="BW317" s="56">
        <f>IF(COUNT(AW317:BD317)&gt;=7,AVERAGE(AW317:BD317),"")</f>
        <v/>
      </c>
      <c r="BX317" s="56">
        <f>IF(COUNT(BE317:BJ317)&gt;=5,AVERAGE(BE317:BJ317),"")</f>
        <v/>
      </c>
      <c r="BY317" s="56">
        <f>IF(COUNT(BK317:BR317)&gt;=7,AVERAGE(BK317:BR317),"")</f>
        <v/>
      </c>
    </row>
    <row r="318">
      <c r="A318" t="inlineStr">
        <is>
          <t>R287</t>
        </is>
      </c>
      <c r="B318" t="inlineStr">
        <is>
          <t>Yes</t>
        </is>
      </c>
      <c r="C318" t="inlineStr">
        <is>
          <t>Yes</t>
        </is>
      </c>
      <c r="D318" t="inlineStr">
        <is>
          <t>Female</t>
        </is>
      </c>
      <c r="E318" t="inlineStr">
        <is>
          <t>55 or above</t>
        </is>
      </c>
      <c r="F318" t="inlineStr">
        <is>
          <t>Bachelor/HND</t>
        </is>
      </c>
      <c r="G318" t="inlineStr">
        <is>
          <t>Commercial bank</t>
        </is>
      </c>
      <c r="H318" t="inlineStr">
        <is>
          <t>Digital Banking/Product</t>
        </is>
      </c>
      <c r="I318" t="inlineStr">
        <is>
          <t>6-10</t>
        </is>
      </c>
      <c r="J318" t="inlineStr">
        <is>
          <t>Yes</t>
        </is>
      </c>
      <c r="K318" t="n">
        <v>3</v>
      </c>
      <c r="L318" t="inlineStr">
        <is>
          <t>Yes</t>
        </is>
      </c>
      <c r="M318" t="inlineStr">
        <is>
          <t>Yes</t>
        </is>
      </c>
      <c r="N318" t="n">
        <v>2</v>
      </c>
      <c r="O318" t="n">
        <v>2</v>
      </c>
      <c r="P318" t="n">
        <v>4</v>
      </c>
      <c r="Q318" t="n">
        <v>2</v>
      </c>
      <c r="R318" t="n">
        <v>2</v>
      </c>
      <c r="S318" t="n">
        <v>3</v>
      </c>
      <c r="T318" t="n">
        <v>3</v>
      </c>
      <c r="U318" t="n">
        <v>3</v>
      </c>
      <c r="V318" t="n">
        <v>4</v>
      </c>
      <c r="W318" t="n">
        <v>2</v>
      </c>
      <c r="X318" t="n">
        <v>4</v>
      </c>
      <c r="Y318" t="n">
        <v>3</v>
      </c>
      <c r="Z318" t="n">
        <v>3</v>
      </c>
      <c r="AB318" t="n">
        <v>3</v>
      </c>
      <c r="AC318" t="n">
        <v>4</v>
      </c>
      <c r="AD318" t="n">
        <v>3</v>
      </c>
      <c r="AE318" t="n">
        <v>3</v>
      </c>
      <c r="AF318" t="n">
        <v>3</v>
      </c>
      <c r="AG318" t="n">
        <v>3</v>
      </c>
      <c r="AH318" t="n">
        <v>3</v>
      </c>
      <c r="AI318" t="n">
        <v>4</v>
      </c>
      <c r="AJ318" t="n">
        <v>3</v>
      </c>
      <c r="AK318" t="n">
        <v>4</v>
      </c>
      <c r="AL318" t="n">
        <v>3</v>
      </c>
      <c r="AM318" t="n">
        <v>3</v>
      </c>
      <c r="AN318" t="n">
        <v>3</v>
      </c>
      <c r="AO318" t="n">
        <v>2</v>
      </c>
      <c r="AP318" t="n">
        <v>3</v>
      </c>
      <c r="AQ318" t="n">
        <v>2</v>
      </c>
      <c r="AR318" t="n">
        <v>3</v>
      </c>
      <c r="AS318" t="n">
        <v>2</v>
      </c>
      <c r="AT318" t="n">
        <v>3</v>
      </c>
      <c r="AU318" t="n">
        <v>2</v>
      </c>
      <c r="AV318" t="n">
        <v>3</v>
      </c>
      <c r="AW318" t="n">
        <v>4</v>
      </c>
      <c r="AX318" t="n">
        <v>4</v>
      </c>
      <c r="AY318" t="n">
        <v>4</v>
      </c>
      <c r="AZ318" t="n">
        <v>4</v>
      </c>
      <c r="BA318" t="n">
        <v>5</v>
      </c>
      <c r="BB318" t="n">
        <v>4</v>
      </c>
      <c r="BC318" t="n">
        <v>4</v>
      </c>
      <c r="BD318" t="n">
        <v>4</v>
      </c>
      <c r="BE318" t="n">
        <v>2</v>
      </c>
      <c r="BF318" t="n">
        <v>2</v>
      </c>
      <c r="BG318" t="n">
        <v>2</v>
      </c>
      <c r="BH318" t="n">
        <v>2</v>
      </c>
      <c r="BI318" t="n">
        <v>4</v>
      </c>
      <c r="BJ318" t="n">
        <v>2</v>
      </c>
      <c r="BK318" t="n">
        <v>3</v>
      </c>
      <c r="BL318" t="n">
        <v>2</v>
      </c>
      <c r="BM318" t="n">
        <v>4</v>
      </c>
      <c r="BN318" t="n">
        <v>3</v>
      </c>
      <c r="BO318" t="n">
        <v>2</v>
      </c>
      <c r="BP318" t="n">
        <v>3</v>
      </c>
      <c r="BQ318" t="n">
        <v>3</v>
      </c>
      <c r="BR318" t="n">
        <v>3</v>
      </c>
      <c r="BS318" s="56">
        <f>IF(COUNT(N318:W318)&gt;=8,AVERAGE(N318:W318),"")</f>
        <v/>
      </c>
      <c r="BT318" s="56">
        <f>IF(COUNT(X318:AE318)&gt;=7,AVERAGE(X318:AE318),"")</f>
        <v/>
      </c>
      <c r="BU318" s="56">
        <f>IF(COUNT(AF318:AM318)&gt;=7,AVERAGE(AF318:AM318),"")</f>
        <v/>
      </c>
      <c r="BV318" s="56">
        <f>IF(COUNT(AN318:AV318)&gt;=8,AVERAGE(AN318:AV318),"")</f>
        <v/>
      </c>
      <c r="BW318" s="56">
        <f>IF(COUNT(AW318:BD318)&gt;=7,AVERAGE(AW318:BD318),"")</f>
        <v/>
      </c>
      <c r="BX318" s="56">
        <f>IF(COUNT(BE318:BJ318)&gt;=5,AVERAGE(BE318:BJ318),"")</f>
        <v/>
      </c>
      <c r="BY318" s="56">
        <f>IF(COUNT(BK318:BR318)&gt;=7,AVERAGE(BK318:BR318),"")</f>
        <v/>
      </c>
    </row>
    <row r="319">
      <c r="A319" t="inlineStr">
        <is>
          <t>R288</t>
        </is>
      </c>
      <c r="B319" t="inlineStr">
        <is>
          <t>Yes</t>
        </is>
      </c>
      <c r="C319" t="inlineStr">
        <is>
          <t>Yes</t>
        </is>
      </c>
      <c r="D319" t="inlineStr">
        <is>
          <t>Female</t>
        </is>
      </c>
      <c r="E319" t="inlineStr">
        <is>
          <t>18-24</t>
        </is>
      </c>
      <c r="F319" t="inlineStr">
        <is>
          <t>Bachelor/HND</t>
        </is>
      </c>
      <c r="G319" t="inlineStr">
        <is>
          <t>Commercial bank</t>
        </is>
      </c>
      <c r="H319" t="inlineStr">
        <is>
          <t>Digital Banking/Product</t>
        </is>
      </c>
      <c r="I319" t="inlineStr">
        <is>
          <t>6-10</t>
        </is>
      </c>
      <c r="J319" t="inlineStr">
        <is>
          <t>Yes</t>
        </is>
      </c>
      <c r="K319" t="n">
        <v>1</v>
      </c>
      <c r="L319" t="inlineStr">
        <is>
          <t>Do not know</t>
        </is>
      </c>
      <c r="M319" t="inlineStr">
        <is>
          <t>Yes</t>
        </is>
      </c>
      <c r="N319" t="n">
        <v>4</v>
      </c>
      <c r="O319" t="n">
        <v>3</v>
      </c>
      <c r="P319" t="n">
        <v>3</v>
      </c>
      <c r="Q319" t="n">
        <v>3</v>
      </c>
      <c r="R319" t="n">
        <v>3</v>
      </c>
      <c r="S319" t="n">
        <v>4</v>
      </c>
      <c r="T319" t="n">
        <v>3</v>
      </c>
      <c r="U319" t="n">
        <v>3</v>
      </c>
      <c r="V319" t="n">
        <v>3</v>
      </c>
      <c r="W319" t="n">
        <v>3</v>
      </c>
      <c r="X319" t="n">
        <v>1</v>
      </c>
      <c r="Y319" t="n">
        <v>1</v>
      </c>
      <c r="Z319" t="n">
        <v>3</v>
      </c>
      <c r="AA319" t="n">
        <v>2</v>
      </c>
      <c r="AB319" t="n">
        <v>2</v>
      </c>
      <c r="AC319" t="n">
        <v>2</v>
      </c>
      <c r="AD319" t="n">
        <v>2</v>
      </c>
      <c r="AE319" t="n">
        <v>1</v>
      </c>
      <c r="AF319" t="n">
        <v>2</v>
      </c>
      <c r="AG319" t="n">
        <v>3</v>
      </c>
      <c r="AH319" t="n">
        <v>2</v>
      </c>
      <c r="AI319" t="n">
        <v>3</v>
      </c>
      <c r="AJ319" t="n">
        <v>3</v>
      </c>
      <c r="AK319" t="n">
        <v>4</v>
      </c>
      <c r="AL319" t="n">
        <v>3</v>
      </c>
      <c r="AM319" t="n">
        <v>2</v>
      </c>
      <c r="AN319" t="n">
        <v>1</v>
      </c>
      <c r="AO319" t="n">
        <v>2</v>
      </c>
      <c r="AP319" t="n">
        <v>1</v>
      </c>
      <c r="AQ319" t="n">
        <v>1</v>
      </c>
      <c r="AR319" t="n">
        <v>2</v>
      </c>
      <c r="AS319" t="n">
        <v>1</v>
      </c>
      <c r="AT319" t="n">
        <v>1</v>
      </c>
      <c r="AU319" t="n">
        <v>2</v>
      </c>
      <c r="AV319" t="n">
        <v>3</v>
      </c>
      <c r="AW319" t="n">
        <v>4</v>
      </c>
      <c r="AX319" t="n">
        <v>1</v>
      </c>
      <c r="AY319" t="n">
        <v>3</v>
      </c>
      <c r="AZ319" t="n">
        <v>2</v>
      </c>
      <c r="BA319" t="n">
        <v>3</v>
      </c>
      <c r="BB319" t="n">
        <v>2</v>
      </c>
      <c r="BC319" t="n">
        <v>2</v>
      </c>
      <c r="BD319" t="n">
        <v>1</v>
      </c>
      <c r="BE319" t="n">
        <v>3</v>
      </c>
      <c r="BF319" t="n">
        <v>3</v>
      </c>
      <c r="BG319" t="n">
        <v>2</v>
      </c>
      <c r="BH319" t="n">
        <v>2</v>
      </c>
      <c r="BI319" t="n">
        <v>3</v>
      </c>
      <c r="BJ319" t="n">
        <v>1</v>
      </c>
      <c r="BK319" t="n">
        <v>4</v>
      </c>
      <c r="BL319" t="n">
        <v>2</v>
      </c>
      <c r="BM319" t="n">
        <v>4</v>
      </c>
      <c r="BN319" t="n">
        <v>2</v>
      </c>
      <c r="BO319" t="n">
        <v>3</v>
      </c>
      <c r="BP319" t="n">
        <v>2</v>
      </c>
      <c r="BQ319" t="n">
        <v>3</v>
      </c>
      <c r="BR319" t="n">
        <v>4</v>
      </c>
      <c r="BS319" s="56">
        <f>IF(COUNT(N319:W319)&gt;=8,AVERAGE(N319:W319),"")</f>
        <v/>
      </c>
      <c r="BT319" s="56">
        <f>IF(COUNT(X319:AE319)&gt;=7,AVERAGE(X319:AE319),"")</f>
        <v/>
      </c>
      <c r="BU319" s="56">
        <f>IF(COUNT(AF319:AM319)&gt;=7,AVERAGE(AF319:AM319),"")</f>
        <v/>
      </c>
      <c r="BV319" s="56">
        <f>IF(COUNT(AN319:AV319)&gt;=8,AVERAGE(AN319:AV319),"")</f>
        <v/>
      </c>
      <c r="BW319" s="56">
        <f>IF(COUNT(AW319:BD319)&gt;=7,AVERAGE(AW319:BD319),"")</f>
        <v/>
      </c>
      <c r="BX319" s="56">
        <f>IF(COUNT(BE319:BJ319)&gt;=5,AVERAGE(BE319:BJ319),"")</f>
        <v/>
      </c>
      <c r="BY319" s="56">
        <f>IF(COUNT(BK319:BR319)&gt;=7,AVERAGE(BK319:BR319),"")</f>
        <v/>
      </c>
    </row>
    <row r="320">
      <c r="A320" t="inlineStr">
        <is>
          <t>R289</t>
        </is>
      </c>
      <c r="B320" t="inlineStr">
        <is>
          <t>Yes</t>
        </is>
      </c>
      <c r="C320" t="inlineStr">
        <is>
          <t>Yes</t>
        </is>
      </c>
      <c r="D320" t="inlineStr">
        <is>
          <t>Male</t>
        </is>
      </c>
      <c r="E320" t="inlineStr">
        <is>
          <t>45-54</t>
        </is>
      </c>
      <c r="F320" t="inlineStr">
        <is>
          <t>Bachelor/HND</t>
        </is>
      </c>
      <c r="G320" t="inlineStr">
        <is>
          <t>Digital bank/neobank</t>
        </is>
      </c>
      <c r="H320" t="inlineStr">
        <is>
          <t>Customer Experience/Service</t>
        </is>
      </c>
      <c r="I320" t="inlineStr">
        <is>
          <t>6-10</t>
        </is>
      </c>
      <c r="J320" t="inlineStr">
        <is>
          <t>Yes</t>
        </is>
      </c>
      <c r="K320" t="n">
        <v>4</v>
      </c>
      <c r="L320" t="inlineStr">
        <is>
          <t>No</t>
        </is>
      </c>
      <c r="M320" t="inlineStr">
        <is>
          <t>Yes</t>
        </is>
      </c>
      <c r="N320" t="n">
        <v>3</v>
      </c>
      <c r="O320" t="n">
        <v>5</v>
      </c>
      <c r="P320" t="n">
        <v>3</v>
      </c>
      <c r="Q320" t="n">
        <v>4</v>
      </c>
      <c r="R320" t="n">
        <v>4</v>
      </c>
      <c r="S320" t="n">
        <v>5</v>
      </c>
      <c r="T320" t="n">
        <v>3</v>
      </c>
      <c r="U320" t="n">
        <v>3</v>
      </c>
      <c r="V320" t="n">
        <v>4</v>
      </c>
      <c r="W320" t="n">
        <v>3</v>
      </c>
      <c r="X320" t="n">
        <v>3</v>
      </c>
      <c r="Y320" t="n">
        <v>2</v>
      </c>
      <c r="Z320" t="n">
        <v>3</v>
      </c>
      <c r="AA320" t="n">
        <v>1</v>
      </c>
      <c r="AB320" t="n">
        <v>2</v>
      </c>
      <c r="AC320" t="n">
        <v>3</v>
      </c>
      <c r="AD320" t="n">
        <v>3</v>
      </c>
      <c r="AE320" t="n">
        <v>2</v>
      </c>
      <c r="AF320" t="n">
        <v>3</v>
      </c>
      <c r="AG320" t="n">
        <v>5</v>
      </c>
      <c r="AH320" t="n">
        <v>3</v>
      </c>
      <c r="AI320" t="n">
        <v>3</v>
      </c>
      <c r="AJ320" t="n">
        <v>3</v>
      </c>
      <c r="AK320" t="n">
        <v>3</v>
      </c>
      <c r="AL320" t="n">
        <v>4</v>
      </c>
      <c r="AM320" t="n">
        <v>4</v>
      </c>
      <c r="AN320" t="n">
        <v>3</v>
      </c>
      <c r="AO320" t="n">
        <v>2</v>
      </c>
      <c r="AP320" t="n">
        <v>3</v>
      </c>
      <c r="AQ320" t="n">
        <v>2</v>
      </c>
      <c r="AR320" t="n">
        <v>4</v>
      </c>
      <c r="AS320" t="n">
        <v>3</v>
      </c>
      <c r="AT320" t="n">
        <v>4</v>
      </c>
      <c r="AU320" t="n">
        <v>2</v>
      </c>
      <c r="AV320" t="n">
        <v>3</v>
      </c>
      <c r="AW320" t="n">
        <v>2</v>
      </c>
      <c r="AX320" t="n">
        <v>4</v>
      </c>
      <c r="AY320" t="n">
        <v>3</v>
      </c>
      <c r="AZ320" t="n">
        <v>2</v>
      </c>
      <c r="BA320" t="n">
        <v>2</v>
      </c>
      <c r="BB320" t="n">
        <v>1</v>
      </c>
      <c r="BC320" t="n">
        <v>2</v>
      </c>
      <c r="BD320" t="n">
        <v>2</v>
      </c>
      <c r="BE320" t="n">
        <v>2</v>
      </c>
      <c r="BF320" t="n">
        <v>4</v>
      </c>
      <c r="BG320" t="n">
        <v>2</v>
      </c>
      <c r="BH320" t="n">
        <v>3</v>
      </c>
      <c r="BI320" t="n">
        <v>4</v>
      </c>
      <c r="BJ320" t="n">
        <v>3</v>
      </c>
      <c r="BK320" t="n">
        <v>3</v>
      </c>
      <c r="BL320" t="n">
        <v>1</v>
      </c>
      <c r="BM320" t="n">
        <v>2</v>
      </c>
      <c r="BN320" t="n">
        <v>2</v>
      </c>
      <c r="BO320" t="n">
        <v>2</v>
      </c>
      <c r="BP320" t="n">
        <v>3</v>
      </c>
      <c r="BQ320" t="n">
        <v>3</v>
      </c>
      <c r="BR320" t="n">
        <v>2</v>
      </c>
      <c r="BS320" s="56">
        <f>IF(COUNT(N320:W320)&gt;=8,AVERAGE(N320:W320),"")</f>
        <v/>
      </c>
      <c r="BT320" s="56">
        <f>IF(COUNT(X320:AE320)&gt;=7,AVERAGE(X320:AE320),"")</f>
        <v/>
      </c>
      <c r="BU320" s="56">
        <f>IF(COUNT(AF320:AM320)&gt;=7,AVERAGE(AF320:AM320),"")</f>
        <v/>
      </c>
      <c r="BV320" s="56">
        <f>IF(COUNT(AN320:AV320)&gt;=8,AVERAGE(AN320:AV320),"")</f>
        <v/>
      </c>
      <c r="BW320" s="56">
        <f>IF(COUNT(AW320:BD320)&gt;=7,AVERAGE(AW320:BD320),"")</f>
        <v/>
      </c>
      <c r="BX320" s="56">
        <f>IF(COUNT(BE320:BJ320)&gt;=5,AVERAGE(BE320:BJ320),"")</f>
        <v/>
      </c>
      <c r="BY320" s="56">
        <f>IF(COUNT(BK320:BR320)&gt;=7,AVERAGE(BK320:BR320),"")</f>
        <v/>
      </c>
    </row>
    <row r="321">
      <c r="A321" t="inlineStr">
        <is>
          <t>R290</t>
        </is>
      </c>
      <c r="B321" t="inlineStr">
        <is>
          <t>Yes</t>
        </is>
      </c>
      <c r="C321" t="inlineStr">
        <is>
          <t>Yes</t>
        </is>
      </c>
      <c r="D321" t="inlineStr">
        <is>
          <t>Male</t>
        </is>
      </c>
      <c r="E321" t="inlineStr">
        <is>
          <t>25-34</t>
        </is>
      </c>
      <c r="F321" t="inlineStr">
        <is>
          <t>Bachelor/HND</t>
        </is>
      </c>
      <c r="G321" t="inlineStr">
        <is>
          <t>Commercial bank</t>
        </is>
      </c>
      <c r="H321" t="inlineStr">
        <is>
          <t>IT/Technology</t>
        </is>
      </c>
      <c r="I321" t="inlineStr">
        <is>
          <t>6-10</t>
        </is>
      </c>
      <c r="J321" t="inlineStr">
        <is>
          <t>Yes</t>
        </is>
      </c>
      <c r="K321" t="n">
        <v>1</v>
      </c>
      <c r="L321" t="inlineStr">
        <is>
          <t>Yes</t>
        </is>
      </c>
      <c r="M321" t="inlineStr">
        <is>
          <t>Yes</t>
        </is>
      </c>
      <c r="N321" t="n">
        <v>3</v>
      </c>
      <c r="O321" t="n">
        <v>3</v>
      </c>
      <c r="P321" t="n">
        <v>3</v>
      </c>
      <c r="Q321" t="n">
        <v>1</v>
      </c>
      <c r="R321" t="n">
        <v>3</v>
      </c>
      <c r="S321" t="n">
        <v>3</v>
      </c>
      <c r="T321" t="n">
        <v>2</v>
      </c>
      <c r="U321" t="n">
        <v>3</v>
      </c>
      <c r="V321" t="n">
        <v>3</v>
      </c>
      <c r="W321" t="n">
        <v>3</v>
      </c>
      <c r="X321" t="n">
        <v>2</v>
      </c>
      <c r="Y321" t="n">
        <v>2</v>
      </c>
      <c r="Z321" t="n">
        <v>3</v>
      </c>
      <c r="AA321" t="n">
        <v>1</v>
      </c>
      <c r="AB321" t="n">
        <v>2</v>
      </c>
      <c r="AC321" t="n">
        <v>2</v>
      </c>
      <c r="AD321" t="n">
        <v>3</v>
      </c>
      <c r="AE321" t="n">
        <v>4</v>
      </c>
      <c r="AF321" t="n">
        <v>2</v>
      </c>
      <c r="AG321" t="n">
        <v>2</v>
      </c>
      <c r="AH321" t="n">
        <v>2</v>
      </c>
      <c r="AI321" t="n">
        <v>3</v>
      </c>
      <c r="AJ321" t="n">
        <v>2</v>
      </c>
      <c r="AK321" t="n">
        <v>3</v>
      </c>
      <c r="AL321" t="n">
        <v>1</v>
      </c>
      <c r="AM321" t="n">
        <v>3</v>
      </c>
      <c r="AN321" t="n">
        <v>3</v>
      </c>
      <c r="AO321" t="n">
        <v>2</v>
      </c>
      <c r="AP321" t="n">
        <v>1</v>
      </c>
      <c r="AQ321" t="n">
        <v>1</v>
      </c>
      <c r="AR321" t="n">
        <v>2</v>
      </c>
      <c r="AS321" t="n">
        <v>2</v>
      </c>
      <c r="AT321" t="n">
        <v>1</v>
      </c>
      <c r="AU321" t="n">
        <v>3</v>
      </c>
      <c r="AV321" t="n">
        <v>3</v>
      </c>
      <c r="AW321" t="n">
        <v>3</v>
      </c>
      <c r="AX321" t="n">
        <v>1</v>
      </c>
      <c r="AZ321" t="n">
        <v>1</v>
      </c>
      <c r="BA321" t="n">
        <v>2</v>
      </c>
      <c r="BB321" t="n">
        <v>1</v>
      </c>
      <c r="BC321" t="n">
        <v>2</v>
      </c>
      <c r="BD321" t="n">
        <v>2</v>
      </c>
      <c r="BE321" t="n">
        <v>2</v>
      </c>
      <c r="BF321" t="n">
        <v>3</v>
      </c>
      <c r="BG321" t="n">
        <v>2</v>
      </c>
      <c r="BH321" t="n">
        <v>2</v>
      </c>
      <c r="BI321" t="n">
        <v>2</v>
      </c>
      <c r="BJ321" t="n">
        <v>2</v>
      </c>
      <c r="BK321" t="n">
        <v>5</v>
      </c>
      <c r="BL321" t="n">
        <v>3</v>
      </c>
      <c r="BM321" t="n">
        <v>4</v>
      </c>
      <c r="BN321" t="n">
        <v>3</v>
      </c>
      <c r="BO321" t="n">
        <v>4</v>
      </c>
      <c r="BP321" t="n">
        <v>3</v>
      </c>
      <c r="BQ321" t="n">
        <v>4</v>
      </c>
      <c r="BR321" t="n">
        <v>3</v>
      </c>
      <c r="BS321" s="56">
        <f>IF(COUNT(N321:W321)&gt;=8,AVERAGE(N321:W321),"")</f>
        <v/>
      </c>
      <c r="BT321" s="56">
        <f>IF(COUNT(X321:AE321)&gt;=7,AVERAGE(X321:AE321),"")</f>
        <v/>
      </c>
      <c r="BU321" s="56">
        <f>IF(COUNT(AF321:AM321)&gt;=7,AVERAGE(AF321:AM321),"")</f>
        <v/>
      </c>
      <c r="BV321" s="56">
        <f>IF(COUNT(AN321:AV321)&gt;=8,AVERAGE(AN321:AV321),"")</f>
        <v/>
      </c>
      <c r="BW321" s="56">
        <f>IF(COUNT(AW321:BD321)&gt;=7,AVERAGE(AW321:BD321),"")</f>
        <v/>
      </c>
      <c r="BX321" s="56">
        <f>IF(COUNT(BE321:BJ321)&gt;=5,AVERAGE(BE321:BJ321),"")</f>
        <v/>
      </c>
      <c r="BY321" s="56">
        <f>IF(COUNT(BK321:BR321)&gt;=7,AVERAGE(BK321:BR321),"")</f>
        <v/>
      </c>
    </row>
    <row r="322">
      <c r="A322" t="inlineStr">
        <is>
          <t>R291</t>
        </is>
      </c>
      <c r="B322" t="inlineStr">
        <is>
          <t>Yes</t>
        </is>
      </c>
      <c r="C322" t="inlineStr">
        <is>
          <t>Yes</t>
        </is>
      </c>
      <c r="D322" t="inlineStr">
        <is>
          <t>Male</t>
        </is>
      </c>
      <c r="E322" t="inlineStr">
        <is>
          <t>18-24</t>
        </is>
      </c>
      <c r="F322" t="inlineStr">
        <is>
          <t>Diploma/OND/NCE</t>
        </is>
      </c>
      <c r="G322" t="inlineStr">
        <is>
          <t>Insurance/investment/other licensed financial institution</t>
        </is>
      </c>
      <c r="H322" t="inlineStr">
        <is>
          <t>Risk/Compliance</t>
        </is>
      </c>
      <c r="I322" t="inlineStr">
        <is>
          <t>6-10</t>
        </is>
      </c>
      <c r="J322" t="inlineStr">
        <is>
          <t>Yes</t>
        </is>
      </c>
      <c r="K322" t="n">
        <v>1</v>
      </c>
      <c r="L322" t="inlineStr">
        <is>
          <t>No</t>
        </is>
      </c>
      <c r="M322" t="inlineStr">
        <is>
          <t>Yes</t>
        </is>
      </c>
      <c r="N322" t="n">
        <v>2</v>
      </c>
      <c r="O322" t="n">
        <v>2</v>
      </c>
      <c r="P322" t="n">
        <v>4</v>
      </c>
      <c r="Q322" t="n">
        <v>3</v>
      </c>
      <c r="R322" t="n">
        <v>2</v>
      </c>
      <c r="S322" t="n">
        <v>3</v>
      </c>
      <c r="U322" t="n">
        <v>4</v>
      </c>
      <c r="V322" t="n">
        <v>2</v>
      </c>
      <c r="W322" t="n">
        <v>3</v>
      </c>
      <c r="X322" t="n">
        <v>3</v>
      </c>
      <c r="Y322" t="n">
        <v>4</v>
      </c>
      <c r="Z322" t="n">
        <v>4</v>
      </c>
      <c r="AA322" t="n">
        <v>3</v>
      </c>
      <c r="AB322" t="n">
        <v>3</v>
      </c>
      <c r="AC322" t="n">
        <v>3</v>
      </c>
      <c r="AD322" t="n">
        <v>4</v>
      </c>
      <c r="AE322" t="n">
        <v>2</v>
      </c>
      <c r="AF322" t="n">
        <v>2</v>
      </c>
      <c r="AG322" t="n">
        <v>3</v>
      </c>
      <c r="AH322" t="n">
        <v>1</v>
      </c>
      <c r="AI322" t="n">
        <v>3</v>
      </c>
      <c r="AJ322" t="n">
        <v>2</v>
      </c>
      <c r="AK322" t="n">
        <v>2</v>
      </c>
      <c r="AL322" t="n">
        <v>3</v>
      </c>
      <c r="AM322" t="n">
        <v>2</v>
      </c>
      <c r="AN322" t="n">
        <v>2</v>
      </c>
      <c r="AO322" t="n">
        <v>1</v>
      </c>
      <c r="AP322" t="n">
        <v>3</v>
      </c>
      <c r="AQ322" t="n">
        <v>2</v>
      </c>
      <c r="AR322" t="n">
        <v>3</v>
      </c>
      <c r="AS322" t="n">
        <v>2</v>
      </c>
      <c r="AT322" t="n">
        <v>3</v>
      </c>
      <c r="AU322" t="n">
        <v>3</v>
      </c>
      <c r="AV322" t="n">
        <v>3</v>
      </c>
      <c r="AW322" t="n">
        <v>3</v>
      </c>
      <c r="AX322" t="n">
        <v>3</v>
      </c>
      <c r="AY322" t="n">
        <v>3</v>
      </c>
      <c r="AZ322" t="n">
        <v>3</v>
      </c>
      <c r="BA322" t="n">
        <v>3</v>
      </c>
      <c r="BB322" t="n">
        <v>3</v>
      </c>
      <c r="BC322" t="n">
        <v>1</v>
      </c>
      <c r="BD322" t="n">
        <v>2</v>
      </c>
      <c r="BE322" t="n">
        <v>3</v>
      </c>
      <c r="BF322" t="n">
        <v>3</v>
      </c>
      <c r="BG322" t="n">
        <v>3</v>
      </c>
      <c r="BH322" t="n">
        <v>3</v>
      </c>
      <c r="BI322" t="n">
        <v>1</v>
      </c>
      <c r="BJ322" t="n">
        <v>2</v>
      </c>
      <c r="BK322" t="n">
        <v>3</v>
      </c>
      <c r="BL322" t="n">
        <v>4</v>
      </c>
      <c r="BM322" t="n">
        <v>2</v>
      </c>
      <c r="BN322" t="n">
        <v>3</v>
      </c>
      <c r="BO322" t="n">
        <v>2</v>
      </c>
      <c r="BP322" t="n">
        <v>4</v>
      </c>
      <c r="BQ322" t="n">
        <v>3</v>
      </c>
      <c r="BR322" t="n">
        <v>2</v>
      </c>
      <c r="BS322" s="56">
        <f>IF(COUNT(N322:W322)&gt;=8,AVERAGE(N322:W322),"")</f>
        <v/>
      </c>
      <c r="BT322" s="56">
        <f>IF(COUNT(X322:AE322)&gt;=7,AVERAGE(X322:AE322),"")</f>
        <v/>
      </c>
      <c r="BU322" s="56">
        <f>IF(COUNT(AF322:AM322)&gt;=7,AVERAGE(AF322:AM322),"")</f>
        <v/>
      </c>
      <c r="BV322" s="56">
        <f>IF(COUNT(AN322:AV322)&gt;=8,AVERAGE(AN322:AV322),"")</f>
        <v/>
      </c>
      <c r="BW322" s="56">
        <f>IF(COUNT(AW322:BD322)&gt;=7,AVERAGE(AW322:BD322),"")</f>
        <v/>
      </c>
      <c r="BX322" s="56">
        <f>IF(COUNT(BE322:BJ322)&gt;=5,AVERAGE(BE322:BJ322),"")</f>
        <v/>
      </c>
      <c r="BY322" s="56">
        <f>IF(COUNT(BK322:BR322)&gt;=7,AVERAGE(BK322:BR322),"")</f>
        <v/>
      </c>
    </row>
    <row r="323">
      <c r="A323" t="inlineStr">
        <is>
          <t>R292</t>
        </is>
      </c>
      <c r="B323" t="inlineStr">
        <is>
          <t>Yes</t>
        </is>
      </c>
      <c r="C323" t="inlineStr">
        <is>
          <t>Yes</t>
        </is>
      </c>
      <c r="D323" t="inlineStr">
        <is>
          <t>Female</t>
        </is>
      </c>
      <c r="E323" t="inlineStr">
        <is>
          <t>45-54</t>
        </is>
      </c>
      <c r="F323" t="inlineStr">
        <is>
          <t>Master's</t>
        </is>
      </c>
      <c r="G323" t="inlineStr">
        <is>
          <t>Digital bank/neobank</t>
        </is>
      </c>
      <c r="H323" t="inlineStr">
        <is>
          <t>Relationship/Marketing</t>
        </is>
      </c>
      <c r="I323" t="inlineStr">
        <is>
          <t>16 or more</t>
        </is>
      </c>
      <c r="J323" t="inlineStr">
        <is>
          <t>Yes</t>
        </is>
      </c>
      <c r="K323" t="n">
        <v>3</v>
      </c>
      <c r="L323" t="inlineStr">
        <is>
          <t>Yes</t>
        </is>
      </c>
      <c r="M323" t="inlineStr">
        <is>
          <t>Yes</t>
        </is>
      </c>
      <c r="N323" t="n">
        <v>4</v>
      </c>
      <c r="O323" t="n">
        <v>4</v>
      </c>
      <c r="P323" t="n">
        <v>5</v>
      </c>
      <c r="Q323" t="n">
        <v>3</v>
      </c>
      <c r="R323" t="n">
        <v>4</v>
      </c>
      <c r="S323" t="n">
        <v>4</v>
      </c>
      <c r="T323" t="n">
        <v>3</v>
      </c>
      <c r="U323" t="n">
        <v>3</v>
      </c>
      <c r="V323" t="n">
        <v>4</v>
      </c>
      <c r="W323" t="n">
        <v>3</v>
      </c>
      <c r="X323" t="n">
        <v>2</v>
      </c>
      <c r="Y323" t="n">
        <v>3</v>
      </c>
      <c r="Z323" t="n">
        <v>3</v>
      </c>
      <c r="AA323" t="n">
        <v>2</v>
      </c>
      <c r="AB323" t="n">
        <v>2</v>
      </c>
      <c r="AC323" t="n">
        <v>3</v>
      </c>
      <c r="AD323" t="n">
        <v>2</v>
      </c>
      <c r="AE323" t="n">
        <v>3</v>
      </c>
      <c r="AF323" t="n">
        <v>2</v>
      </c>
      <c r="AG323" t="n">
        <v>4</v>
      </c>
      <c r="AH323" t="n">
        <v>3</v>
      </c>
      <c r="AI323" t="n">
        <v>3</v>
      </c>
      <c r="AJ323" t="n">
        <v>2</v>
      </c>
      <c r="AK323" t="n">
        <v>3</v>
      </c>
      <c r="AL323" t="n">
        <v>3</v>
      </c>
      <c r="AM323" t="n">
        <v>3</v>
      </c>
      <c r="AN323" t="n">
        <v>5</v>
      </c>
      <c r="AO323" t="n">
        <v>4</v>
      </c>
      <c r="AP323" t="n">
        <v>5</v>
      </c>
      <c r="AQ323" t="n">
        <v>4</v>
      </c>
      <c r="AR323" t="n">
        <v>3</v>
      </c>
      <c r="AS323" t="n">
        <v>5</v>
      </c>
      <c r="AT323" t="n">
        <v>5</v>
      </c>
      <c r="AU323" t="n">
        <v>4</v>
      </c>
      <c r="AV323" t="n">
        <v>5</v>
      </c>
      <c r="AX323" t="n">
        <v>3</v>
      </c>
      <c r="AY323" t="n">
        <v>3</v>
      </c>
      <c r="AZ323" t="n">
        <v>3</v>
      </c>
      <c r="BA323" t="n">
        <v>4</v>
      </c>
      <c r="BB323" t="n">
        <v>2</v>
      </c>
      <c r="BC323" t="n">
        <v>2</v>
      </c>
      <c r="BD323" t="n">
        <v>3</v>
      </c>
      <c r="BE323" t="n">
        <v>3</v>
      </c>
      <c r="BF323" t="n">
        <v>2</v>
      </c>
      <c r="BG323" t="n">
        <v>3</v>
      </c>
      <c r="BH323" t="n">
        <v>5</v>
      </c>
      <c r="BI323" t="n">
        <v>2</v>
      </c>
      <c r="BJ323" t="n">
        <v>3</v>
      </c>
      <c r="BK323" t="n">
        <v>4</v>
      </c>
      <c r="BL323" t="n">
        <v>2</v>
      </c>
      <c r="BM323" t="n">
        <v>4</v>
      </c>
      <c r="BN323" t="n">
        <v>3</v>
      </c>
      <c r="BP323" t="n">
        <v>3</v>
      </c>
      <c r="BQ323" t="n">
        <v>4</v>
      </c>
      <c r="BR323" t="n">
        <v>4</v>
      </c>
      <c r="BS323" s="56">
        <f>IF(COUNT(N323:W323)&gt;=8,AVERAGE(N323:W323),"")</f>
        <v/>
      </c>
      <c r="BT323" s="56">
        <f>IF(COUNT(X323:AE323)&gt;=7,AVERAGE(X323:AE323),"")</f>
        <v/>
      </c>
      <c r="BU323" s="56">
        <f>IF(COUNT(AF323:AM323)&gt;=7,AVERAGE(AF323:AM323),"")</f>
        <v/>
      </c>
      <c r="BV323" s="56">
        <f>IF(COUNT(AN323:AV323)&gt;=8,AVERAGE(AN323:AV323),"")</f>
        <v/>
      </c>
      <c r="BW323" s="56">
        <f>IF(COUNT(AW323:BD323)&gt;=7,AVERAGE(AW323:BD323),"")</f>
        <v/>
      </c>
      <c r="BX323" s="56">
        <f>IF(COUNT(BE323:BJ323)&gt;=5,AVERAGE(BE323:BJ323),"")</f>
        <v/>
      </c>
      <c r="BY323" s="56">
        <f>IF(COUNT(BK323:BR323)&gt;=7,AVERAGE(BK323:BR323),"")</f>
        <v/>
      </c>
    </row>
    <row r="324">
      <c r="A324" t="inlineStr">
        <is>
          <t>R293</t>
        </is>
      </c>
      <c r="B324" t="inlineStr">
        <is>
          <t>Yes</t>
        </is>
      </c>
      <c r="C324" t="inlineStr">
        <is>
          <t>Yes</t>
        </is>
      </c>
      <c r="D324" t="inlineStr">
        <is>
          <t>Female</t>
        </is>
      </c>
      <c r="E324" t="inlineStr">
        <is>
          <t>25-34</t>
        </is>
      </c>
      <c r="F324" t="inlineStr">
        <is>
          <t>Postgraduate Diploma</t>
        </is>
      </c>
      <c r="G324" t="inlineStr">
        <is>
          <t>Fintech/payment provider</t>
        </is>
      </c>
      <c r="H324" t="inlineStr">
        <is>
          <t>Other</t>
        </is>
      </c>
      <c r="I324" t="inlineStr">
        <is>
          <t>16 or more</t>
        </is>
      </c>
      <c r="J324" t="inlineStr">
        <is>
          <t>Yes</t>
        </is>
      </c>
      <c r="K324" t="n">
        <v>2</v>
      </c>
      <c r="L324" t="inlineStr">
        <is>
          <t>Yes</t>
        </is>
      </c>
      <c r="M324" t="inlineStr">
        <is>
          <t>Yes</t>
        </is>
      </c>
      <c r="N324" t="n">
        <v>2</v>
      </c>
      <c r="P324" t="n">
        <v>3</v>
      </c>
      <c r="Q324" t="n">
        <v>2</v>
      </c>
      <c r="R324" t="n">
        <v>2</v>
      </c>
      <c r="S324" t="n">
        <v>3</v>
      </c>
      <c r="T324" t="n">
        <v>2</v>
      </c>
      <c r="U324" t="n">
        <v>2</v>
      </c>
      <c r="V324" t="n">
        <v>2</v>
      </c>
      <c r="W324" t="n">
        <v>2</v>
      </c>
      <c r="X324" t="n">
        <v>3</v>
      </c>
      <c r="Y324" t="n">
        <v>2</v>
      </c>
      <c r="Z324" t="n">
        <v>3</v>
      </c>
      <c r="AA324" t="n">
        <v>3</v>
      </c>
      <c r="AB324" t="n">
        <v>3</v>
      </c>
      <c r="AC324" t="n">
        <v>2</v>
      </c>
      <c r="AD324" t="n">
        <v>3</v>
      </c>
      <c r="AE324" t="n">
        <v>3</v>
      </c>
      <c r="AF324" t="n">
        <v>2</v>
      </c>
      <c r="AG324" t="n">
        <v>2</v>
      </c>
      <c r="AH324" t="n">
        <v>2</v>
      </c>
      <c r="AI324" t="n">
        <v>2</v>
      </c>
      <c r="AJ324" t="n">
        <v>3</v>
      </c>
      <c r="AK324" t="n">
        <v>3</v>
      </c>
      <c r="AL324" t="n">
        <v>4</v>
      </c>
      <c r="AM324" t="n">
        <v>3</v>
      </c>
      <c r="AN324" t="n">
        <v>3</v>
      </c>
      <c r="AO324" t="n">
        <v>3</v>
      </c>
      <c r="AP324" t="n">
        <v>3</v>
      </c>
      <c r="AQ324" t="n">
        <v>2</v>
      </c>
      <c r="AR324" t="n">
        <v>3</v>
      </c>
      <c r="AS324" t="n">
        <v>4</v>
      </c>
      <c r="AT324" t="n">
        <v>3</v>
      </c>
      <c r="AU324" t="n">
        <v>3</v>
      </c>
      <c r="AV324" t="n">
        <v>3</v>
      </c>
      <c r="AW324" t="n">
        <v>3</v>
      </c>
      <c r="AX324" t="n">
        <v>4</v>
      </c>
      <c r="AY324" t="n">
        <v>3</v>
      </c>
      <c r="AZ324" t="n">
        <v>2</v>
      </c>
      <c r="BA324" t="n">
        <v>4</v>
      </c>
      <c r="BB324" t="n">
        <v>3</v>
      </c>
      <c r="BC324" t="n">
        <v>3</v>
      </c>
      <c r="BD324" t="n">
        <v>2</v>
      </c>
      <c r="BE324" t="n">
        <v>2</v>
      </c>
      <c r="BF324" t="n">
        <v>4</v>
      </c>
      <c r="BG324" t="n">
        <v>4</v>
      </c>
      <c r="BH324" t="n">
        <v>3</v>
      </c>
      <c r="BI324" t="n">
        <v>4</v>
      </c>
      <c r="BJ324" t="n">
        <v>2</v>
      </c>
      <c r="BK324" t="n">
        <v>3</v>
      </c>
      <c r="BL324" t="n">
        <v>2</v>
      </c>
      <c r="BM324" t="n">
        <v>3</v>
      </c>
      <c r="BN324" t="n">
        <v>3</v>
      </c>
      <c r="BO324" t="n">
        <v>3</v>
      </c>
      <c r="BP324" t="n">
        <v>2</v>
      </c>
      <c r="BQ324" t="n">
        <v>3</v>
      </c>
      <c r="BR324" t="n">
        <v>3</v>
      </c>
      <c r="BS324" s="56">
        <f>IF(COUNT(N324:W324)&gt;=8,AVERAGE(N324:W324),"")</f>
        <v/>
      </c>
      <c r="BT324" s="56">
        <f>IF(COUNT(X324:AE324)&gt;=7,AVERAGE(X324:AE324),"")</f>
        <v/>
      </c>
      <c r="BU324" s="56">
        <f>IF(COUNT(AF324:AM324)&gt;=7,AVERAGE(AF324:AM324),"")</f>
        <v/>
      </c>
      <c r="BV324" s="56">
        <f>IF(COUNT(AN324:AV324)&gt;=8,AVERAGE(AN324:AV324),"")</f>
        <v/>
      </c>
      <c r="BW324" s="56">
        <f>IF(COUNT(AW324:BD324)&gt;=7,AVERAGE(AW324:BD324),"")</f>
        <v/>
      </c>
      <c r="BX324" s="56">
        <f>IF(COUNT(BE324:BJ324)&gt;=5,AVERAGE(BE324:BJ324),"")</f>
        <v/>
      </c>
      <c r="BY324" s="56">
        <f>IF(COUNT(BK324:BR324)&gt;=7,AVERAGE(BK324:BR324),"")</f>
        <v/>
      </c>
    </row>
    <row r="325">
      <c r="A325" t="inlineStr">
        <is>
          <t>R294</t>
        </is>
      </c>
      <c r="B325" t="inlineStr">
        <is>
          <t>Yes</t>
        </is>
      </c>
      <c r="C325" t="inlineStr">
        <is>
          <t>Yes</t>
        </is>
      </c>
      <c r="D325" t="inlineStr">
        <is>
          <t>Male</t>
        </is>
      </c>
      <c r="E325" t="inlineStr">
        <is>
          <t>35-44</t>
        </is>
      </c>
      <c r="F325" t="inlineStr">
        <is>
          <t>Diploma/OND/NCE</t>
        </is>
      </c>
      <c r="G325" t="inlineStr">
        <is>
          <t>Commercial bank</t>
        </is>
      </c>
      <c r="H325" t="inlineStr">
        <is>
          <t>Digital Banking/Product</t>
        </is>
      </c>
      <c r="I325" t="inlineStr">
        <is>
          <t>6-10</t>
        </is>
      </c>
      <c r="J325" t="inlineStr">
        <is>
          <t>Yes</t>
        </is>
      </c>
      <c r="K325" t="n">
        <v>3</v>
      </c>
      <c r="L325" t="inlineStr">
        <is>
          <t>No</t>
        </is>
      </c>
      <c r="M325" t="inlineStr">
        <is>
          <t>Yes</t>
        </is>
      </c>
      <c r="N325" t="n">
        <v>3</v>
      </c>
      <c r="O325" t="n">
        <v>2</v>
      </c>
      <c r="P325" t="n">
        <v>4</v>
      </c>
      <c r="Q325" t="n">
        <v>3</v>
      </c>
      <c r="R325" t="n">
        <v>2</v>
      </c>
      <c r="S325" t="n">
        <v>4</v>
      </c>
      <c r="T325" t="n">
        <v>2</v>
      </c>
      <c r="U325" t="n">
        <v>3</v>
      </c>
      <c r="V325" t="n">
        <v>3</v>
      </c>
      <c r="W325" t="n">
        <v>2</v>
      </c>
      <c r="X325" t="n">
        <v>3</v>
      </c>
      <c r="Y325" t="n">
        <v>2</v>
      </c>
      <c r="Z325" t="n">
        <v>3</v>
      </c>
      <c r="AA325" t="n">
        <v>2</v>
      </c>
      <c r="AB325" t="n">
        <v>2</v>
      </c>
      <c r="AC325" t="n">
        <v>3</v>
      </c>
      <c r="AD325" t="n">
        <v>3</v>
      </c>
      <c r="AE325" t="n">
        <v>3</v>
      </c>
      <c r="AF325" t="n">
        <v>1</v>
      </c>
      <c r="AG325" t="n">
        <v>2</v>
      </c>
      <c r="AH325" t="n">
        <v>2</v>
      </c>
      <c r="AI325" t="n">
        <v>1</v>
      </c>
      <c r="AJ325" t="n">
        <v>1</v>
      </c>
      <c r="AK325" t="n">
        <v>3</v>
      </c>
      <c r="AL325" t="n">
        <v>2</v>
      </c>
      <c r="AM325" t="n">
        <v>2</v>
      </c>
      <c r="AN325" t="n">
        <v>4</v>
      </c>
      <c r="AO325" t="n">
        <v>3</v>
      </c>
      <c r="AP325" t="n">
        <v>2</v>
      </c>
      <c r="AQ325" t="n">
        <v>1</v>
      </c>
      <c r="AR325" t="n">
        <v>3</v>
      </c>
      <c r="AS325" t="n">
        <v>3</v>
      </c>
      <c r="AT325" t="n">
        <v>3</v>
      </c>
      <c r="AU325" t="n">
        <v>2</v>
      </c>
      <c r="AV325" t="n">
        <v>3</v>
      </c>
      <c r="AW325" t="n">
        <v>2</v>
      </c>
      <c r="AX325" t="n">
        <v>2</v>
      </c>
      <c r="AY325" t="n">
        <v>2</v>
      </c>
      <c r="AZ325" t="n">
        <v>3</v>
      </c>
      <c r="BA325" t="n">
        <v>2</v>
      </c>
      <c r="BB325" t="n">
        <v>3</v>
      </c>
      <c r="BC325" t="n">
        <v>3</v>
      </c>
      <c r="BD325" t="n">
        <v>3</v>
      </c>
      <c r="BE325" t="n">
        <v>3</v>
      </c>
      <c r="BF325" t="n">
        <v>3</v>
      </c>
      <c r="BG325" t="n">
        <v>3</v>
      </c>
      <c r="BH325" t="n">
        <v>4</v>
      </c>
      <c r="BI325" t="n">
        <v>3</v>
      </c>
      <c r="BJ325" t="n">
        <v>4</v>
      </c>
      <c r="BK325" t="n">
        <v>3</v>
      </c>
      <c r="BL325" t="n">
        <v>3</v>
      </c>
      <c r="BM325" t="n">
        <v>4</v>
      </c>
      <c r="BN325" t="n">
        <v>4</v>
      </c>
      <c r="BO325" t="n">
        <v>3</v>
      </c>
      <c r="BP325" t="n">
        <v>2</v>
      </c>
      <c r="BQ325" t="n">
        <v>5</v>
      </c>
      <c r="BR325" t="n">
        <v>4</v>
      </c>
      <c r="BS325" s="56">
        <f>IF(COUNT(N325:W325)&gt;=8,AVERAGE(N325:W325),"")</f>
        <v/>
      </c>
      <c r="BT325" s="56">
        <f>IF(COUNT(X325:AE325)&gt;=7,AVERAGE(X325:AE325),"")</f>
        <v/>
      </c>
      <c r="BU325" s="56">
        <f>IF(COUNT(AF325:AM325)&gt;=7,AVERAGE(AF325:AM325),"")</f>
        <v/>
      </c>
      <c r="BV325" s="56">
        <f>IF(COUNT(AN325:AV325)&gt;=8,AVERAGE(AN325:AV325),"")</f>
        <v/>
      </c>
      <c r="BW325" s="56">
        <f>IF(COUNT(AW325:BD325)&gt;=7,AVERAGE(AW325:BD325),"")</f>
        <v/>
      </c>
      <c r="BX325" s="56">
        <f>IF(COUNT(BE325:BJ325)&gt;=5,AVERAGE(BE325:BJ325),"")</f>
        <v/>
      </c>
      <c r="BY325" s="56">
        <f>IF(COUNT(BK325:BR325)&gt;=7,AVERAGE(BK325:BR325),"")</f>
        <v/>
      </c>
    </row>
    <row r="326">
      <c r="A326" t="inlineStr">
        <is>
          <t>R295</t>
        </is>
      </c>
      <c r="B326" t="inlineStr">
        <is>
          <t>Yes</t>
        </is>
      </c>
      <c r="C326" t="inlineStr">
        <is>
          <t>Yes</t>
        </is>
      </c>
      <c r="D326" t="inlineStr">
        <is>
          <t>Female</t>
        </is>
      </c>
      <c r="E326" t="inlineStr">
        <is>
          <t>55 or above</t>
        </is>
      </c>
      <c r="F326" t="inlineStr">
        <is>
          <t>Bachelor/HND</t>
        </is>
      </c>
      <c r="G326" t="inlineStr">
        <is>
          <t>Microfinance bank</t>
        </is>
      </c>
      <c r="H326" t="inlineStr">
        <is>
          <t>Relationship/Marketing</t>
        </is>
      </c>
      <c r="I326" t="inlineStr">
        <is>
          <t>11-15</t>
        </is>
      </c>
      <c r="J326" t="inlineStr">
        <is>
          <t>Yes</t>
        </is>
      </c>
      <c r="K326" t="n">
        <v>0</v>
      </c>
      <c r="L326" t="inlineStr">
        <is>
          <t>No</t>
        </is>
      </c>
      <c r="M326" t="inlineStr">
        <is>
          <t>Yes</t>
        </is>
      </c>
      <c r="N326" t="n">
        <v>4</v>
      </c>
      <c r="O326" t="n">
        <v>3</v>
      </c>
      <c r="P326" t="n">
        <v>3</v>
      </c>
      <c r="Q326" t="n">
        <v>3</v>
      </c>
      <c r="R326" t="n">
        <v>5</v>
      </c>
      <c r="S326" t="n">
        <v>4</v>
      </c>
      <c r="T326" t="n">
        <v>4</v>
      </c>
      <c r="U326" t="n">
        <v>4</v>
      </c>
      <c r="V326" t="n">
        <v>3</v>
      </c>
      <c r="W326" t="n">
        <v>3</v>
      </c>
      <c r="X326" t="n">
        <v>2</v>
      </c>
      <c r="Y326" t="n">
        <v>3</v>
      </c>
      <c r="Z326" t="n">
        <v>3</v>
      </c>
      <c r="AA326" t="n">
        <v>2</v>
      </c>
      <c r="AB326" t="n">
        <v>1</v>
      </c>
      <c r="AC326" t="n">
        <v>2</v>
      </c>
      <c r="AD326" t="n">
        <v>2</v>
      </c>
      <c r="AE326" t="n">
        <v>2</v>
      </c>
      <c r="AF326" t="n">
        <v>2</v>
      </c>
      <c r="AG326" t="n">
        <v>3</v>
      </c>
      <c r="AH326" t="n">
        <v>3</v>
      </c>
      <c r="AI326" t="n">
        <v>3</v>
      </c>
      <c r="AJ326" t="n">
        <v>2</v>
      </c>
      <c r="AK326" t="n">
        <v>3</v>
      </c>
      <c r="AL326" t="n">
        <v>2</v>
      </c>
      <c r="AM326" t="n">
        <v>2</v>
      </c>
      <c r="AN326" t="n">
        <v>2</v>
      </c>
      <c r="AO326" t="n">
        <v>1</v>
      </c>
      <c r="AP326" t="n">
        <v>2</v>
      </c>
      <c r="AQ326" t="n">
        <v>2</v>
      </c>
      <c r="AR326" t="n">
        <v>2</v>
      </c>
      <c r="AS326" t="n">
        <v>2</v>
      </c>
      <c r="AT326" t="n">
        <v>2</v>
      </c>
      <c r="AU326" t="n">
        <v>2</v>
      </c>
      <c r="AV326" t="n">
        <v>1</v>
      </c>
      <c r="AW326" t="n">
        <v>3</v>
      </c>
      <c r="AX326" t="n">
        <v>4</v>
      </c>
      <c r="AY326" t="n">
        <v>4</v>
      </c>
      <c r="AZ326" t="n">
        <v>3</v>
      </c>
      <c r="BA326" t="n">
        <v>4</v>
      </c>
      <c r="BB326" t="n">
        <v>3</v>
      </c>
      <c r="BC326" t="n">
        <v>4</v>
      </c>
      <c r="BD326" t="n">
        <v>2</v>
      </c>
      <c r="BE326" t="n">
        <v>3</v>
      </c>
      <c r="BF326" t="n">
        <v>3</v>
      </c>
      <c r="BG326" t="n">
        <v>2</v>
      </c>
      <c r="BH326" t="n">
        <v>2</v>
      </c>
      <c r="BI326" t="n">
        <v>2</v>
      </c>
      <c r="BJ326" t="n">
        <v>2</v>
      </c>
      <c r="BK326" t="n">
        <v>3</v>
      </c>
      <c r="BL326" t="n">
        <v>3</v>
      </c>
      <c r="BM326" t="n">
        <v>4</v>
      </c>
      <c r="BN326" t="n">
        <v>3</v>
      </c>
      <c r="BO326" t="n">
        <v>2</v>
      </c>
      <c r="BP326" t="n">
        <v>3</v>
      </c>
      <c r="BQ326" t="n">
        <v>3</v>
      </c>
      <c r="BR326" t="n">
        <v>3</v>
      </c>
      <c r="BS326" s="56">
        <f>IF(COUNT(N326:W326)&gt;=8,AVERAGE(N326:W326),"")</f>
        <v/>
      </c>
      <c r="BT326" s="56">
        <f>IF(COUNT(X326:AE326)&gt;=7,AVERAGE(X326:AE326),"")</f>
        <v/>
      </c>
      <c r="BU326" s="56">
        <f>IF(COUNT(AF326:AM326)&gt;=7,AVERAGE(AF326:AM326),"")</f>
        <v/>
      </c>
      <c r="BV326" s="56">
        <f>IF(COUNT(AN326:AV326)&gt;=8,AVERAGE(AN326:AV326),"")</f>
        <v/>
      </c>
      <c r="BW326" s="56">
        <f>IF(COUNT(AW326:BD326)&gt;=7,AVERAGE(AW326:BD326),"")</f>
        <v/>
      </c>
      <c r="BX326" s="56">
        <f>IF(COUNT(BE326:BJ326)&gt;=5,AVERAGE(BE326:BJ326),"")</f>
        <v/>
      </c>
      <c r="BY326" s="56">
        <f>IF(COUNT(BK326:BR326)&gt;=7,AVERAGE(BK326:BR326),"")</f>
        <v/>
      </c>
    </row>
    <row r="327">
      <c r="A327" t="inlineStr">
        <is>
          <t>R296</t>
        </is>
      </c>
      <c r="B327" t="inlineStr">
        <is>
          <t>Yes</t>
        </is>
      </c>
      <c r="C327" t="inlineStr">
        <is>
          <t>Yes</t>
        </is>
      </c>
      <c r="D327" t="inlineStr">
        <is>
          <t>Female</t>
        </is>
      </c>
      <c r="E327" t="inlineStr">
        <is>
          <t>25-34</t>
        </is>
      </c>
      <c r="F327" t="inlineStr">
        <is>
          <t>Diploma/OND/NCE</t>
        </is>
      </c>
      <c r="G327" t="inlineStr">
        <is>
          <t>Commercial bank</t>
        </is>
      </c>
      <c r="H327" t="inlineStr">
        <is>
          <t>Data/Analytics/AI</t>
        </is>
      </c>
      <c r="I327" t="inlineStr">
        <is>
          <t>2-5</t>
        </is>
      </c>
      <c r="J327" t="inlineStr">
        <is>
          <t>Yes</t>
        </is>
      </c>
      <c r="K327" t="n">
        <v>1</v>
      </c>
      <c r="L327" t="inlineStr">
        <is>
          <t>No</t>
        </is>
      </c>
      <c r="M327" t="inlineStr">
        <is>
          <t>Yes</t>
        </is>
      </c>
      <c r="N327" t="n">
        <v>2</v>
      </c>
      <c r="O327" t="n">
        <v>3</v>
      </c>
      <c r="P327" t="n">
        <v>3</v>
      </c>
      <c r="Q327" t="n">
        <v>4</v>
      </c>
      <c r="R327" t="n">
        <v>2</v>
      </c>
      <c r="S327" t="n">
        <v>4</v>
      </c>
      <c r="T327" t="n">
        <v>2</v>
      </c>
      <c r="U327" t="n">
        <v>3</v>
      </c>
      <c r="V327" t="n">
        <v>3</v>
      </c>
      <c r="W327" t="n">
        <v>3</v>
      </c>
      <c r="X327" t="n">
        <v>3</v>
      </c>
      <c r="Y327" t="n">
        <v>2</v>
      </c>
      <c r="Z327" t="n">
        <v>3</v>
      </c>
      <c r="AA327" t="n">
        <v>3</v>
      </c>
      <c r="AB327" t="n">
        <v>2</v>
      </c>
      <c r="AC327" t="n">
        <v>3</v>
      </c>
      <c r="AE327" t="n">
        <v>2</v>
      </c>
      <c r="AF327" t="n">
        <v>3</v>
      </c>
      <c r="AH327" t="n">
        <v>3</v>
      </c>
      <c r="AI327" t="n">
        <v>4</v>
      </c>
      <c r="AJ327" t="n">
        <v>2</v>
      </c>
      <c r="AK327" t="n">
        <v>3</v>
      </c>
      <c r="AL327" t="n">
        <v>4</v>
      </c>
      <c r="AM327" t="n">
        <v>3</v>
      </c>
      <c r="AN327" t="n">
        <v>4</v>
      </c>
      <c r="AO327" t="n">
        <v>4</v>
      </c>
      <c r="AP327" t="n">
        <v>3</v>
      </c>
      <c r="AQ327" t="n">
        <v>4</v>
      </c>
      <c r="AR327" t="n">
        <v>4</v>
      </c>
      <c r="AS327" t="n">
        <v>5</v>
      </c>
      <c r="AT327" t="n">
        <v>4</v>
      </c>
      <c r="AU327" t="n">
        <v>5</v>
      </c>
      <c r="AV327" t="n">
        <v>4</v>
      </c>
      <c r="AW327" t="n">
        <v>3</v>
      </c>
      <c r="AX327" t="n">
        <v>2</v>
      </c>
      <c r="AY327" t="n">
        <v>4</v>
      </c>
      <c r="AZ327" t="n">
        <v>3</v>
      </c>
      <c r="BA327" t="n">
        <v>3</v>
      </c>
      <c r="BB327" t="n">
        <v>3</v>
      </c>
      <c r="BC327" t="n">
        <v>3</v>
      </c>
      <c r="BD327" t="n">
        <v>3</v>
      </c>
      <c r="BE327" t="n">
        <v>2</v>
      </c>
      <c r="BF327" t="n">
        <v>3</v>
      </c>
      <c r="BG327" t="n">
        <v>2</v>
      </c>
      <c r="BH327" t="n">
        <v>3</v>
      </c>
      <c r="BI327" t="n">
        <v>2</v>
      </c>
      <c r="BJ327" t="n">
        <v>3</v>
      </c>
      <c r="BK327" t="n">
        <v>2</v>
      </c>
      <c r="BL327" t="n">
        <v>2</v>
      </c>
      <c r="BM327" t="n">
        <v>3</v>
      </c>
      <c r="BN327" t="n">
        <v>2</v>
      </c>
      <c r="BO327" t="n">
        <v>3</v>
      </c>
      <c r="BP327" t="n">
        <v>3</v>
      </c>
      <c r="BQ327" t="n">
        <v>3</v>
      </c>
      <c r="BR327" t="n">
        <v>2</v>
      </c>
      <c r="BS327" s="56">
        <f>IF(COUNT(N327:W327)&gt;=8,AVERAGE(N327:W327),"")</f>
        <v/>
      </c>
      <c r="BT327" s="56">
        <f>IF(COUNT(X327:AE327)&gt;=7,AVERAGE(X327:AE327),"")</f>
        <v/>
      </c>
      <c r="BU327" s="56">
        <f>IF(COUNT(AF327:AM327)&gt;=7,AVERAGE(AF327:AM327),"")</f>
        <v/>
      </c>
      <c r="BV327" s="56">
        <f>IF(COUNT(AN327:AV327)&gt;=8,AVERAGE(AN327:AV327),"")</f>
        <v/>
      </c>
      <c r="BW327" s="56">
        <f>IF(COUNT(AW327:BD327)&gt;=7,AVERAGE(AW327:BD327),"")</f>
        <v/>
      </c>
      <c r="BX327" s="56">
        <f>IF(COUNT(BE327:BJ327)&gt;=5,AVERAGE(BE327:BJ327),"")</f>
        <v/>
      </c>
      <c r="BY327" s="56">
        <f>IF(COUNT(BK327:BR327)&gt;=7,AVERAGE(BK327:BR327),"")</f>
        <v/>
      </c>
    </row>
    <row r="328">
      <c r="A328" t="inlineStr">
        <is>
          <t>R297</t>
        </is>
      </c>
      <c r="B328" t="inlineStr">
        <is>
          <t>Yes</t>
        </is>
      </c>
      <c r="C328" t="inlineStr">
        <is>
          <t>Yes</t>
        </is>
      </c>
      <c r="D328" t="inlineStr">
        <is>
          <t>Male</t>
        </is>
      </c>
      <c r="E328" t="inlineStr">
        <is>
          <t>25-34</t>
        </is>
      </c>
      <c r="F328" t="inlineStr">
        <is>
          <t>Bachelor/HND</t>
        </is>
      </c>
      <c r="G328" t="inlineStr">
        <is>
          <t>Fintech/payment provider</t>
        </is>
      </c>
      <c r="H328" t="inlineStr">
        <is>
          <t>Risk/Compliance</t>
        </is>
      </c>
      <c r="I328" t="inlineStr">
        <is>
          <t>2-5</t>
        </is>
      </c>
      <c r="J328" t="inlineStr">
        <is>
          <t>Yes</t>
        </is>
      </c>
      <c r="K328" t="n">
        <v>1</v>
      </c>
      <c r="L328" t="inlineStr">
        <is>
          <t>Yes</t>
        </is>
      </c>
      <c r="M328" t="inlineStr">
        <is>
          <t>Yes</t>
        </is>
      </c>
      <c r="N328" t="n">
        <v>3</v>
      </c>
      <c r="O328" t="n">
        <v>3</v>
      </c>
      <c r="P328" t="n">
        <v>4</v>
      </c>
      <c r="Q328" t="n">
        <v>2</v>
      </c>
      <c r="R328" t="n">
        <v>1</v>
      </c>
      <c r="S328" t="n">
        <v>2</v>
      </c>
      <c r="T328" t="n">
        <v>2</v>
      </c>
      <c r="V328" t="n">
        <v>3</v>
      </c>
      <c r="W328" t="n">
        <v>2</v>
      </c>
      <c r="X328" t="n">
        <v>4</v>
      </c>
      <c r="Y328" t="n">
        <v>3</v>
      </c>
      <c r="Z328" t="n">
        <v>4</v>
      </c>
      <c r="AA328" t="n">
        <v>2</v>
      </c>
      <c r="AB328" t="n">
        <v>4</v>
      </c>
      <c r="AC328" t="n">
        <v>3</v>
      </c>
      <c r="AD328" t="n">
        <v>4</v>
      </c>
      <c r="AE328" t="n">
        <v>3</v>
      </c>
      <c r="AF328" t="n">
        <v>4</v>
      </c>
      <c r="AG328" t="n">
        <v>4</v>
      </c>
      <c r="AH328" t="n">
        <v>4</v>
      </c>
      <c r="AI328" t="n">
        <v>3</v>
      </c>
      <c r="AJ328" t="n">
        <v>4</v>
      </c>
      <c r="AK328" t="n">
        <v>4</v>
      </c>
      <c r="AL328" t="n">
        <v>4</v>
      </c>
      <c r="AM328" t="n">
        <v>3</v>
      </c>
      <c r="AN328" t="n">
        <v>3</v>
      </c>
      <c r="AO328" t="n">
        <v>2</v>
      </c>
      <c r="AP328" t="n">
        <v>4</v>
      </c>
      <c r="AQ328" t="n">
        <v>3</v>
      </c>
      <c r="AR328" t="n">
        <v>4</v>
      </c>
      <c r="AS328" t="n">
        <v>3</v>
      </c>
      <c r="AT328" t="n">
        <v>3</v>
      </c>
      <c r="AU328" t="n">
        <v>3</v>
      </c>
      <c r="AV328" t="n">
        <v>3</v>
      </c>
      <c r="AW328" t="n">
        <v>4</v>
      </c>
      <c r="AX328" t="n">
        <v>3</v>
      </c>
      <c r="AY328" t="n">
        <v>3</v>
      </c>
      <c r="AZ328" t="n">
        <v>2</v>
      </c>
      <c r="BA328" t="n">
        <v>3</v>
      </c>
      <c r="BB328" t="n">
        <v>4</v>
      </c>
      <c r="BC328" t="n">
        <v>2</v>
      </c>
      <c r="BD328" t="n">
        <v>3</v>
      </c>
      <c r="BE328" t="n">
        <v>3</v>
      </c>
      <c r="BF328" t="n">
        <v>4</v>
      </c>
      <c r="BG328" t="n">
        <v>3</v>
      </c>
      <c r="BH328" t="n">
        <v>4</v>
      </c>
      <c r="BI328" t="n">
        <v>5</v>
      </c>
      <c r="BJ328" t="n">
        <v>3</v>
      </c>
      <c r="BK328" t="n">
        <v>3</v>
      </c>
      <c r="BL328" t="n">
        <v>2</v>
      </c>
      <c r="BM328" t="n">
        <v>4</v>
      </c>
      <c r="BN328" t="n">
        <v>3</v>
      </c>
      <c r="BO328" t="n">
        <v>3</v>
      </c>
      <c r="BP328" t="n">
        <v>2</v>
      </c>
      <c r="BQ328" t="n">
        <v>3</v>
      </c>
      <c r="BR328" t="n">
        <v>2</v>
      </c>
      <c r="BS328" s="56">
        <f>IF(COUNT(N328:W328)&gt;=8,AVERAGE(N328:W328),"")</f>
        <v/>
      </c>
      <c r="BT328" s="56">
        <f>IF(COUNT(X328:AE328)&gt;=7,AVERAGE(X328:AE328),"")</f>
        <v/>
      </c>
      <c r="BU328" s="56">
        <f>IF(COUNT(AF328:AM328)&gt;=7,AVERAGE(AF328:AM328),"")</f>
        <v/>
      </c>
      <c r="BV328" s="56">
        <f>IF(COUNT(AN328:AV328)&gt;=8,AVERAGE(AN328:AV328),"")</f>
        <v/>
      </c>
      <c r="BW328" s="56">
        <f>IF(COUNT(AW328:BD328)&gt;=7,AVERAGE(AW328:BD328),"")</f>
        <v/>
      </c>
      <c r="BX328" s="56">
        <f>IF(COUNT(BE328:BJ328)&gt;=5,AVERAGE(BE328:BJ328),"")</f>
        <v/>
      </c>
      <c r="BY328" s="56">
        <f>IF(COUNT(BK328:BR328)&gt;=7,AVERAGE(BK328:BR328),"")</f>
        <v/>
      </c>
    </row>
    <row r="329">
      <c r="A329" t="inlineStr">
        <is>
          <t>R298</t>
        </is>
      </c>
      <c r="B329" t="inlineStr">
        <is>
          <t>Yes</t>
        </is>
      </c>
      <c r="C329" t="inlineStr">
        <is>
          <t>Yes</t>
        </is>
      </c>
      <c r="D329" t="inlineStr">
        <is>
          <t>Male</t>
        </is>
      </c>
      <c r="E329" t="inlineStr">
        <is>
          <t>35-44</t>
        </is>
      </c>
      <c r="F329" t="inlineStr">
        <is>
          <t>Bachelor/HND</t>
        </is>
      </c>
      <c r="G329" t="inlineStr">
        <is>
          <t>Commercial bank</t>
        </is>
      </c>
      <c r="H329" t="inlineStr">
        <is>
          <t>IT/Technology</t>
        </is>
      </c>
      <c r="I329" t="inlineStr">
        <is>
          <t>6-10</t>
        </is>
      </c>
      <c r="J329" t="inlineStr">
        <is>
          <t>Yes</t>
        </is>
      </c>
      <c r="K329" t="n">
        <v>2</v>
      </c>
      <c r="L329" t="inlineStr">
        <is>
          <t>Yes</t>
        </is>
      </c>
      <c r="M329" t="inlineStr">
        <is>
          <t>Yes</t>
        </is>
      </c>
      <c r="N329" t="n">
        <v>3</v>
      </c>
      <c r="O329" t="n">
        <v>3</v>
      </c>
      <c r="P329" t="n">
        <v>2</v>
      </c>
      <c r="Q329" t="n">
        <v>2</v>
      </c>
      <c r="R329" t="n">
        <v>3</v>
      </c>
      <c r="S329" t="n">
        <v>2</v>
      </c>
      <c r="T329" t="n">
        <v>2</v>
      </c>
      <c r="U329" t="n">
        <v>3</v>
      </c>
      <c r="V329" t="n">
        <v>3</v>
      </c>
      <c r="W329" t="n">
        <v>2</v>
      </c>
      <c r="X329" t="n">
        <v>3</v>
      </c>
      <c r="Y329" t="n">
        <v>2</v>
      </c>
      <c r="Z329" t="n">
        <v>3</v>
      </c>
      <c r="AA329" t="n">
        <v>4</v>
      </c>
      <c r="AB329" t="n">
        <v>3</v>
      </c>
      <c r="AC329" t="n">
        <v>4</v>
      </c>
      <c r="AD329" t="n">
        <v>4</v>
      </c>
      <c r="AE329" t="n">
        <v>3</v>
      </c>
      <c r="AF329" t="n">
        <v>4</v>
      </c>
      <c r="AG329" t="n">
        <v>3</v>
      </c>
      <c r="AH329" t="n">
        <v>3</v>
      </c>
      <c r="AI329" t="n">
        <v>3</v>
      </c>
      <c r="AJ329" t="n">
        <v>3</v>
      </c>
      <c r="AK329" t="n">
        <v>5</v>
      </c>
      <c r="AL329" t="n">
        <v>3</v>
      </c>
      <c r="AM329" t="n">
        <v>2</v>
      </c>
      <c r="AN329" t="n">
        <v>3</v>
      </c>
      <c r="AO329" t="n">
        <v>4</v>
      </c>
      <c r="AP329" t="n">
        <v>4</v>
      </c>
      <c r="AQ329" t="n">
        <v>3</v>
      </c>
      <c r="AR329" t="n">
        <v>4</v>
      </c>
      <c r="AS329" t="n">
        <v>3</v>
      </c>
      <c r="AT329" t="n">
        <v>3</v>
      </c>
      <c r="AU329" t="n">
        <v>4</v>
      </c>
      <c r="AV329" t="n">
        <v>2</v>
      </c>
      <c r="AW329" t="n">
        <v>3</v>
      </c>
      <c r="AX329" t="n">
        <v>2</v>
      </c>
      <c r="AY329" t="n">
        <v>4</v>
      </c>
      <c r="AZ329" t="n">
        <v>3</v>
      </c>
      <c r="BA329" t="n">
        <v>3</v>
      </c>
      <c r="BB329" t="n">
        <v>3</v>
      </c>
      <c r="BC329" t="n">
        <v>3</v>
      </c>
      <c r="BD329" t="n">
        <v>3</v>
      </c>
      <c r="BE329" t="n">
        <v>2</v>
      </c>
      <c r="BF329" t="n">
        <v>3</v>
      </c>
      <c r="BG329" t="n">
        <v>2</v>
      </c>
      <c r="BH329" t="n">
        <v>3</v>
      </c>
      <c r="BI329" t="n">
        <v>2</v>
      </c>
      <c r="BJ329" t="n">
        <v>3</v>
      </c>
      <c r="BK329" t="n">
        <v>4</v>
      </c>
      <c r="BL329" t="n">
        <v>3</v>
      </c>
      <c r="BM329" t="n">
        <v>4</v>
      </c>
      <c r="BN329" t="n">
        <v>3</v>
      </c>
      <c r="BO329" t="n">
        <v>3</v>
      </c>
      <c r="BP329" t="n">
        <v>3</v>
      </c>
      <c r="BQ329" t="n">
        <v>5</v>
      </c>
      <c r="BR329" t="n">
        <v>3</v>
      </c>
      <c r="BS329" s="56">
        <f>IF(COUNT(N329:W329)&gt;=8,AVERAGE(N329:W329),"")</f>
        <v/>
      </c>
      <c r="BT329" s="56">
        <f>IF(COUNT(X329:AE329)&gt;=7,AVERAGE(X329:AE329),"")</f>
        <v/>
      </c>
      <c r="BU329" s="56">
        <f>IF(COUNT(AF329:AM329)&gt;=7,AVERAGE(AF329:AM329),"")</f>
        <v/>
      </c>
      <c r="BV329" s="56">
        <f>IF(COUNT(AN329:AV329)&gt;=8,AVERAGE(AN329:AV329),"")</f>
        <v/>
      </c>
      <c r="BW329" s="56">
        <f>IF(COUNT(AW329:BD329)&gt;=7,AVERAGE(AW329:BD329),"")</f>
        <v/>
      </c>
      <c r="BX329" s="56">
        <f>IF(COUNT(BE329:BJ329)&gt;=5,AVERAGE(BE329:BJ329),"")</f>
        <v/>
      </c>
      <c r="BY329" s="56">
        <f>IF(COUNT(BK329:BR329)&gt;=7,AVERAGE(BK329:BR329),"")</f>
        <v/>
      </c>
    </row>
    <row r="330">
      <c r="A330" t="inlineStr">
        <is>
          <t>R299</t>
        </is>
      </c>
      <c r="B330" t="inlineStr">
        <is>
          <t>Yes</t>
        </is>
      </c>
      <c r="C330" t="inlineStr">
        <is>
          <t>Yes</t>
        </is>
      </c>
      <c r="D330" t="inlineStr">
        <is>
          <t>Male</t>
        </is>
      </c>
      <c r="E330" t="inlineStr">
        <is>
          <t>25-34</t>
        </is>
      </c>
      <c r="F330" t="inlineStr">
        <is>
          <t>Bachelor/HND</t>
        </is>
      </c>
      <c r="G330" t="inlineStr">
        <is>
          <t>Commercial bank</t>
        </is>
      </c>
      <c r="H330" t="inlineStr">
        <is>
          <t>Digital Banking/Product</t>
        </is>
      </c>
      <c r="I330" t="inlineStr">
        <is>
          <t>Less than 2</t>
        </is>
      </c>
      <c r="J330" t="inlineStr">
        <is>
          <t>Yes</t>
        </is>
      </c>
      <c r="K330" t="n">
        <v>3</v>
      </c>
      <c r="L330" t="inlineStr">
        <is>
          <t>Do not know</t>
        </is>
      </c>
      <c r="M330" t="inlineStr">
        <is>
          <t>Yes</t>
        </is>
      </c>
      <c r="N330" t="n">
        <v>3</v>
      </c>
      <c r="O330" t="n">
        <v>3</v>
      </c>
      <c r="P330" t="n">
        <v>3</v>
      </c>
      <c r="Q330" t="n">
        <v>2</v>
      </c>
      <c r="R330" t="n">
        <v>2</v>
      </c>
      <c r="S330" t="n">
        <v>3</v>
      </c>
      <c r="T330" t="n">
        <v>3</v>
      </c>
      <c r="U330" t="n">
        <v>2</v>
      </c>
      <c r="V330" t="n">
        <v>4</v>
      </c>
      <c r="W330" t="n">
        <v>3</v>
      </c>
      <c r="X330" t="n">
        <v>3</v>
      </c>
      <c r="Y330" t="n">
        <v>3</v>
      </c>
      <c r="Z330" t="n">
        <v>4</v>
      </c>
      <c r="AA330" t="n">
        <v>3</v>
      </c>
      <c r="AB330" t="n">
        <v>4</v>
      </c>
      <c r="AC330" t="n">
        <v>4</v>
      </c>
      <c r="AD330" t="n">
        <v>4</v>
      </c>
      <c r="AE330" t="n">
        <v>4</v>
      </c>
      <c r="AF330" t="n">
        <v>3</v>
      </c>
      <c r="AG330" t="n">
        <v>5</v>
      </c>
      <c r="AH330" t="n">
        <v>3</v>
      </c>
      <c r="AI330" t="n">
        <v>5</v>
      </c>
      <c r="AJ330" t="n">
        <v>3</v>
      </c>
      <c r="AK330" t="n">
        <v>4</v>
      </c>
      <c r="AL330" t="n">
        <v>5</v>
      </c>
      <c r="AM330" t="n">
        <v>4</v>
      </c>
      <c r="AN330" t="n">
        <v>4</v>
      </c>
      <c r="AO330" t="n">
        <v>4</v>
      </c>
      <c r="AP330" t="n">
        <v>4</v>
      </c>
      <c r="AQ330" t="n">
        <v>2</v>
      </c>
      <c r="AR330" t="n">
        <v>3</v>
      </c>
      <c r="AS330" t="n">
        <v>3</v>
      </c>
      <c r="AT330" t="n">
        <v>4</v>
      </c>
      <c r="AU330" t="n">
        <v>4</v>
      </c>
      <c r="AV330" t="n">
        <v>4</v>
      </c>
      <c r="AW330" t="n">
        <v>4</v>
      </c>
      <c r="AX330" t="n">
        <v>2</v>
      </c>
      <c r="AY330" t="n">
        <v>5</v>
      </c>
      <c r="AZ330" t="n">
        <v>3</v>
      </c>
      <c r="BA330" t="n">
        <v>4</v>
      </c>
      <c r="BB330" t="n">
        <v>3</v>
      </c>
      <c r="BC330" t="n">
        <v>3</v>
      </c>
      <c r="BD330" t="n">
        <v>4</v>
      </c>
      <c r="BE330" t="n">
        <v>3</v>
      </c>
      <c r="BG330" t="n">
        <v>1</v>
      </c>
      <c r="BH330" t="n">
        <v>4</v>
      </c>
      <c r="BI330" t="n">
        <v>3</v>
      </c>
      <c r="BJ330" t="n">
        <v>3</v>
      </c>
      <c r="BK330" t="n">
        <v>4</v>
      </c>
      <c r="BL330" t="n">
        <v>3</v>
      </c>
      <c r="BM330" t="n">
        <v>5</v>
      </c>
      <c r="BN330" t="n">
        <v>4</v>
      </c>
      <c r="BO330" t="n">
        <v>5</v>
      </c>
      <c r="BP330" t="n">
        <v>5</v>
      </c>
      <c r="BQ330" t="n">
        <v>5</v>
      </c>
      <c r="BR330" t="n">
        <v>4</v>
      </c>
      <c r="BS330" s="56">
        <f>IF(COUNT(N330:W330)&gt;=8,AVERAGE(N330:W330),"")</f>
        <v/>
      </c>
      <c r="BT330" s="56">
        <f>IF(COUNT(X330:AE330)&gt;=7,AVERAGE(X330:AE330),"")</f>
        <v/>
      </c>
      <c r="BU330" s="56">
        <f>IF(COUNT(AF330:AM330)&gt;=7,AVERAGE(AF330:AM330),"")</f>
        <v/>
      </c>
      <c r="BV330" s="56">
        <f>IF(COUNT(AN330:AV330)&gt;=8,AVERAGE(AN330:AV330),"")</f>
        <v/>
      </c>
      <c r="BW330" s="56">
        <f>IF(COUNT(AW330:BD330)&gt;=7,AVERAGE(AW330:BD330),"")</f>
        <v/>
      </c>
      <c r="BX330" s="56">
        <f>IF(COUNT(BE330:BJ330)&gt;=5,AVERAGE(BE330:BJ330),"")</f>
        <v/>
      </c>
      <c r="BY330" s="56">
        <f>IF(COUNT(BK330:BR330)&gt;=7,AVERAGE(BK330:BR330),"")</f>
        <v/>
      </c>
    </row>
    <row r="331">
      <c r="A331" t="inlineStr">
        <is>
          <t>R300</t>
        </is>
      </c>
      <c r="B331" t="inlineStr">
        <is>
          <t>Yes</t>
        </is>
      </c>
      <c r="C331" t="inlineStr">
        <is>
          <t>Yes</t>
        </is>
      </c>
      <c r="D331" t="inlineStr">
        <is>
          <t>Male</t>
        </is>
      </c>
      <c r="E331" t="inlineStr">
        <is>
          <t>35-44</t>
        </is>
      </c>
      <c r="F331" t="inlineStr">
        <is>
          <t>Bachelor/HND</t>
        </is>
      </c>
      <c r="G331" t="inlineStr">
        <is>
          <t>Fintech/payment provider</t>
        </is>
      </c>
      <c r="H331" t="inlineStr">
        <is>
          <t>Digital Banking/Product</t>
        </is>
      </c>
      <c r="I331" t="inlineStr">
        <is>
          <t>Less than 2</t>
        </is>
      </c>
      <c r="J331" t="inlineStr">
        <is>
          <t>Yes</t>
        </is>
      </c>
      <c r="K331" t="n">
        <v>1</v>
      </c>
      <c r="L331" t="inlineStr">
        <is>
          <t>Yes</t>
        </is>
      </c>
      <c r="M331" t="inlineStr">
        <is>
          <t>Yes</t>
        </is>
      </c>
      <c r="N331" t="n">
        <v>4</v>
      </c>
      <c r="O331" t="n">
        <v>4</v>
      </c>
      <c r="P331" t="n">
        <v>4</v>
      </c>
      <c r="Q331" t="n">
        <v>2</v>
      </c>
      <c r="R331" t="n">
        <v>4</v>
      </c>
      <c r="S331" t="n">
        <v>4</v>
      </c>
      <c r="T331" t="n">
        <v>3</v>
      </c>
      <c r="U331" t="n">
        <v>4</v>
      </c>
      <c r="V331" t="n">
        <v>5</v>
      </c>
      <c r="W331" t="n">
        <v>4</v>
      </c>
      <c r="X331" t="n">
        <v>2</v>
      </c>
      <c r="Y331" t="n">
        <v>3</v>
      </c>
      <c r="Z331" t="n">
        <v>3</v>
      </c>
      <c r="AA331" t="n">
        <v>3</v>
      </c>
      <c r="AB331" t="n">
        <v>3</v>
      </c>
      <c r="AC331" t="n">
        <v>3</v>
      </c>
      <c r="AD331" t="n">
        <v>3</v>
      </c>
      <c r="AE331" t="n">
        <v>2</v>
      </c>
      <c r="AF331" t="n">
        <v>1</v>
      </c>
      <c r="AG331" t="n">
        <v>3</v>
      </c>
      <c r="AH331" t="n">
        <v>2</v>
      </c>
      <c r="AI331" t="n">
        <v>3</v>
      </c>
      <c r="AJ331" t="n">
        <v>3</v>
      </c>
      <c r="AK331" t="n">
        <v>3</v>
      </c>
      <c r="AL331" t="n">
        <v>3</v>
      </c>
      <c r="AM331" t="n">
        <v>2</v>
      </c>
      <c r="AN331" t="n">
        <v>5</v>
      </c>
      <c r="AO331" t="n">
        <v>4</v>
      </c>
      <c r="AP331" t="n">
        <v>4</v>
      </c>
      <c r="AQ331" t="n">
        <v>3</v>
      </c>
      <c r="AR331" t="n">
        <v>5</v>
      </c>
      <c r="AS331" t="n">
        <v>4</v>
      </c>
      <c r="AT331" t="n">
        <v>5</v>
      </c>
      <c r="AU331" t="n">
        <v>4</v>
      </c>
      <c r="AV331" t="n">
        <v>4</v>
      </c>
      <c r="AW331" t="n">
        <v>1</v>
      </c>
      <c r="AX331" t="n">
        <v>2</v>
      </c>
      <c r="AY331" t="n">
        <v>3</v>
      </c>
      <c r="AZ331" t="n">
        <v>2</v>
      </c>
      <c r="BA331" t="n">
        <v>3</v>
      </c>
      <c r="BB331" t="n">
        <v>3</v>
      </c>
      <c r="BC331" t="n">
        <v>2</v>
      </c>
      <c r="BD331" t="n">
        <v>2</v>
      </c>
      <c r="BE331" t="n">
        <v>3</v>
      </c>
      <c r="BF331" t="n">
        <v>3</v>
      </c>
      <c r="BG331" t="n">
        <v>2</v>
      </c>
      <c r="BH331" t="n">
        <v>3</v>
      </c>
      <c r="BI331" t="n">
        <v>2</v>
      </c>
      <c r="BJ331" t="n">
        <v>2</v>
      </c>
      <c r="BK331" t="n">
        <v>4</v>
      </c>
      <c r="BL331" t="n">
        <v>3</v>
      </c>
      <c r="BM331" t="n">
        <v>4</v>
      </c>
      <c r="BN331" t="n">
        <v>4</v>
      </c>
      <c r="BO331" t="n">
        <v>4</v>
      </c>
      <c r="BP331" t="n">
        <v>3</v>
      </c>
      <c r="BQ331" t="n">
        <v>5</v>
      </c>
      <c r="BR331" t="n">
        <v>3</v>
      </c>
      <c r="BS331" s="56">
        <f>IF(COUNT(N331:W331)&gt;=8,AVERAGE(N331:W331),"")</f>
        <v/>
      </c>
      <c r="BT331" s="56">
        <f>IF(COUNT(X331:AE331)&gt;=7,AVERAGE(X331:AE331),"")</f>
        <v/>
      </c>
      <c r="BU331" s="56">
        <f>IF(COUNT(AF331:AM331)&gt;=7,AVERAGE(AF331:AM331),"")</f>
        <v/>
      </c>
      <c r="BV331" s="56">
        <f>IF(COUNT(AN331:AV331)&gt;=8,AVERAGE(AN331:AV331),"")</f>
        <v/>
      </c>
      <c r="BW331" s="56">
        <f>IF(COUNT(AW331:BD331)&gt;=7,AVERAGE(AW331:BD331),"")</f>
        <v/>
      </c>
      <c r="BX331" s="56">
        <f>IF(COUNT(BE331:BJ331)&gt;=5,AVERAGE(BE331:BJ331),"")</f>
        <v/>
      </c>
      <c r="BY331" s="56">
        <f>IF(COUNT(BK331:BR331)&gt;=7,AVERAGE(BK331:BR331),"")</f>
        <v/>
      </c>
    </row>
    <row r="332">
      <c r="A332" t="inlineStr">
        <is>
          <t>R301</t>
        </is>
      </c>
      <c r="B332" t="inlineStr">
        <is>
          <t>Yes</t>
        </is>
      </c>
      <c r="C332" t="inlineStr">
        <is>
          <t>Yes</t>
        </is>
      </c>
      <c r="D332" t="inlineStr">
        <is>
          <t>Male</t>
        </is>
      </c>
      <c r="E332" t="inlineStr">
        <is>
          <t>25-34</t>
        </is>
      </c>
      <c r="F332" t="inlineStr">
        <is>
          <t>Bachelor/HND</t>
        </is>
      </c>
      <c r="G332" t="inlineStr">
        <is>
          <t>Commercial bank</t>
        </is>
      </c>
      <c r="H332" t="inlineStr">
        <is>
          <t>Data/Analytics/AI</t>
        </is>
      </c>
      <c r="I332" t="inlineStr">
        <is>
          <t>6-10</t>
        </is>
      </c>
      <c r="J332" t="inlineStr">
        <is>
          <t>Yes</t>
        </is>
      </c>
      <c r="K332" t="n">
        <v>0</v>
      </c>
      <c r="L332" t="inlineStr">
        <is>
          <t>Yes</t>
        </is>
      </c>
      <c r="M332" t="inlineStr">
        <is>
          <t>Yes</t>
        </is>
      </c>
      <c r="N332" t="n">
        <v>3</v>
      </c>
      <c r="O332" t="n">
        <v>3</v>
      </c>
      <c r="P332" t="n">
        <v>2</v>
      </c>
      <c r="Q332" t="n">
        <v>3</v>
      </c>
      <c r="R332" t="n">
        <v>3</v>
      </c>
      <c r="S332" t="n">
        <v>3</v>
      </c>
      <c r="T332" t="n">
        <v>2</v>
      </c>
      <c r="U332" t="n">
        <v>3</v>
      </c>
      <c r="V332" t="n">
        <v>4</v>
      </c>
      <c r="W332" t="n">
        <v>3</v>
      </c>
      <c r="X332" t="n">
        <v>3</v>
      </c>
      <c r="Y332" t="n">
        <v>3</v>
      </c>
      <c r="Z332" t="n">
        <v>4</v>
      </c>
      <c r="AA332" t="n">
        <v>2</v>
      </c>
      <c r="AB332" t="n">
        <v>3</v>
      </c>
      <c r="AC332" t="n">
        <v>3</v>
      </c>
      <c r="AD332" t="n">
        <v>3</v>
      </c>
      <c r="AE332" t="n">
        <v>2</v>
      </c>
      <c r="AF332" t="n">
        <v>3</v>
      </c>
      <c r="AG332" t="n">
        <v>3</v>
      </c>
      <c r="AH332" t="n">
        <v>3</v>
      </c>
      <c r="AI332" t="n">
        <v>4</v>
      </c>
      <c r="AJ332" t="n">
        <v>3</v>
      </c>
      <c r="AK332" t="n">
        <v>4</v>
      </c>
      <c r="AL332" t="n">
        <v>3</v>
      </c>
      <c r="AM332" t="n">
        <v>3</v>
      </c>
      <c r="AN332" t="n">
        <v>4</v>
      </c>
      <c r="AO332" t="n">
        <v>4</v>
      </c>
      <c r="AP332" t="n">
        <v>4</v>
      </c>
      <c r="AQ332" t="n">
        <v>3</v>
      </c>
      <c r="AR332" t="n">
        <v>4</v>
      </c>
      <c r="AS332" t="n">
        <v>4</v>
      </c>
      <c r="AT332" t="n">
        <v>5</v>
      </c>
      <c r="AU332" t="n">
        <v>4</v>
      </c>
      <c r="AV332" t="n">
        <v>4</v>
      </c>
      <c r="AW332" t="n">
        <v>4</v>
      </c>
      <c r="AX332" t="n">
        <v>3</v>
      </c>
      <c r="AY332" t="n">
        <v>4</v>
      </c>
      <c r="AZ332" t="n">
        <v>3</v>
      </c>
      <c r="BA332" t="n">
        <v>4</v>
      </c>
      <c r="BC332" t="n">
        <v>4</v>
      </c>
      <c r="BD332" t="n">
        <v>3</v>
      </c>
      <c r="BE332" t="n">
        <v>2</v>
      </c>
      <c r="BG332" t="n">
        <v>3</v>
      </c>
      <c r="BH332" t="n">
        <v>4</v>
      </c>
      <c r="BI332" t="n">
        <v>3</v>
      </c>
      <c r="BJ332" t="n">
        <v>2</v>
      </c>
      <c r="BK332" t="n">
        <v>2</v>
      </c>
      <c r="BL332" t="n">
        <v>1</v>
      </c>
      <c r="BM332" t="n">
        <v>2</v>
      </c>
      <c r="BN332" t="n">
        <v>2</v>
      </c>
      <c r="BO332" t="n">
        <v>2</v>
      </c>
      <c r="BP332" t="n">
        <v>1</v>
      </c>
      <c r="BQ332" t="n">
        <v>2</v>
      </c>
      <c r="BR332" t="n">
        <v>1</v>
      </c>
      <c r="BS332" s="56">
        <f>IF(COUNT(N332:W332)&gt;=8,AVERAGE(N332:W332),"")</f>
        <v/>
      </c>
      <c r="BT332" s="56">
        <f>IF(COUNT(X332:AE332)&gt;=7,AVERAGE(X332:AE332),"")</f>
        <v/>
      </c>
      <c r="BU332" s="56">
        <f>IF(COUNT(AF332:AM332)&gt;=7,AVERAGE(AF332:AM332),"")</f>
        <v/>
      </c>
      <c r="BV332" s="56">
        <f>IF(COUNT(AN332:AV332)&gt;=8,AVERAGE(AN332:AV332),"")</f>
        <v/>
      </c>
      <c r="BW332" s="56">
        <f>IF(COUNT(AW332:BD332)&gt;=7,AVERAGE(AW332:BD332),"")</f>
        <v/>
      </c>
      <c r="BX332" s="56">
        <f>IF(COUNT(BE332:BJ332)&gt;=5,AVERAGE(BE332:BJ332),"")</f>
        <v/>
      </c>
      <c r="BY332" s="56">
        <f>IF(COUNT(BK332:BR332)&gt;=7,AVERAGE(BK332:BR332),"")</f>
        <v/>
      </c>
    </row>
    <row r="333">
      <c r="A333" t="inlineStr">
        <is>
          <t>R302</t>
        </is>
      </c>
      <c r="B333" t="inlineStr">
        <is>
          <t>Yes</t>
        </is>
      </c>
      <c r="C333" t="inlineStr">
        <is>
          <t>Yes</t>
        </is>
      </c>
      <c r="D333" t="inlineStr">
        <is>
          <t>Female</t>
        </is>
      </c>
      <c r="E333" t="inlineStr">
        <is>
          <t>55 or above</t>
        </is>
      </c>
      <c r="F333" t="inlineStr">
        <is>
          <t>Bachelor/HND</t>
        </is>
      </c>
      <c r="G333" t="inlineStr">
        <is>
          <t>Digital bank/neobank</t>
        </is>
      </c>
      <c r="H333" t="inlineStr">
        <is>
          <t>IT/Technology</t>
        </is>
      </c>
      <c r="I333" t="inlineStr">
        <is>
          <t>2-5</t>
        </is>
      </c>
      <c r="J333" t="inlineStr">
        <is>
          <t>Yes</t>
        </is>
      </c>
      <c r="K333" t="n">
        <v>4</v>
      </c>
      <c r="L333" t="inlineStr">
        <is>
          <t>No</t>
        </is>
      </c>
      <c r="M333" t="inlineStr">
        <is>
          <t>Yes</t>
        </is>
      </c>
      <c r="N333" t="n">
        <v>3</v>
      </c>
      <c r="O333" t="n">
        <v>4</v>
      </c>
      <c r="P333" t="n">
        <v>2</v>
      </c>
      <c r="Q333" t="n">
        <v>3</v>
      </c>
      <c r="R333" t="n">
        <v>4</v>
      </c>
      <c r="S333" t="n">
        <v>5</v>
      </c>
      <c r="T333" t="n">
        <v>2</v>
      </c>
      <c r="U333" t="n">
        <v>3</v>
      </c>
      <c r="V333" t="n">
        <v>3</v>
      </c>
      <c r="W333" t="n">
        <v>2</v>
      </c>
      <c r="X333" t="n">
        <v>5</v>
      </c>
      <c r="Y333" t="n">
        <v>5</v>
      </c>
      <c r="Z333" t="n">
        <v>5</v>
      </c>
      <c r="AA333" t="n">
        <v>5</v>
      </c>
      <c r="AB333" t="n">
        <v>4</v>
      </c>
      <c r="AC333" t="n">
        <v>5</v>
      </c>
      <c r="AD333" t="n">
        <v>5</v>
      </c>
      <c r="AE333" t="n">
        <v>4</v>
      </c>
      <c r="AF333" t="n">
        <v>4</v>
      </c>
      <c r="AG333" t="n">
        <v>4</v>
      </c>
      <c r="AH333" t="n">
        <v>3</v>
      </c>
      <c r="AI333" t="n">
        <v>5</v>
      </c>
      <c r="AJ333" t="n">
        <v>4</v>
      </c>
      <c r="AK333" t="n">
        <v>5</v>
      </c>
      <c r="AL333" t="n">
        <v>5</v>
      </c>
      <c r="AM333" t="n">
        <v>3</v>
      </c>
      <c r="AN333" t="n">
        <v>4</v>
      </c>
      <c r="AO333" t="n">
        <v>4</v>
      </c>
      <c r="AP333" t="n">
        <v>4</v>
      </c>
      <c r="AQ333" t="n">
        <v>3</v>
      </c>
      <c r="AR333" t="n">
        <v>3</v>
      </c>
      <c r="AS333" t="n">
        <v>4</v>
      </c>
      <c r="AT333" t="n">
        <v>4</v>
      </c>
      <c r="AU333" t="n">
        <v>3</v>
      </c>
      <c r="AV333" t="n">
        <v>4</v>
      </c>
      <c r="AW333" t="n">
        <v>4</v>
      </c>
      <c r="AX333" t="n">
        <v>5</v>
      </c>
      <c r="AY333" t="n">
        <v>5</v>
      </c>
      <c r="AZ333" t="n">
        <v>5</v>
      </c>
      <c r="BA333" t="n">
        <v>5</v>
      </c>
      <c r="BB333" t="n">
        <v>5</v>
      </c>
      <c r="BC333" t="n">
        <v>4</v>
      </c>
      <c r="BD333" t="n">
        <v>5</v>
      </c>
      <c r="BE333" t="n">
        <v>3</v>
      </c>
      <c r="BF333" t="n">
        <v>4</v>
      </c>
      <c r="BG333" t="n">
        <v>3</v>
      </c>
      <c r="BH333" t="n">
        <v>4</v>
      </c>
      <c r="BI333" t="n">
        <v>3</v>
      </c>
      <c r="BJ333" t="n">
        <v>4</v>
      </c>
      <c r="BK333" t="n">
        <v>3</v>
      </c>
      <c r="BL333" t="n">
        <v>2</v>
      </c>
      <c r="BM333" t="n">
        <v>4</v>
      </c>
      <c r="BN333" t="n">
        <v>4</v>
      </c>
      <c r="BO333" t="n">
        <v>4</v>
      </c>
      <c r="BP333" t="n">
        <v>3</v>
      </c>
      <c r="BQ333" t="n">
        <v>4</v>
      </c>
      <c r="BR333" t="n">
        <v>4</v>
      </c>
      <c r="BS333" s="56">
        <f>IF(COUNT(N333:W333)&gt;=8,AVERAGE(N333:W333),"")</f>
        <v/>
      </c>
      <c r="BT333" s="56">
        <f>IF(COUNT(X333:AE333)&gt;=7,AVERAGE(X333:AE333),"")</f>
        <v/>
      </c>
      <c r="BU333" s="56">
        <f>IF(COUNT(AF333:AM333)&gt;=7,AVERAGE(AF333:AM333),"")</f>
        <v/>
      </c>
      <c r="BV333" s="56">
        <f>IF(COUNT(AN333:AV333)&gt;=8,AVERAGE(AN333:AV333),"")</f>
        <v/>
      </c>
      <c r="BW333" s="56">
        <f>IF(COUNT(AW333:BD333)&gt;=7,AVERAGE(AW333:BD333),"")</f>
        <v/>
      </c>
      <c r="BX333" s="56">
        <f>IF(COUNT(BE333:BJ333)&gt;=5,AVERAGE(BE333:BJ333),"")</f>
        <v/>
      </c>
      <c r="BY333" s="56">
        <f>IF(COUNT(BK333:BR333)&gt;=7,AVERAGE(BK333:BR333),"")</f>
        <v/>
      </c>
    </row>
    <row r="334">
      <c r="A334" t="inlineStr">
        <is>
          <t>R303</t>
        </is>
      </c>
      <c r="B334" t="inlineStr">
        <is>
          <t>Yes</t>
        </is>
      </c>
      <c r="C334" t="inlineStr">
        <is>
          <t>Yes</t>
        </is>
      </c>
      <c r="D334" t="inlineStr">
        <is>
          <t>Male</t>
        </is>
      </c>
      <c r="E334" t="inlineStr">
        <is>
          <t>25-34</t>
        </is>
      </c>
      <c r="F334" t="inlineStr">
        <is>
          <t>Bachelor/HND</t>
        </is>
      </c>
      <c r="G334" t="inlineStr">
        <is>
          <t>Digital bank/neobank</t>
        </is>
      </c>
      <c r="H334" t="inlineStr">
        <is>
          <t>Digital Banking/Product</t>
        </is>
      </c>
      <c r="I334" t="inlineStr">
        <is>
          <t>Less than 2</t>
        </is>
      </c>
      <c r="J334" t="inlineStr">
        <is>
          <t>Yes</t>
        </is>
      </c>
      <c r="K334" t="n">
        <v>1</v>
      </c>
      <c r="L334" t="inlineStr">
        <is>
          <t>Yes</t>
        </is>
      </c>
      <c r="M334" t="inlineStr">
        <is>
          <t>Yes</t>
        </is>
      </c>
      <c r="N334" t="n">
        <v>2</v>
      </c>
      <c r="O334" t="n">
        <v>3</v>
      </c>
      <c r="P334" t="n">
        <v>3</v>
      </c>
      <c r="Q334" t="n">
        <v>2</v>
      </c>
      <c r="R334" t="n">
        <v>2</v>
      </c>
      <c r="S334" t="n">
        <v>3</v>
      </c>
      <c r="T334" t="n">
        <v>3</v>
      </c>
      <c r="U334" t="n">
        <v>3</v>
      </c>
      <c r="V334" t="n">
        <v>2</v>
      </c>
      <c r="W334" t="n">
        <v>3</v>
      </c>
      <c r="X334" t="n">
        <v>4</v>
      </c>
      <c r="Y334" t="n">
        <v>4</v>
      </c>
      <c r="Z334" t="n">
        <v>3</v>
      </c>
      <c r="AA334" t="n">
        <v>3</v>
      </c>
      <c r="AB334" t="n">
        <v>2</v>
      </c>
      <c r="AC334" t="n">
        <v>3</v>
      </c>
      <c r="AD334" t="n">
        <v>3</v>
      </c>
      <c r="AE334" t="n">
        <v>2</v>
      </c>
      <c r="AF334" t="n">
        <v>2</v>
      </c>
      <c r="AG334" t="n">
        <v>2</v>
      </c>
      <c r="AH334" t="n">
        <v>2</v>
      </c>
      <c r="AI334" t="n">
        <v>2</v>
      </c>
      <c r="AJ334" t="n">
        <v>2</v>
      </c>
      <c r="AK334" t="n">
        <v>2</v>
      </c>
      <c r="AL334" t="n">
        <v>2</v>
      </c>
      <c r="AM334" t="n">
        <v>4</v>
      </c>
      <c r="AN334" t="n">
        <v>4</v>
      </c>
      <c r="AO334" t="n">
        <v>2</v>
      </c>
      <c r="AP334" t="n">
        <v>3</v>
      </c>
      <c r="AQ334" t="n">
        <v>3</v>
      </c>
      <c r="AR334" t="n">
        <v>3</v>
      </c>
      <c r="AS334" t="n">
        <v>3</v>
      </c>
      <c r="AT334" t="n">
        <v>4</v>
      </c>
      <c r="AU334" t="n">
        <v>1</v>
      </c>
      <c r="AV334" t="n">
        <v>3</v>
      </c>
      <c r="AW334" t="n">
        <v>2</v>
      </c>
      <c r="AX334" t="n">
        <v>2</v>
      </c>
      <c r="AY334" t="n">
        <v>2</v>
      </c>
      <c r="AZ334" t="n">
        <v>2</v>
      </c>
      <c r="BA334" t="n">
        <v>3</v>
      </c>
      <c r="BB334" t="n">
        <v>2</v>
      </c>
      <c r="BC334" t="n">
        <v>3</v>
      </c>
      <c r="BD334" t="n">
        <v>3</v>
      </c>
      <c r="BE334" t="n">
        <v>4</v>
      </c>
      <c r="BF334" t="n">
        <v>5</v>
      </c>
      <c r="BG334" t="n">
        <v>2</v>
      </c>
      <c r="BH334" t="n">
        <v>3</v>
      </c>
      <c r="BI334" t="n">
        <v>4</v>
      </c>
      <c r="BJ334" t="n">
        <v>3</v>
      </c>
      <c r="BK334" t="n">
        <v>4</v>
      </c>
      <c r="BL334" t="n">
        <v>3</v>
      </c>
      <c r="BM334" t="n">
        <v>5</v>
      </c>
      <c r="BN334" t="n">
        <v>4</v>
      </c>
      <c r="BO334" t="n">
        <v>4</v>
      </c>
      <c r="BP334" t="n">
        <v>3</v>
      </c>
      <c r="BQ334" t="n">
        <v>5</v>
      </c>
      <c r="BR334" t="n">
        <v>4</v>
      </c>
      <c r="BS334" s="56">
        <f>IF(COUNT(N334:W334)&gt;=8,AVERAGE(N334:W334),"")</f>
        <v/>
      </c>
      <c r="BT334" s="56">
        <f>IF(COUNT(X334:AE334)&gt;=7,AVERAGE(X334:AE334),"")</f>
        <v/>
      </c>
      <c r="BU334" s="56">
        <f>IF(COUNT(AF334:AM334)&gt;=7,AVERAGE(AF334:AM334),"")</f>
        <v/>
      </c>
      <c r="BV334" s="56">
        <f>IF(COUNT(AN334:AV334)&gt;=8,AVERAGE(AN334:AV334),"")</f>
        <v/>
      </c>
      <c r="BW334" s="56">
        <f>IF(COUNT(AW334:BD334)&gt;=7,AVERAGE(AW334:BD334),"")</f>
        <v/>
      </c>
      <c r="BX334" s="56">
        <f>IF(COUNT(BE334:BJ334)&gt;=5,AVERAGE(BE334:BJ334),"")</f>
        <v/>
      </c>
      <c r="BY334" s="56">
        <f>IF(COUNT(BK334:BR334)&gt;=7,AVERAGE(BK334:BR334),"")</f>
        <v/>
      </c>
    </row>
    <row r="335">
      <c r="A335" t="inlineStr">
        <is>
          <t>R304</t>
        </is>
      </c>
      <c r="B335" t="inlineStr">
        <is>
          <t>Yes</t>
        </is>
      </c>
      <c r="C335" t="inlineStr">
        <is>
          <t>Yes</t>
        </is>
      </c>
      <c r="D335" t="inlineStr">
        <is>
          <t>Male</t>
        </is>
      </c>
      <c r="E335" t="inlineStr">
        <is>
          <t>25-34</t>
        </is>
      </c>
      <c r="F335" t="inlineStr">
        <is>
          <t>Bachelor/HND</t>
        </is>
      </c>
      <c r="G335" t="inlineStr">
        <is>
          <t>Fintech/payment provider</t>
        </is>
      </c>
      <c r="H335" t="inlineStr">
        <is>
          <t>IT/Technology</t>
        </is>
      </c>
      <c r="I335" t="inlineStr">
        <is>
          <t>Less than 2</t>
        </is>
      </c>
      <c r="J335" t="inlineStr">
        <is>
          <t>Yes</t>
        </is>
      </c>
      <c r="K335" t="n">
        <v>0</v>
      </c>
      <c r="L335" t="inlineStr">
        <is>
          <t>No</t>
        </is>
      </c>
      <c r="M335" t="inlineStr">
        <is>
          <t>Yes</t>
        </is>
      </c>
      <c r="N335" t="n">
        <v>3</v>
      </c>
      <c r="O335" t="n">
        <v>2</v>
      </c>
      <c r="P335" t="n">
        <v>3</v>
      </c>
      <c r="Q335" t="n">
        <v>3</v>
      </c>
      <c r="R335" t="n">
        <v>2</v>
      </c>
      <c r="S335" t="n">
        <v>4</v>
      </c>
      <c r="T335" t="n">
        <v>2</v>
      </c>
      <c r="U335" t="n">
        <v>2</v>
      </c>
      <c r="V335" t="n">
        <v>3</v>
      </c>
      <c r="W335" t="n">
        <v>3</v>
      </c>
      <c r="X335" t="n">
        <v>3</v>
      </c>
      <c r="Y335" t="n">
        <v>2</v>
      </c>
      <c r="Z335" t="n">
        <v>4</v>
      </c>
      <c r="AA335" t="n">
        <v>3</v>
      </c>
      <c r="AB335" t="n">
        <v>2</v>
      </c>
      <c r="AC335" t="n">
        <v>3</v>
      </c>
      <c r="AD335" t="n">
        <v>3</v>
      </c>
      <c r="AE335" t="n">
        <v>2</v>
      </c>
      <c r="AF335" t="n">
        <v>2</v>
      </c>
      <c r="AG335" t="n">
        <v>1</v>
      </c>
      <c r="AH335" t="n">
        <v>3</v>
      </c>
      <c r="AI335" t="n">
        <v>3</v>
      </c>
      <c r="AJ335" t="n">
        <v>3</v>
      </c>
      <c r="AK335" t="n">
        <v>3</v>
      </c>
      <c r="AL335" t="n">
        <v>2</v>
      </c>
      <c r="AM335" t="n">
        <v>2</v>
      </c>
      <c r="AN335" t="n">
        <v>3</v>
      </c>
      <c r="AO335" t="n">
        <v>2</v>
      </c>
      <c r="AP335" t="n">
        <v>2</v>
      </c>
      <c r="AQ335" t="n">
        <v>2</v>
      </c>
      <c r="AR335" t="n">
        <v>2</v>
      </c>
      <c r="AS335" t="n">
        <v>2</v>
      </c>
      <c r="AT335" t="n">
        <v>1</v>
      </c>
      <c r="AU335" t="n">
        <v>2</v>
      </c>
      <c r="AV335" t="n">
        <v>2</v>
      </c>
      <c r="AW335" t="n">
        <v>2</v>
      </c>
      <c r="AX335" t="n">
        <v>3</v>
      </c>
      <c r="AY335" t="n">
        <v>3</v>
      </c>
      <c r="AZ335" t="n">
        <v>2</v>
      </c>
      <c r="BA335" t="n">
        <v>4</v>
      </c>
      <c r="BB335" t="n">
        <v>4</v>
      </c>
      <c r="BC335" t="n">
        <v>2</v>
      </c>
      <c r="BD335" t="n">
        <v>2</v>
      </c>
      <c r="BE335" t="n">
        <v>3</v>
      </c>
      <c r="BF335" t="n">
        <v>2</v>
      </c>
      <c r="BG335" t="n">
        <v>2</v>
      </c>
      <c r="BH335" t="n">
        <v>4</v>
      </c>
      <c r="BI335" t="n">
        <v>3</v>
      </c>
      <c r="BJ335" t="n">
        <v>2</v>
      </c>
      <c r="BK335" t="n">
        <v>4</v>
      </c>
      <c r="BL335" t="n">
        <v>4</v>
      </c>
      <c r="BM335" t="n">
        <v>5</v>
      </c>
      <c r="BN335" t="n">
        <v>3</v>
      </c>
      <c r="BO335" t="n">
        <v>5</v>
      </c>
      <c r="BP335" t="n">
        <v>5</v>
      </c>
      <c r="BQ335" t="n">
        <v>5</v>
      </c>
      <c r="BR335" t="n">
        <v>4</v>
      </c>
      <c r="BS335" s="56">
        <f>IF(COUNT(N335:W335)&gt;=8,AVERAGE(N335:W335),"")</f>
        <v/>
      </c>
      <c r="BT335" s="56">
        <f>IF(COUNT(X335:AE335)&gt;=7,AVERAGE(X335:AE335),"")</f>
        <v/>
      </c>
      <c r="BU335" s="56">
        <f>IF(COUNT(AF335:AM335)&gt;=7,AVERAGE(AF335:AM335),"")</f>
        <v/>
      </c>
      <c r="BV335" s="56">
        <f>IF(COUNT(AN335:AV335)&gt;=8,AVERAGE(AN335:AV335),"")</f>
        <v/>
      </c>
      <c r="BW335" s="56">
        <f>IF(COUNT(AW335:BD335)&gt;=7,AVERAGE(AW335:BD335),"")</f>
        <v/>
      </c>
      <c r="BX335" s="56">
        <f>IF(COUNT(BE335:BJ335)&gt;=5,AVERAGE(BE335:BJ335),"")</f>
        <v/>
      </c>
      <c r="BY335" s="56">
        <f>IF(COUNT(BK335:BR335)&gt;=7,AVERAGE(BK335:BR335),"")</f>
        <v/>
      </c>
    </row>
    <row r="336">
      <c r="A336" t="inlineStr">
        <is>
          <t>R305</t>
        </is>
      </c>
      <c r="B336" t="inlineStr">
        <is>
          <t>Yes</t>
        </is>
      </c>
      <c r="C336" t="inlineStr">
        <is>
          <t>Yes</t>
        </is>
      </c>
      <c r="D336" t="inlineStr">
        <is>
          <t>Female</t>
        </is>
      </c>
      <c r="E336" t="inlineStr">
        <is>
          <t>18-24</t>
        </is>
      </c>
      <c r="F336" t="inlineStr">
        <is>
          <t>Bachelor/HND</t>
        </is>
      </c>
      <c r="G336" t="inlineStr">
        <is>
          <t>Fintech/payment provider</t>
        </is>
      </c>
      <c r="H336" t="inlineStr">
        <is>
          <t>Risk/Compliance</t>
        </is>
      </c>
      <c r="I336" t="inlineStr">
        <is>
          <t>16 or more</t>
        </is>
      </c>
      <c r="J336" t="inlineStr">
        <is>
          <t>Yes</t>
        </is>
      </c>
      <c r="K336" t="n">
        <v>3</v>
      </c>
      <c r="L336" t="inlineStr">
        <is>
          <t>Yes</t>
        </is>
      </c>
      <c r="M336" t="inlineStr">
        <is>
          <t>Yes</t>
        </is>
      </c>
      <c r="N336" t="n">
        <v>3</v>
      </c>
      <c r="O336" t="n">
        <v>2</v>
      </c>
      <c r="P336" t="n">
        <v>3</v>
      </c>
      <c r="Q336" t="n">
        <v>3</v>
      </c>
      <c r="R336" t="n">
        <v>4</v>
      </c>
      <c r="S336" t="n">
        <v>3</v>
      </c>
      <c r="T336" t="n">
        <v>2</v>
      </c>
      <c r="U336" t="n">
        <v>2</v>
      </c>
      <c r="V336" t="n">
        <v>2</v>
      </c>
      <c r="W336" t="n">
        <v>3</v>
      </c>
      <c r="X336" t="n">
        <v>2</v>
      </c>
      <c r="Y336" t="n">
        <v>2</v>
      </c>
      <c r="Z336" t="n">
        <v>3</v>
      </c>
      <c r="AA336" t="n">
        <v>2</v>
      </c>
      <c r="AB336" t="n">
        <v>2</v>
      </c>
      <c r="AC336" t="n">
        <v>2</v>
      </c>
      <c r="AD336" t="n">
        <v>2</v>
      </c>
      <c r="AE336" t="n">
        <v>1</v>
      </c>
      <c r="AF336" t="n">
        <v>3</v>
      </c>
      <c r="AG336" t="n">
        <v>3</v>
      </c>
      <c r="AH336" t="n">
        <v>3</v>
      </c>
      <c r="AI336" t="n">
        <v>4</v>
      </c>
      <c r="AJ336" t="n">
        <v>3</v>
      </c>
      <c r="AK336" t="n">
        <v>4</v>
      </c>
      <c r="AL336" t="n">
        <v>2</v>
      </c>
      <c r="AM336" t="n">
        <v>2</v>
      </c>
      <c r="AN336" t="n">
        <v>2</v>
      </c>
      <c r="AO336" t="n">
        <v>4</v>
      </c>
      <c r="AP336" t="n">
        <v>2</v>
      </c>
      <c r="AQ336" t="n">
        <v>2</v>
      </c>
      <c r="AR336" t="n">
        <v>3</v>
      </c>
      <c r="AS336" t="n">
        <v>3</v>
      </c>
      <c r="AT336" t="n">
        <v>4</v>
      </c>
      <c r="AU336" t="n">
        <v>3</v>
      </c>
      <c r="AV336" t="n">
        <v>3</v>
      </c>
      <c r="AW336" t="n">
        <v>3</v>
      </c>
      <c r="AX336" t="n">
        <v>2</v>
      </c>
      <c r="AY336" t="n">
        <v>3</v>
      </c>
      <c r="AZ336" t="n">
        <v>2</v>
      </c>
      <c r="BA336" t="n">
        <v>2</v>
      </c>
      <c r="BB336" t="n">
        <v>2</v>
      </c>
      <c r="BC336" t="n">
        <v>2</v>
      </c>
      <c r="BD336" t="n">
        <v>3</v>
      </c>
      <c r="BE336" t="n">
        <v>3</v>
      </c>
      <c r="BF336" t="n">
        <v>3</v>
      </c>
      <c r="BG336" t="n">
        <v>3</v>
      </c>
      <c r="BH336" t="n">
        <v>3</v>
      </c>
      <c r="BI336" t="n">
        <v>3</v>
      </c>
      <c r="BJ336" t="n">
        <v>3</v>
      </c>
      <c r="BK336" t="n">
        <v>3</v>
      </c>
      <c r="BL336" t="n">
        <v>3</v>
      </c>
      <c r="BM336" t="n">
        <v>3</v>
      </c>
      <c r="BN336" t="n">
        <v>2</v>
      </c>
      <c r="BO336" t="n">
        <v>4</v>
      </c>
      <c r="BP336" t="n">
        <v>3</v>
      </c>
      <c r="BQ336" t="n">
        <v>4</v>
      </c>
      <c r="BR336" t="n">
        <v>3</v>
      </c>
      <c r="BS336" s="56">
        <f>IF(COUNT(N336:W336)&gt;=8,AVERAGE(N336:W336),"")</f>
        <v/>
      </c>
      <c r="BT336" s="56">
        <f>IF(COUNT(X336:AE336)&gt;=7,AVERAGE(X336:AE336),"")</f>
        <v/>
      </c>
      <c r="BU336" s="56">
        <f>IF(COUNT(AF336:AM336)&gt;=7,AVERAGE(AF336:AM336),"")</f>
        <v/>
      </c>
      <c r="BV336" s="56">
        <f>IF(COUNT(AN336:AV336)&gt;=8,AVERAGE(AN336:AV336),"")</f>
        <v/>
      </c>
      <c r="BW336" s="56">
        <f>IF(COUNT(AW336:BD336)&gt;=7,AVERAGE(AW336:BD336),"")</f>
        <v/>
      </c>
      <c r="BX336" s="56">
        <f>IF(COUNT(BE336:BJ336)&gt;=5,AVERAGE(BE336:BJ336),"")</f>
        <v/>
      </c>
      <c r="BY336" s="56">
        <f>IF(COUNT(BK336:BR336)&gt;=7,AVERAGE(BK336:BR336),"")</f>
        <v/>
      </c>
    </row>
    <row r="337">
      <c r="A337" t="inlineStr">
        <is>
          <t>R306</t>
        </is>
      </c>
      <c r="B337" t="inlineStr">
        <is>
          <t>Yes</t>
        </is>
      </c>
      <c r="C337" t="inlineStr">
        <is>
          <t>Yes</t>
        </is>
      </c>
      <c r="D337" t="inlineStr">
        <is>
          <t>Female</t>
        </is>
      </c>
      <c r="E337" t="inlineStr">
        <is>
          <t>35-44</t>
        </is>
      </c>
      <c r="F337" t="inlineStr">
        <is>
          <t>Master's</t>
        </is>
      </c>
      <c r="G337" t="inlineStr">
        <is>
          <t>Commercial bank</t>
        </is>
      </c>
      <c r="H337" t="inlineStr">
        <is>
          <t>Data/Analytics/AI</t>
        </is>
      </c>
      <c r="I337" t="inlineStr">
        <is>
          <t>2-5</t>
        </is>
      </c>
      <c r="J337" t="inlineStr">
        <is>
          <t>Yes</t>
        </is>
      </c>
      <c r="K337" t="n">
        <v>3</v>
      </c>
      <c r="L337" t="inlineStr">
        <is>
          <t>Yes</t>
        </is>
      </c>
      <c r="M337" t="inlineStr">
        <is>
          <t>Yes</t>
        </is>
      </c>
      <c r="N337" t="n">
        <v>4</v>
      </c>
      <c r="O337" t="n">
        <v>2</v>
      </c>
      <c r="P337" t="n">
        <v>4</v>
      </c>
      <c r="Q337" t="n">
        <v>2</v>
      </c>
      <c r="R337" t="n">
        <v>3</v>
      </c>
      <c r="S337" t="n">
        <v>4</v>
      </c>
      <c r="T337" t="n">
        <v>2</v>
      </c>
      <c r="U337" t="n">
        <v>3</v>
      </c>
      <c r="V337" t="n">
        <v>4</v>
      </c>
      <c r="W337" t="n">
        <v>2</v>
      </c>
      <c r="X337" t="n">
        <v>5</v>
      </c>
      <c r="Y337" t="n">
        <v>3</v>
      </c>
      <c r="Z337" t="n">
        <v>4</v>
      </c>
      <c r="AA337" t="n">
        <v>3</v>
      </c>
      <c r="AB337" t="n">
        <v>3</v>
      </c>
      <c r="AC337" t="n">
        <v>4</v>
      </c>
      <c r="AD337" t="n">
        <v>3</v>
      </c>
      <c r="AE337" t="n">
        <v>4</v>
      </c>
      <c r="AF337" t="n">
        <v>5</v>
      </c>
      <c r="AG337" t="n">
        <v>4</v>
      </c>
      <c r="AH337" t="n">
        <v>2</v>
      </c>
      <c r="AI337" t="n">
        <v>4</v>
      </c>
      <c r="AJ337" t="n">
        <v>2</v>
      </c>
      <c r="AK337" t="n">
        <v>5</v>
      </c>
      <c r="AL337" t="n">
        <v>2</v>
      </c>
      <c r="AM337" t="n">
        <v>3</v>
      </c>
      <c r="AN337" t="n">
        <v>4</v>
      </c>
      <c r="AO337" t="n">
        <v>4</v>
      </c>
      <c r="AP337" t="n">
        <v>4</v>
      </c>
      <c r="AQ337" t="n">
        <v>2</v>
      </c>
      <c r="AR337" t="n">
        <v>5</v>
      </c>
      <c r="AS337" t="n">
        <v>3</v>
      </c>
      <c r="AT337" t="n">
        <v>3</v>
      </c>
      <c r="AU337" t="n">
        <v>3</v>
      </c>
      <c r="AV337" t="n">
        <v>4</v>
      </c>
      <c r="AW337" t="n">
        <v>2</v>
      </c>
      <c r="AX337" t="n">
        <v>3</v>
      </c>
      <c r="AY337" t="n">
        <v>2</v>
      </c>
      <c r="AZ337" t="n">
        <v>1</v>
      </c>
      <c r="BA337" t="n">
        <v>2</v>
      </c>
      <c r="BB337" t="n">
        <v>2</v>
      </c>
      <c r="BC337" t="n">
        <v>2</v>
      </c>
      <c r="BD337" t="n">
        <v>2</v>
      </c>
      <c r="BE337" t="n">
        <v>4</v>
      </c>
      <c r="BF337" t="n">
        <v>4</v>
      </c>
      <c r="BG337" t="n">
        <v>2</v>
      </c>
      <c r="BH337" t="n">
        <v>4</v>
      </c>
      <c r="BI337" t="n">
        <v>4</v>
      </c>
      <c r="BJ337" t="n">
        <v>3</v>
      </c>
      <c r="BK337" t="n">
        <v>3</v>
      </c>
      <c r="BL337" t="n">
        <v>2</v>
      </c>
      <c r="BM337" t="n">
        <v>2</v>
      </c>
      <c r="BN337" t="n">
        <v>3</v>
      </c>
      <c r="BO337" t="n">
        <v>3</v>
      </c>
      <c r="BP337" t="n">
        <v>3</v>
      </c>
      <c r="BQ337" t="n">
        <v>3</v>
      </c>
      <c r="BR337" t="n">
        <v>3</v>
      </c>
      <c r="BS337" s="56">
        <f>IF(COUNT(N337:W337)&gt;=8,AVERAGE(N337:W337),"")</f>
        <v/>
      </c>
      <c r="BT337" s="56">
        <f>IF(COUNT(X337:AE337)&gt;=7,AVERAGE(X337:AE337),"")</f>
        <v/>
      </c>
      <c r="BU337" s="56">
        <f>IF(COUNT(AF337:AM337)&gt;=7,AVERAGE(AF337:AM337),"")</f>
        <v/>
      </c>
      <c r="BV337" s="56">
        <f>IF(COUNT(AN337:AV337)&gt;=8,AVERAGE(AN337:AV337),"")</f>
        <v/>
      </c>
      <c r="BW337" s="56">
        <f>IF(COUNT(AW337:BD337)&gt;=7,AVERAGE(AW337:BD337),"")</f>
        <v/>
      </c>
      <c r="BX337" s="56">
        <f>IF(COUNT(BE337:BJ337)&gt;=5,AVERAGE(BE337:BJ337),"")</f>
        <v/>
      </c>
      <c r="BY337" s="56">
        <f>IF(COUNT(BK337:BR337)&gt;=7,AVERAGE(BK337:BR337),"")</f>
        <v/>
      </c>
    </row>
    <row r="338">
      <c r="A338" t="inlineStr">
        <is>
          <t>R307</t>
        </is>
      </c>
      <c r="B338" t="inlineStr">
        <is>
          <t>Yes</t>
        </is>
      </c>
      <c r="C338" t="inlineStr">
        <is>
          <t>Yes</t>
        </is>
      </c>
      <c r="D338" t="inlineStr">
        <is>
          <t>Female</t>
        </is>
      </c>
      <c r="E338" t="inlineStr">
        <is>
          <t>35-44</t>
        </is>
      </c>
      <c r="F338" t="inlineStr">
        <is>
          <t>Postgraduate Diploma</t>
        </is>
      </c>
      <c r="G338" t="inlineStr">
        <is>
          <t>Insurance/investment/other licensed financial institution</t>
        </is>
      </c>
      <c r="H338" t="inlineStr">
        <is>
          <t>Customer Experience/Service</t>
        </is>
      </c>
      <c r="I338" t="inlineStr">
        <is>
          <t>2-5</t>
        </is>
      </c>
      <c r="J338" t="inlineStr">
        <is>
          <t>Yes</t>
        </is>
      </c>
      <c r="K338" t="n">
        <v>2</v>
      </c>
      <c r="L338" t="inlineStr">
        <is>
          <t>Yes</t>
        </is>
      </c>
      <c r="M338" t="inlineStr">
        <is>
          <t>Yes</t>
        </is>
      </c>
      <c r="N338" t="n">
        <v>2</v>
      </c>
      <c r="O338" t="n">
        <v>1</v>
      </c>
      <c r="P338" t="n">
        <v>2</v>
      </c>
      <c r="R338" t="n">
        <v>2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4</v>
      </c>
      <c r="Y338" t="n">
        <v>2</v>
      </c>
      <c r="Z338" t="n">
        <v>3</v>
      </c>
      <c r="AA338" t="n">
        <v>2</v>
      </c>
      <c r="AB338" t="n">
        <v>2</v>
      </c>
      <c r="AC338" t="n">
        <v>2</v>
      </c>
      <c r="AD338" t="n">
        <v>2</v>
      </c>
      <c r="AE338" t="n">
        <v>2</v>
      </c>
      <c r="AF338" t="n">
        <v>1</v>
      </c>
      <c r="AG338" t="n">
        <v>1</v>
      </c>
      <c r="AH338" t="n">
        <v>1</v>
      </c>
      <c r="AI338" t="n">
        <v>2</v>
      </c>
      <c r="AJ338" t="n">
        <v>2</v>
      </c>
      <c r="AK338" t="n">
        <v>1</v>
      </c>
      <c r="AL338" t="n">
        <v>2</v>
      </c>
      <c r="AM338" t="n">
        <v>2</v>
      </c>
      <c r="AN338" t="n">
        <v>4</v>
      </c>
      <c r="AO338" t="n">
        <v>3</v>
      </c>
      <c r="AP338" t="n">
        <v>4</v>
      </c>
      <c r="AQ338" t="n">
        <v>4</v>
      </c>
      <c r="AR338" t="n">
        <v>3</v>
      </c>
      <c r="AS338" t="n">
        <v>3</v>
      </c>
      <c r="AT338" t="n">
        <v>4</v>
      </c>
      <c r="AU338" t="n">
        <v>3</v>
      </c>
      <c r="AV338" t="n">
        <v>3</v>
      </c>
      <c r="AW338" t="n">
        <v>4</v>
      </c>
      <c r="AX338" t="n">
        <v>3</v>
      </c>
      <c r="AY338" t="n">
        <v>2</v>
      </c>
      <c r="AZ338" t="n">
        <v>4</v>
      </c>
      <c r="BA338" t="n">
        <v>3</v>
      </c>
      <c r="BB338" t="n">
        <v>2</v>
      </c>
      <c r="BC338" t="n">
        <v>2</v>
      </c>
      <c r="BD338" t="n">
        <v>3</v>
      </c>
      <c r="BE338" t="n">
        <v>3</v>
      </c>
      <c r="BF338" t="n">
        <v>3</v>
      </c>
      <c r="BG338" t="n">
        <v>3</v>
      </c>
      <c r="BH338" t="n">
        <v>4</v>
      </c>
      <c r="BI338" t="n">
        <v>4</v>
      </c>
      <c r="BJ338" t="n">
        <v>3</v>
      </c>
      <c r="BK338" t="n">
        <v>1</v>
      </c>
      <c r="BL338" t="n">
        <v>2</v>
      </c>
      <c r="BM338" t="n">
        <v>3</v>
      </c>
      <c r="BN338" t="n">
        <v>3</v>
      </c>
      <c r="BO338" t="n">
        <v>3</v>
      </c>
      <c r="BP338" t="n">
        <v>3</v>
      </c>
      <c r="BQ338" t="n">
        <v>2</v>
      </c>
      <c r="BR338" t="n">
        <v>1</v>
      </c>
      <c r="BS338" s="56">
        <f>IF(COUNT(N338:W338)&gt;=8,AVERAGE(N338:W338),"")</f>
        <v/>
      </c>
      <c r="BT338" s="56">
        <f>IF(COUNT(X338:AE338)&gt;=7,AVERAGE(X338:AE338),"")</f>
        <v/>
      </c>
      <c r="BU338" s="56">
        <f>IF(COUNT(AF338:AM338)&gt;=7,AVERAGE(AF338:AM338),"")</f>
        <v/>
      </c>
      <c r="BV338" s="56">
        <f>IF(COUNT(AN338:AV338)&gt;=8,AVERAGE(AN338:AV338),"")</f>
        <v/>
      </c>
      <c r="BW338" s="56">
        <f>IF(COUNT(AW338:BD338)&gt;=7,AVERAGE(AW338:BD338),"")</f>
        <v/>
      </c>
      <c r="BX338" s="56">
        <f>IF(COUNT(BE338:BJ338)&gt;=5,AVERAGE(BE338:BJ338),"")</f>
        <v/>
      </c>
      <c r="BY338" s="56">
        <f>IF(COUNT(BK338:BR338)&gt;=7,AVERAGE(BK338:BR338),"")</f>
        <v/>
      </c>
    </row>
    <row r="339">
      <c r="A339" t="inlineStr">
        <is>
          <t>R308</t>
        </is>
      </c>
      <c r="B339" t="inlineStr">
        <is>
          <t>Yes</t>
        </is>
      </c>
      <c r="C339" t="inlineStr">
        <is>
          <t>Yes</t>
        </is>
      </c>
      <c r="D339" t="inlineStr">
        <is>
          <t>Female</t>
        </is>
      </c>
      <c r="E339" t="inlineStr">
        <is>
          <t>25-34</t>
        </is>
      </c>
      <c r="F339" t="inlineStr">
        <is>
          <t>Master's</t>
        </is>
      </c>
      <c r="G339" t="inlineStr">
        <is>
          <t>Digital bank/neobank</t>
        </is>
      </c>
      <c r="H339" t="inlineStr">
        <is>
          <t>Customer Experience/Service</t>
        </is>
      </c>
      <c r="I339" t="inlineStr">
        <is>
          <t>Less than 2</t>
        </is>
      </c>
      <c r="J339" t="inlineStr">
        <is>
          <t>Yes</t>
        </is>
      </c>
      <c r="K339" t="n">
        <v>2</v>
      </c>
      <c r="L339" t="inlineStr">
        <is>
          <t>Yes</t>
        </is>
      </c>
      <c r="M339" t="inlineStr">
        <is>
          <t>Yes</t>
        </is>
      </c>
      <c r="N339" t="n">
        <v>2</v>
      </c>
      <c r="O339" t="n">
        <v>3</v>
      </c>
      <c r="P339" t="n">
        <v>3</v>
      </c>
      <c r="Q339" t="n">
        <v>3</v>
      </c>
      <c r="R339" t="n">
        <v>4</v>
      </c>
      <c r="S339" t="n">
        <v>2</v>
      </c>
      <c r="T339" t="n">
        <v>3</v>
      </c>
      <c r="U339" t="n">
        <v>2</v>
      </c>
      <c r="V339" t="n">
        <v>3</v>
      </c>
      <c r="W339" t="n">
        <v>2</v>
      </c>
      <c r="X339" t="n">
        <v>4</v>
      </c>
      <c r="Y339" t="n">
        <v>4</v>
      </c>
      <c r="Z339" t="n">
        <v>5</v>
      </c>
      <c r="AA339" t="n">
        <v>4</v>
      </c>
      <c r="AB339" t="n">
        <v>4</v>
      </c>
      <c r="AC339" t="n">
        <v>3</v>
      </c>
      <c r="AD339" t="n">
        <v>4</v>
      </c>
      <c r="AE339" t="n">
        <v>3</v>
      </c>
      <c r="AF339" t="n">
        <v>4</v>
      </c>
      <c r="AG339" t="n">
        <v>5</v>
      </c>
      <c r="AH339" t="n">
        <v>5</v>
      </c>
      <c r="AI339" t="n">
        <v>5</v>
      </c>
      <c r="AJ339" t="n">
        <v>5</v>
      </c>
      <c r="AK339" t="n">
        <v>4</v>
      </c>
      <c r="AL339" t="n">
        <v>4</v>
      </c>
      <c r="AM339" t="n">
        <v>5</v>
      </c>
      <c r="AN339" t="n">
        <v>4</v>
      </c>
      <c r="AO339" t="n">
        <v>4</v>
      </c>
      <c r="AP339" t="n">
        <v>3</v>
      </c>
      <c r="AQ339" t="n">
        <v>4</v>
      </c>
      <c r="AR339" t="n">
        <v>3</v>
      </c>
      <c r="AS339" t="n">
        <v>3</v>
      </c>
      <c r="AT339" t="n">
        <v>4</v>
      </c>
      <c r="AU339" t="n">
        <v>3</v>
      </c>
      <c r="AV339" t="n">
        <v>3</v>
      </c>
      <c r="AW339" t="n">
        <v>3</v>
      </c>
      <c r="AX339" t="n">
        <v>2</v>
      </c>
      <c r="AY339" t="n">
        <v>4</v>
      </c>
      <c r="AZ339" t="n">
        <v>2</v>
      </c>
      <c r="BA339" t="n">
        <v>3</v>
      </c>
      <c r="BB339" t="n">
        <v>3</v>
      </c>
      <c r="BC339" t="n">
        <v>4</v>
      </c>
      <c r="BD339" t="n">
        <v>3</v>
      </c>
      <c r="BE339" t="n">
        <v>4</v>
      </c>
      <c r="BF339" t="n">
        <v>4</v>
      </c>
      <c r="BG339" t="n">
        <v>3</v>
      </c>
      <c r="BH339" t="n">
        <v>4</v>
      </c>
      <c r="BI339" t="n">
        <v>3</v>
      </c>
      <c r="BJ339" t="n">
        <v>4</v>
      </c>
      <c r="BK339" t="n">
        <v>4</v>
      </c>
      <c r="BL339" t="n">
        <v>4</v>
      </c>
      <c r="BM339" t="n">
        <v>4</v>
      </c>
      <c r="BN339" t="n">
        <v>3</v>
      </c>
      <c r="BO339" t="n">
        <v>3</v>
      </c>
      <c r="BP339" t="n">
        <v>3</v>
      </c>
      <c r="BQ339" t="n">
        <v>3</v>
      </c>
      <c r="BR339" t="n">
        <v>3</v>
      </c>
      <c r="BS339" s="56">
        <f>IF(COUNT(N339:W339)&gt;=8,AVERAGE(N339:W339),"")</f>
        <v/>
      </c>
      <c r="BT339" s="56">
        <f>IF(COUNT(X339:AE339)&gt;=7,AVERAGE(X339:AE339),"")</f>
        <v/>
      </c>
      <c r="BU339" s="56">
        <f>IF(COUNT(AF339:AM339)&gt;=7,AVERAGE(AF339:AM339),"")</f>
        <v/>
      </c>
      <c r="BV339" s="56">
        <f>IF(COUNT(AN339:AV339)&gt;=8,AVERAGE(AN339:AV339),"")</f>
        <v/>
      </c>
      <c r="BW339" s="56">
        <f>IF(COUNT(AW339:BD339)&gt;=7,AVERAGE(AW339:BD339),"")</f>
        <v/>
      </c>
      <c r="BX339" s="56">
        <f>IF(COUNT(BE339:BJ339)&gt;=5,AVERAGE(BE339:BJ339),"")</f>
        <v/>
      </c>
      <c r="BY339" s="56">
        <f>IF(COUNT(BK339:BR339)&gt;=7,AVERAGE(BK339:BR339),"")</f>
        <v/>
      </c>
    </row>
    <row r="340">
      <c r="A340" t="inlineStr">
        <is>
          <t>R309</t>
        </is>
      </c>
      <c r="B340" t="inlineStr">
        <is>
          <t>Yes</t>
        </is>
      </c>
      <c r="C340" t="inlineStr">
        <is>
          <t>Yes</t>
        </is>
      </c>
      <c r="D340" t="inlineStr">
        <is>
          <t>Male</t>
        </is>
      </c>
      <c r="E340" t="inlineStr">
        <is>
          <t>45-54</t>
        </is>
      </c>
      <c r="F340" t="inlineStr">
        <is>
          <t>Postgraduate Diploma</t>
        </is>
      </c>
      <c r="G340" t="inlineStr">
        <is>
          <t>Merchant bank</t>
        </is>
      </c>
      <c r="H340" t="inlineStr">
        <is>
          <t>Management/Strategy</t>
        </is>
      </c>
      <c r="I340" t="inlineStr">
        <is>
          <t>2-5</t>
        </is>
      </c>
      <c r="J340" t="inlineStr">
        <is>
          <t>Yes</t>
        </is>
      </c>
      <c r="K340" t="n">
        <v>2</v>
      </c>
      <c r="L340" t="inlineStr">
        <is>
          <t>Yes</t>
        </is>
      </c>
      <c r="M340" t="inlineStr">
        <is>
          <t>Yes</t>
        </is>
      </c>
      <c r="N340" t="n">
        <v>3</v>
      </c>
      <c r="O340" t="n">
        <v>2</v>
      </c>
      <c r="P340" t="n">
        <v>3</v>
      </c>
      <c r="Q340" t="n">
        <v>3</v>
      </c>
      <c r="R340" t="n">
        <v>3</v>
      </c>
      <c r="S340" t="n">
        <v>4</v>
      </c>
      <c r="T340" t="n">
        <v>2</v>
      </c>
      <c r="U340" t="n">
        <v>2</v>
      </c>
      <c r="V340" t="n">
        <v>4</v>
      </c>
      <c r="W340" t="n">
        <v>3</v>
      </c>
      <c r="X340" t="n">
        <v>3</v>
      </c>
      <c r="Y340" t="n">
        <v>2</v>
      </c>
      <c r="Z340" t="n">
        <v>3</v>
      </c>
      <c r="AA340" t="n">
        <v>3</v>
      </c>
      <c r="AB340" t="n">
        <v>3</v>
      </c>
      <c r="AC340" t="n">
        <v>4</v>
      </c>
      <c r="AD340" t="n">
        <v>3</v>
      </c>
      <c r="AE340" t="n">
        <v>2</v>
      </c>
      <c r="AF340" t="n">
        <v>2</v>
      </c>
      <c r="AG340" t="n">
        <v>2</v>
      </c>
      <c r="AH340" t="n">
        <v>2</v>
      </c>
      <c r="AI340" t="n">
        <v>3</v>
      </c>
      <c r="AJ340" t="n">
        <v>2</v>
      </c>
      <c r="AK340" t="n">
        <v>3</v>
      </c>
      <c r="AL340" t="n">
        <v>2</v>
      </c>
      <c r="AM340" t="n">
        <v>3</v>
      </c>
      <c r="AN340" t="n">
        <v>2</v>
      </c>
      <c r="AO340" t="n">
        <v>2</v>
      </c>
      <c r="AP340" t="n">
        <v>2</v>
      </c>
      <c r="AQ340" t="n">
        <v>1</v>
      </c>
      <c r="AR340" t="n">
        <v>3</v>
      </c>
      <c r="AS340" t="n">
        <v>1</v>
      </c>
      <c r="AT340" t="n">
        <v>2</v>
      </c>
      <c r="AU340" t="n">
        <v>1</v>
      </c>
      <c r="AV340" t="n">
        <v>2</v>
      </c>
      <c r="AW340" t="n">
        <v>3</v>
      </c>
      <c r="AX340" t="n">
        <v>2</v>
      </c>
      <c r="AY340" t="n">
        <v>3</v>
      </c>
      <c r="AZ340" t="n">
        <v>2</v>
      </c>
      <c r="BA340" t="n">
        <v>4</v>
      </c>
      <c r="BB340" t="n">
        <v>3</v>
      </c>
      <c r="BC340" t="n">
        <v>3</v>
      </c>
      <c r="BD340" t="n">
        <v>3</v>
      </c>
      <c r="BE340" t="n">
        <v>3</v>
      </c>
      <c r="BF340" t="n">
        <v>3</v>
      </c>
      <c r="BG340" t="n">
        <v>3</v>
      </c>
      <c r="BH340" t="n">
        <v>4</v>
      </c>
      <c r="BI340" t="n">
        <v>4</v>
      </c>
      <c r="BJ340" t="n">
        <v>2</v>
      </c>
      <c r="BK340" t="n">
        <v>4</v>
      </c>
      <c r="BL340" t="n">
        <v>3</v>
      </c>
      <c r="BM340" t="n">
        <v>3</v>
      </c>
      <c r="BN340" t="n">
        <v>4</v>
      </c>
      <c r="BO340" t="n">
        <v>3</v>
      </c>
      <c r="BP340" t="n">
        <v>3</v>
      </c>
      <c r="BQ340" t="n">
        <v>3</v>
      </c>
      <c r="BR340" t="n">
        <v>3</v>
      </c>
      <c r="BS340" s="56">
        <f>IF(COUNT(N340:W340)&gt;=8,AVERAGE(N340:W340),"")</f>
        <v/>
      </c>
      <c r="BT340" s="56">
        <f>IF(COUNT(X340:AE340)&gt;=7,AVERAGE(X340:AE340),"")</f>
        <v/>
      </c>
      <c r="BU340" s="56">
        <f>IF(COUNT(AF340:AM340)&gt;=7,AVERAGE(AF340:AM340),"")</f>
        <v/>
      </c>
      <c r="BV340" s="56">
        <f>IF(COUNT(AN340:AV340)&gt;=8,AVERAGE(AN340:AV340),"")</f>
        <v/>
      </c>
      <c r="BW340" s="56">
        <f>IF(COUNT(AW340:BD340)&gt;=7,AVERAGE(AW340:BD340),"")</f>
        <v/>
      </c>
      <c r="BX340" s="56">
        <f>IF(COUNT(BE340:BJ340)&gt;=5,AVERAGE(BE340:BJ340),"")</f>
        <v/>
      </c>
      <c r="BY340" s="56">
        <f>IF(COUNT(BK340:BR340)&gt;=7,AVERAGE(BK340:BR340),"")</f>
        <v/>
      </c>
    </row>
    <row r="341">
      <c r="A341" t="inlineStr">
        <is>
          <t>R310</t>
        </is>
      </c>
      <c r="B341" t="inlineStr">
        <is>
          <t>Yes</t>
        </is>
      </c>
      <c r="C341" t="inlineStr">
        <is>
          <t>Yes</t>
        </is>
      </c>
      <c r="D341" t="inlineStr">
        <is>
          <t>Female</t>
        </is>
      </c>
      <c r="E341" t="inlineStr">
        <is>
          <t>45-54</t>
        </is>
      </c>
      <c r="F341" t="inlineStr">
        <is>
          <t>Master's</t>
        </is>
      </c>
      <c r="G341" t="inlineStr">
        <is>
          <t>Fintech/payment provider</t>
        </is>
      </c>
      <c r="H341" t="inlineStr">
        <is>
          <t>Data/Analytics/AI</t>
        </is>
      </c>
      <c r="I341" t="inlineStr">
        <is>
          <t>2-5</t>
        </is>
      </c>
      <c r="J341" t="inlineStr">
        <is>
          <t>Yes</t>
        </is>
      </c>
      <c r="K341" t="n">
        <v>4</v>
      </c>
      <c r="L341" t="inlineStr">
        <is>
          <t>Yes</t>
        </is>
      </c>
      <c r="M341" t="inlineStr">
        <is>
          <t>Yes</t>
        </is>
      </c>
      <c r="N341" t="n">
        <v>5</v>
      </c>
      <c r="O341" t="n">
        <v>3</v>
      </c>
      <c r="P341" t="n">
        <v>3</v>
      </c>
      <c r="Q341" t="n">
        <v>3</v>
      </c>
      <c r="R341" t="n">
        <v>3</v>
      </c>
      <c r="S341" t="n">
        <v>4</v>
      </c>
      <c r="T341" t="n">
        <v>2</v>
      </c>
      <c r="U341" t="n">
        <v>4</v>
      </c>
      <c r="V341" t="n">
        <v>4</v>
      </c>
      <c r="W341" t="n">
        <v>3</v>
      </c>
      <c r="X341" t="n">
        <v>4</v>
      </c>
      <c r="Y341" t="n">
        <v>5</v>
      </c>
      <c r="Z341" t="n">
        <v>4</v>
      </c>
      <c r="AA341" t="n">
        <v>4</v>
      </c>
      <c r="AB341" t="n">
        <v>3</v>
      </c>
      <c r="AC341" t="n">
        <v>4</v>
      </c>
      <c r="AD341" t="n">
        <v>4</v>
      </c>
      <c r="AE341" t="n">
        <v>4</v>
      </c>
      <c r="AF341" t="n">
        <v>4</v>
      </c>
      <c r="AG341" t="n">
        <v>4</v>
      </c>
      <c r="AH341" t="n">
        <v>3</v>
      </c>
      <c r="AI341" t="n">
        <v>4</v>
      </c>
      <c r="AJ341" t="n">
        <v>3</v>
      </c>
      <c r="AK341" t="n">
        <v>4</v>
      </c>
      <c r="AL341" t="n">
        <v>4</v>
      </c>
      <c r="AM341" t="n">
        <v>5</v>
      </c>
      <c r="AN341" t="n">
        <v>3</v>
      </c>
      <c r="AO341" t="n">
        <v>2</v>
      </c>
      <c r="AP341" t="n">
        <v>3</v>
      </c>
      <c r="AQ341" t="n">
        <v>1</v>
      </c>
      <c r="AR341" t="n">
        <v>2</v>
      </c>
      <c r="AS341" t="n">
        <v>2</v>
      </c>
      <c r="AT341" t="n">
        <v>2</v>
      </c>
      <c r="AU341" t="n">
        <v>1</v>
      </c>
      <c r="AV341" t="n">
        <v>2</v>
      </c>
      <c r="AW341" t="n">
        <v>3</v>
      </c>
      <c r="AX341" t="n">
        <v>4</v>
      </c>
      <c r="AY341" t="n">
        <v>4</v>
      </c>
      <c r="AZ341" t="n">
        <v>2</v>
      </c>
      <c r="BA341" t="n">
        <v>3</v>
      </c>
      <c r="BB341" t="n">
        <v>3</v>
      </c>
      <c r="BC341" t="n">
        <v>4</v>
      </c>
      <c r="BD341" t="n">
        <v>3</v>
      </c>
      <c r="BE341" t="n">
        <v>5</v>
      </c>
      <c r="BG341" t="n">
        <v>5</v>
      </c>
      <c r="BH341" t="n">
        <v>4</v>
      </c>
      <c r="BI341" t="n">
        <v>4</v>
      </c>
      <c r="BJ341" t="n">
        <v>4</v>
      </c>
      <c r="BK341" t="n">
        <v>3</v>
      </c>
      <c r="BL341" t="n">
        <v>3</v>
      </c>
      <c r="BM341" t="n">
        <v>1</v>
      </c>
      <c r="BN341" t="n">
        <v>2</v>
      </c>
      <c r="BO341" t="n">
        <v>2</v>
      </c>
      <c r="BP341" t="n">
        <v>2</v>
      </c>
      <c r="BQ341" t="n">
        <v>2</v>
      </c>
      <c r="BR341" t="n">
        <v>2</v>
      </c>
      <c r="BS341" s="56">
        <f>IF(COUNT(N341:W341)&gt;=8,AVERAGE(N341:W341),"")</f>
        <v/>
      </c>
      <c r="BT341" s="56">
        <f>IF(COUNT(X341:AE341)&gt;=7,AVERAGE(X341:AE341),"")</f>
        <v/>
      </c>
      <c r="BU341" s="56">
        <f>IF(COUNT(AF341:AM341)&gt;=7,AVERAGE(AF341:AM341),"")</f>
        <v/>
      </c>
      <c r="BV341" s="56">
        <f>IF(COUNT(AN341:AV341)&gt;=8,AVERAGE(AN341:AV341),"")</f>
        <v/>
      </c>
      <c r="BW341" s="56">
        <f>IF(COUNT(AW341:BD341)&gt;=7,AVERAGE(AW341:BD341),"")</f>
        <v/>
      </c>
      <c r="BX341" s="56">
        <f>IF(COUNT(BE341:BJ341)&gt;=5,AVERAGE(BE341:BJ341),"")</f>
        <v/>
      </c>
      <c r="BY341" s="56">
        <f>IF(COUNT(BK341:BR341)&gt;=7,AVERAGE(BK341:BR341),"")</f>
        <v/>
      </c>
    </row>
    <row r="342">
      <c r="A342" t="inlineStr">
        <is>
          <t>R311</t>
        </is>
      </c>
      <c r="B342" t="inlineStr">
        <is>
          <t>Yes</t>
        </is>
      </c>
      <c r="C342" t="inlineStr">
        <is>
          <t>Yes</t>
        </is>
      </c>
      <c r="D342" t="inlineStr">
        <is>
          <t>Male</t>
        </is>
      </c>
      <c r="E342" t="inlineStr">
        <is>
          <t>45-54</t>
        </is>
      </c>
      <c r="F342" t="inlineStr">
        <is>
          <t>Bachelor/HND</t>
        </is>
      </c>
      <c r="G342" t="inlineStr">
        <is>
          <t>Fintech/payment provider</t>
        </is>
      </c>
      <c r="H342" t="inlineStr">
        <is>
          <t>Risk/Compliance</t>
        </is>
      </c>
      <c r="I342" t="inlineStr">
        <is>
          <t>11-15</t>
        </is>
      </c>
      <c r="J342" t="inlineStr">
        <is>
          <t>Yes</t>
        </is>
      </c>
      <c r="K342" t="n">
        <v>2</v>
      </c>
      <c r="L342" t="inlineStr">
        <is>
          <t>Yes</t>
        </is>
      </c>
      <c r="M342" t="inlineStr">
        <is>
          <t>Yes</t>
        </is>
      </c>
      <c r="N342" t="n">
        <v>3</v>
      </c>
      <c r="O342" t="n">
        <v>3</v>
      </c>
      <c r="P342" t="n">
        <v>4</v>
      </c>
      <c r="Q342" t="n">
        <v>2</v>
      </c>
      <c r="R342" t="n">
        <v>3</v>
      </c>
      <c r="S342" t="n">
        <v>4</v>
      </c>
      <c r="T342" t="n">
        <v>3</v>
      </c>
      <c r="U342" t="n">
        <v>3</v>
      </c>
      <c r="V342" t="n">
        <v>2</v>
      </c>
      <c r="W342" t="n">
        <v>2</v>
      </c>
      <c r="X342" t="n">
        <v>1</v>
      </c>
      <c r="Y342" t="n">
        <v>2</v>
      </c>
      <c r="Z342" t="n">
        <v>3</v>
      </c>
      <c r="AA342" t="n">
        <v>2</v>
      </c>
      <c r="AB342" t="n">
        <v>1</v>
      </c>
      <c r="AC342" t="n">
        <v>2</v>
      </c>
      <c r="AD342" t="n">
        <v>3</v>
      </c>
      <c r="AE342" t="n">
        <v>3</v>
      </c>
      <c r="AF342" t="n">
        <v>3</v>
      </c>
      <c r="AG342" t="n">
        <v>3</v>
      </c>
      <c r="AH342" t="n">
        <v>2</v>
      </c>
      <c r="AI342" t="n">
        <v>4</v>
      </c>
      <c r="AJ342" t="n">
        <v>3</v>
      </c>
      <c r="AK342" t="n">
        <v>4</v>
      </c>
      <c r="AL342" t="n">
        <v>3</v>
      </c>
      <c r="AM342" t="n">
        <v>3</v>
      </c>
      <c r="AN342" t="n">
        <v>1</v>
      </c>
      <c r="AP342" t="n">
        <v>2</v>
      </c>
      <c r="AQ342" t="n">
        <v>1</v>
      </c>
      <c r="AR342" t="n">
        <v>4</v>
      </c>
      <c r="AS342" t="n">
        <v>2</v>
      </c>
      <c r="AT342" t="n">
        <v>2</v>
      </c>
      <c r="AU342" t="n">
        <v>2</v>
      </c>
      <c r="AV342" t="n">
        <v>1</v>
      </c>
      <c r="AW342" t="n">
        <v>3</v>
      </c>
      <c r="AX342" t="n">
        <v>3</v>
      </c>
      <c r="AY342" t="n">
        <v>2</v>
      </c>
      <c r="AZ342" t="n">
        <v>2</v>
      </c>
      <c r="BA342" t="n">
        <v>3</v>
      </c>
      <c r="BB342" t="n">
        <v>2</v>
      </c>
      <c r="BC342" t="n">
        <v>2</v>
      </c>
      <c r="BD342" t="n">
        <v>3</v>
      </c>
      <c r="BE342" t="n">
        <v>3</v>
      </c>
      <c r="BF342" t="n">
        <v>4</v>
      </c>
      <c r="BG342" t="n">
        <v>3</v>
      </c>
      <c r="BH342" t="n">
        <v>4</v>
      </c>
      <c r="BI342" t="n">
        <v>3</v>
      </c>
      <c r="BJ342" t="n">
        <v>3</v>
      </c>
      <c r="BK342" t="n">
        <v>3</v>
      </c>
      <c r="BL342" t="n">
        <v>2</v>
      </c>
      <c r="BM342" t="n">
        <v>3</v>
      </c>
      <c r="BN342" t="n">
        <v>2</v>
      </c>
      <c r="BO342" t="n">
        <v>4</v>
      </c>
      <c r="BP342" t="n">
        <v>3</v>
      </c>
      <c r="BQ342" t="n">
        <v>4</v>
      </c>
      <c r="BR342" t="n">
        <v>3</v>
      </c>
      <c r="BS342" s="56">
        <f>IF(COUNT(N342:W342)&gt;=8,AVERAGE(N342:W342),"")</f>
        <v/>
      </c>
      <c r="BT342" s="56">
        <f>IF(COUNT(X342:AE342)&gt;=7,AVERAGE(X342:AE342),"")</f>
        <v/>
      </c>
      <c r="BU342" s="56">
        <f>IF(COUNT(AF342:AM342)&gt;=7,AVERAGE(AF342:AM342),"")</f>
        <v/>
      </c>
      <c r="BV342" s="56">
        <f>IF(COUNT(AN342:AV342)&gt;=8,AVERAGE(AN342:AV342),"")</f>
        <v/>
      </c>
      <c r="BW342" s="56">
        <f>IF(COUNT(AW342:BD342)&gt;=7,AVERAGE(AW342:BD342),"")</f>
        <v/>
      </c>
      <c r="BX342" s="56">
        <f>IF(COUNT(BE342:BJ342)&gt;=5,AVERAGE(BE342:BJ342),"")</f>
        <v/>
      </c>
      <c r="BY342" s="56">
        <f>IF(COUNT(BK342:BR342)&gt;=7,AVERAGE(BK342:BR342),"")</f>
        <v/>
      </c>
    </row>
    <row r="343">
      <c r="A343" t="inlineStr">
        <is>
          <t>R312</t>
        </is>
      </c>
      <c r="B343" t="inlineStr">
        <is>
          <t>Yes</t>
        </is>
      </c>
      <c r="C343" t="inlineStr">
        <is>
          <t>Yes</t>
        </is>
      </c>
      <c r="D343" t="inlineStr">
        <is>
          <t>Female</t>
        </is>
      </c>
      <c r="E343" t="inlineStr">
        <is>
          <t>25-34</t>
        </is>
      </c>
      <c r="F343" t="inlineStr">
        <is>
          <t>Bachelor/HND</t>
        </is>
      </c>
      <c r="G343" t="inlineStr">
        <is>
          <t>Insurance/investment/other licensed financial institution</t>
        </is>
      </c>
      <c r="H343" t="inlineStr">
        <is>
          <t>IT/Technology</t>
        </is>
      </c>
      <c r="I343" t="inlineStr">
        <is>
          <t>6-10</t>
        </is>
      </c>
      <c r="J343" t="inlineStr">
        <is>
          <t>Yes</t>
        </is>
      </c>
      <c r="K343" t="n">
        <v>0</v>
      </c>
      <c r="L343" t="inlineStr">
        <is>
          <t>No</t>
        </is>
      </c>
      <c r="M343" t="inlineStr">
        <is>
          <t>Yes</t>
        </is>
      </c>
      <c r="N343" t="n">
        <v>3</v>
      </c>
      <c r="O343" t="n">
        <v>4</v>
      </c>
      <c r="P343" t="n">
        <v>3</v>
      </c>
      <c r="Q343" t="n">
        <v>2</v>
      </c>
      <c r="R343" t="n">
        <v>3</v>
      </c>
      <c r="S343" t="n">
        <v>3</v>
      </c>
      <c r="T343" t="n">
        <v>2</v>
      </c>
      <c r="U343" t="n">
        <v>3</v>
      </c>
      <c r="V343" t="n">
        <v>3</v>
      </c>
      <c r="W343" t="n">
        <v>4</v>
      </c>
      <c r="X343" t="n">
        <v>2</v>
      </c>
      <c r="Y343" t="n">
        <v>3</v>
      </c>
      <c r="Z343" t="n">
        <v>3</v>
      </c>
      <c r="AA343" t="n">
        <v>4</v>
      </c>
      <c r="AB343" t="n">
        <v>3</v>
      </c>
      <c r="AC343" t="n">
        <v>3</v>
      </c>
      <c r="AD343" t="n">
        <v>3</v>
      </c>
      <c r="AE343" t="n">
        <v>3</v>
      </c>
      <c r="AF343" t="n">
        <v>4</v>
      </c>
      <c r="AG343" t="n">
        <v>3</v>
      </c>
      <c r="AH343" t="n">
        <v>3</v>
      </c>
      <c r="AI343" t="n">
        <v>2</v>
      </c>
      <c r="AJ343" t="n">
        <v>3</v>
      </c>
      <c r="AK343" t="n">
        <v>3</v>
      </c>
      <c r="AL343" t="n">
        <v>3</v>
      </c>
      <c r="AM343" t="n">
        <v>2</v>
      </c>
      <c r="AN343" t="n">
        <v>3</v>
      </c>
      <c r="AO343" t="n">
        <v>2</v>
      </c>
      <c r="AP343" t="n">
        <v>2</v>
      </c>
      <c r="AQ343" t="n">
        <v>2</v>
      </c>
      <c r="AR343" t="n">
        <v>3</v>
      </c>
      <c r="AS343" t="n">
        <v>3</v>
      </c>
      <c r="AT343" t="n">
        <v>3</v>
      </c>
      <c r="AV343" t="n">
        <v>3</v>
      </c>
      <c r="AW343" t="n">
        <v>4</v>
      </c>
      <c r="AX343" t="n">
        <v>3</v>
      </c>
      <c r="AY343" t="n">
        <v>3</v>
      </c>
      <c r="AZ343" t="n">
        <v>2</v>
      </c>
      <c r="BA343" t="n">
        <v>4</v>
      </c>
      <c r="BB343" t="n">
        <v>4</v>
      </c>
      <c r="BC343" t="n">
        <v>4</v>
      </c>
      <c r="BD343" t="n">
        <v>3</v>
      </c>
      <c r="BE343" t="n">
        <v>1</v>
      </c>
      <c r="BF343" t="n">
        <v>1</v>
      </c>
      <c r="BG343" t="n">
        <v>2</v>
      </c>
      <c r="BH343" t="n">
        <v>2</v>
      </c>
      <c r="BI343" t="n">
        <v>2</v>
      </c>
      <c r="BJ343" t="n">
        <v>3</v>
      </c>
      <c r="BK343" t="n">
        <v>4</v>
      </c>
      <c r="BL343" t="n">
        <v>3</v>
      </c>
      <c r="BM343" t="n">
        <v>4</v>
      </c>
      <c r="BN343" t="n">
        <v>2</v>
      </c>
      <c r="BO343" t="n">
        <v>2</v>
      </c>
      <c r="BP343" t="n">
        <v>3</v>
      </c>
      <c r="BQ343" t="n">
        <v>4</v>
      </c>
      <c r="BR343" t="n">
        <v>3</v>
      </c>
      <c r="BS343" s="56">
        <f>IF(COUNT(N343:W343)&gt;=8,AVERAGE(N343:W343),"")</f>
        <v/>
      </c>
      <c r="BT343" s="56">
        <f>IF(COUNT(X343:AE343)&gt;=7,AVERAGE(X343:AE343),"")</f>
        <v/>
      </c>
      <c r="BU343" s="56">
        <f>IF(COUNT(AF343:AM343)&gt;=7,AVERAGE(AF343:AM343),"")</f>
        <v/>
      </c>
      <c r="BV343" s="56">
        <f>IF(COUNT(AN343:AV343)&gt;=8,AVERAGE(AN343:AV343),"")</f>
        <v/>
      </c>
      <c r="BW343" s="56">
        <f>IF(COUNT(AW343:BD343)&gt;=7,AVERAGE(AW343:BD343),"")</f>
        <v/>
      </c>
      <c r="BX343" s="56">
        <f>IF(COUNT(BE343:BJ343)&gt;=5,AVERAGE(BE343:BJ343),"")</f>
        <v/>
      </c>
      <c r="BY343" s="56">
        <f>IF(COUNT(BK343:BR343)&gt;=7,AVERAGE(BK343:BR343),"")</f>
        <v/>
      </c>
    </row>
    <row r="344">
      <c r="A344" t="inlineStr">
        <is>
          <t>R313</t>
        </is>
      </c>
      <c r="B344" t="inlineStr">
        <is>
          <t>Yes</t>
        </is>
      </c>
      <c r="C344" t="inlineStr">
        <is>
          <t>Yes</t>
        </is>
      </c>
      <c r="D344" t="inlineStr">
        <is>
          <t>Prefer not to say</t>
        </is>
      </c>
      <c r="E344" t="inlineStr">
        <is>
          <t>45-54</t>
        </is>
      </c>
      <c r="F344" t="inlineStr">
        <is>
          <t>Other</t>
        </is>
      </c>
      <c r="G344" t="inlineStr">
        <is>
          <t>Microfinance bank</t>
        </is>
      </c>
      <c r="H344" t="inlineStr">
        <is>
          <t>Data/Analytics/AI</t>
        </is>
      </c>
      <c r="I344" t="inlineStr">
        <is>
          <t>16 or more</t>
        </is>
      </c>
      <c r="J344" t="inlineStr">
        <is>
          <t>Yes</t>
        </is>
      </c>
      <c r="K344" t="n">
        <v>0</v>
      </c>
      <c r="L344" t="inlineStr">
        <is>
          <t>Do not know</t>
        </is>
      </c>
      <c r="M344" t="inlineStr">
        <is>
          <t>Yes</t>
        </is>
      </c>
      <c r="N344" t="n">
        <v>4</v>
      </c>
      <c r="O344" t="n">
        <v>3</v>
      </c>
      <c r="P344" t="n">
        <v>3</v>
      </c>
      <c r="Q344" t="n">
        <v>4</v>
      </c>
      <c r="R344" t="n">
        <v>4</v>
      </c>
      <c r="S344" t="n">
        <v>5</v>
      </c>
      <c r="T344" t="n">
        <v>4</v>
      </c>
      <c r="U344" t="n">
        <v>3</v>
      </c>
      <c r="V344" t="n">
        <v>3</v>
      </c>
      <c r="W344" t="n">
        <v>4</v>
      </c>
      <c r="X344" t="n">
        <v>3</v>
      </c>
      <c r="Y344" t="n">
        <v>3</v>
      </c>
      <c r="Z344" t="n">
        <v>3</v>
      </c>
      <c r="AA344" t="n">
        <v>3</v>
      </c>
      <c r="AB344" t="n">
        <v>3</v>
      </c>
      <c r="AC344" t="n">
        <v>4</v>
      </c>
      <c r="AD344" t="n">
        <v>4</v>
      </c>
      <c r="AE344" t="n">
        <v>4</v>
      </c>
      <c r="AF344" t="n">
        <v>3</v>
      </c>
      <c r="AG344" t="n">
        <v>4</v>
      </c>
      <c r="AH344" t="n">
        <v>2</v>
      </c>
      <c r="AI344" t="n">
        <v>4</v>
      </c>
      <c r="AJ344" t="n">
        <v>2</v>
      </c>
      <c r="AK344" t="n">
        <v>3</v>
      </c>
      <c r="AL344" t="n">
        <v>3</v>
      </c>
      <c r="AM344" t="n">
        <v>2</v>
      </c>
      <c r="AN344" t="n">
        <v>3</v>
      </c>
      <c r="AO344" t="n">
        <v>4</v>
      </c>
      <c r="AP344" t="n">
        <v>4</v>
      </c>
      <c r="AQ344" t="n">
        <v>4</v>
      </c>
      <c r="AR344" t="n">
        <v>4</v>
      </c>
      <c r="AS344" t="n">
        <v>4</v>
      </c>
      <c r="AT344" t="n">
        <v>2</v>
      </c>
      <c r="AU344" t="n">
        <v>3</v>
      </c>
      <c r="AV344" t="n">
        <v>4</v>
      </c>
      <c r="AW344" t="n">
        <v>5</v>
      </c>
      <c r="AX344" t="n">
        <v>4</v>
      </c>
      <c r="AY344" t="n">
        <v>4</v>
      </c>
      <c r="AZ344" t="n">
        <v>4</v>
      </c>
      <c r="BA344" t="n">
        <v>4</v>
      </c>
      <c r="BB344" t="n">
        <v>4</v>
      </c>
      <c r="BC344" t="n">
        <v>4</v>
      </c>
      <c r="BD344" t="n">
        <v>3</v>
      </c>
      <c r="BE344" t="n">
        <v>2</v>
      </c>
      <c r="BF344" t="n">
        <v>3</v>
      </c>
      <c r="BG344" t="n">
        <v>3</v>
      </c>
      <c r="BH344" t="n">
        <v>4</v>
      </c>
      <c r="BI344" t="n">
        <v>4</v>
      </c>
      <c r="BJ344" t="n">
        <v>3</v>
      </c>
      <c r="BK344" t="n">
        <v>2</v>
      </c>
      <c r="BL344" t="n">
        <v>3</v>
      </c>
      <c r="BM344" t="n">
        <v>4</v>
      </c>
      <c r="BN344" t="n">
        <v>2</v>
      </c>
      <c r="BO344" t="n">
        <v>4</v>
      </c>
      <c r="BP344" t="n">
        <v>3</v>
      </c>
      <c r="BQ344" t="n">
        <v>3</v>
      </c>
      <c r="BR344" t="n">
        <v>3</v>
      </c>
      <c r="BS344" s="56">
        <f>IF(COUNT(N344:W344)&gt;=8,AVERAGE(N344:W344),"")</f>
        <v/>
      </c>
      <c r="BT344" s="56">
        <f>IF(COUNT(X344:AE344)&gt;=7,AVERAGE(X344:AE344),"")</f>
        <v/>
      </c>
      <c r="BU344" s="56">
        <f>IF(COUNT(AF344:AM344)&gt;=7,AVERAGE(AF344:AM344),"")</f>
        <v/>
      </c>
      <c r="BV344" s="56">
        <f>IF(COUNT(AN344:AV344)&gt;=8,AVERAGE(AN344:AV344),"")</f>
        <v/>
      </c>
      <c r="BW344" s="56">
        <f>IF(COUNT(AW344:BD344)&gt;=7,AVERAGE(AW344:BD344),"")</f>
        <v/>
      </c>
      <c r="BX344" s="56">
        <f>IF(COUNT(BE344:BJ344)&gt;=5,AVERAGE(BE344:BJ344),"")</f>
        <v/>
      </c>
      <c r="BY344" s="56">
        <f>IF(COUNT(BK344:BR344)&gt;=7,AVERAGE(BK344:BR344),"")</f>
        <v/>
      </c>
    </row>
    <row r="345">
      <c r="A345" t="inlineStr">
        <is>
          <t>R314</t>
        </is>
      </c>
      <c r="B345" t="inlineStr">
        <is>
          <t>Yes</t>
        </is>
      </c>
      <c r="C345" t="inlineStr">
        <is>
          <t>Yes</t>
        </is>
      </c>
      <c r="D345" t="inlineStr">
        <is>
          <t>Female</t>
        </is>
      </c>
      <c r="E345" t="inlineStr">
        <is>
          <t>18-24</t>
        </is>
      </c>
      <c r="F345" t="inlineStr">
        <is>
          <t>Master's</t>
        </is>
      </c>
      <c r="G345" t="inlineStr">
        <is>
          <t>Merchant bank</t>
        </is>
      </c>
      <c r="H345" t="inlineStr">
        <is>
          <t>Relationship/Marketing</t>
        </is>
      </c>
      <c r="I345" t="inlineStr">
        <is>
          <t>2-5</t>
        </is>
      </c>
      <c r="J345" t="inlineStr">
        <is>
          <t>Yes</t>
        </is>
      </c>
      <c r="K345" t="n">
        <v>1</v>
      </c>
      <c r="L345" t="inlineStr">
        <is>
          <t>Do not know</t>
        </is>
      </c>
      <c r="M345" t="inlineStr">
        <is>
          <t>Yes</t>
        </is>
      </c>
      <c r="N345" t="n">
        <v>4</v>
      </c>
      <c r="O345" t="n">
        <v>3</v>
      </c>
      <c r="P345" t="n">
        <v>5</v>
      </c>
      <c r="Q345" t="n">
        <v>3</v>
      </c>
      <c r="R345" t="n">
        <v>4</v>
      </c>
      <c r="S345" t="n">
        <v>4</v>
      </c>
      <c r="T345" t="n">
        <v>4</v>
      </c>
      <c r="V345" t="n">
        <v>4</v>
      </c>
      <c r="W345" t="n">
        <v>4</v>
      </c>
      <c r="X345" t="n">
        <v>3</v>
      </c>
      <c r="Y345" t="n">
        <v>4</v>
      </c>
      <c r="Z345" t="n">
        <v>4</v>
      </c>
      <c r="AA345" t="n">
        <v>4</v>
      </c>
      <c r="AB345" t="n">
        <v>2</v>
      </c>
      <c r="AC345" t="n">
        <v>4</v>
      </c>
      <c r="AD345" t="n">
        <v>4</v>
      </c>
      <c r="AE345" t="n">
        <v>4</v>
      </c>
      <c r="AF345" t="n">
        <v>3</v>
      </c>
      <c r="AG345" t="n">
        <v>3</v>
      </c>
      <c r="AH345" t="n">
        <v>3</v>
      </c>
      <c r="AI345" t="n">
        <v>3</v>
      </c>
      <c r="AJ345" t="n">
        <v>3</v>
      </c>
      <c r="AK345" t="n">
        <v>3</v>
      </c>
      <c r="AL345" t="n">
        <v>3</v>
      </c>
      <c r="AM345" t="n">
        <v>4</v>
      </c>
      <c r="AN345" t="n">
        <v>5</v>
      </c>
      <c r="AO345" t="n">
        <v>4</v>
      </c>
      <c r="AP345" t="n">
        <v>4</v>
      </c>
      <c r="AQ345" t="n">
        <v>4</v>
      </c>
      <c r="AR345" t="n">
        <v>4</v>
      </c>
      <c r="AT345" t="n">
        <v>3</v>
      </c>
      <c r="AU345" t="n">
        <v>3</v>
      </c>
      <c r="AV345" t="n">
        <v>4</v>
      </c>
      <c r="AW345" t="n">
        <v>4</v>
      </c>
      <c r="AX345" t="n">
        <v>3</v>
      </c>
      <c r="AY345" t="n">
        <v>2</v>
      </c>
      <c r="AZ345" t="n">
        <v>4</v>
      </c>
      <c r="BA345" t="n">
        <v>4</v>
      </c>
      <c r="BB345" t="n">
        <v>3</v>
      </c>
      <c r="BC345" t="n">
        <v>3</v>
      </c>
      <c r="BD345" t="n">
        <v>3</v>
      </c>
      <c r="BE345" t="n">
        <v>2</v>
      </c>
      <c r="BF345" t="n">
        <v>3</v>
      </c>
      <c r="BG345" t="n">
        <v>3</v>
      </c>
      <c r="BH345" t="n">
        <v>3</v>
      </c>
      <c r="BI345" t="n">
        <v>3</v>
      </c>
      <c r="BJ345" t="n">
        <v>3</v>
      </c>
      <c r="BK345" t="n">
        <v>3</v>
      </c>
      <c r="BL345" t="n">
        <v>3</v>
      </c>
      <c r="BM345" t="n">
        <v>3</v>
      </c>
      <c r="BN345" t="n">
        <v>2</v>
      </c>
      <c r="BO345" t="n">
        <v>3</v>
      </c>
      <c r="BP345" t="n">
        <v>3</v>
      </c>
      <c r="BQ345" t="n">
        <v>4</v>
      </c>
      <c r="BR345" t="n">
        <v>3</v>
      </c>
      <c r="BS345" s="56">
        <f>IF(COUNT(N345:W345)&gt;=8,AVERAGE(N345:W345),"")</f>
        <v/>
      </c>
      <c r="BT345" s="56">
        <f>IF(COUNT(X345:AE345)&gt;=7,AVERAGE(X345:AE345),"")</f>
        <v/>
      </c>
      <c r="BU345" s="56">
        <f>IF(COUNT(AF345:AM345)&gt;=7,AVERAGE(AF345:AM345),"")</f>
        <v/>
      </c>
      <c r="BV345" s="56">
        <f>IF(COUNT(AN345:AV345)&gt;=8,AVERAGE(AN345:AV345),"")</f>
        <v/>
      </c>
      <c r="BW345" s="56">
        <f>IF(COUNT(AW345:BD345)&gt;=7,AVERAGE(AW345:BD345),"")</f>
        <v/>
      </c>
      <c r="BX345" s="56">
        <f>IF(COUNT(BE345:BJ345)&gt;=5,AVERAGE(BE345:BJ345),"")</f>
        <v/>
      </c>
      <c r="BY345" s="56">
        <f>IF(COUNT(BK345:BR345)&gt;=7,AVERAGE(BK345:BR345),"")</f>
        <v/>
      </c>
    </row>
    <row r="346">
      <c r="A346" t="inlineStr">
        <is>
          <t>R315</t>
        </is>
      </c>
      <c r="B346" t="inlineStr">
        <is>
          <t>Yes</t>
        </is>
      </c>
      <c r="C346" t="inlineStr">
        <is>
          <t>Yes</t>
        </is>
      </c>
      <c r="D346" t="inlineStr">
        <is>
          <t>Male</t>
        </is>
      </c>
      <c r="E346" t="inlineStr">
        <is>
          <t>35-44</t>
        </is>
      </c>
      <c r="F346" t="inlineStr">
        <is>
          <t>Bachelor/HND</t>
        </is>
      </c>
      <c r="G346" t="inlineStr">
        <is>
          <t>Commercial bank</t>
        </is>
      </c>
      <c r="H346" t="inlineStr">
        <is>
          <t>Data/Analytics/AI</t>
        </is>
      </c>
      <c r="I346" t="inlineStr">
        <is>
          <t>11-15</t>
        </is>
      </c>
      <c r="J346" t="inlineStr">
        <is>
          <t>Yes</t>
        </is>
      </c>
      <c r="K346" t="n">
        <v>2</v>
      </c>
      <c r="L346" t="inlineStr">
        <is>
          <t>Yes</t>
        </is>
      </c>
      <c r="M346" t="inlineStr">
        <is>
          <t>Yes</t>
        </is>
      </c>
      <c r="N346" t="n">
        <v>4</v>
      </c>
      <c r="O346" t="n">
        <v>2</v>
      </c>
      <c r="P346" t="n">
        <v>2</v>
      </c>
      <c r="Q346" t="n">
        <v>3</v>
      </c>
      <c r="R346" t="n">
        <v>2</v>
      </c>
      <c r="S346" t="n">
        <v>3</v>
      </c>
      <c r="T346" t="n">
        <v>2</v>
      </c>
      <c r="U346" t="n">
        <v>2</v>
      </c>
      <c r="V346" t="n">
        <v>3</v>
      </c>
      <c r="W346" t="n">
        <v>3</v>
      </c>
      <c r="X346" t="n">
        <v>4</v>
      </c>
      <c r="Y346" t="n">
        <v>2</v>
      </c>
      <c r="Z346" t="n">
        <v>4</v>
      </c>
      <c r="AA346" t="n">
        <v>3</v>
      </c>
      <c r="AB346" t="n">
        <v>4</v>
      </c>
      <c r="AC346" t="n">
        <v>3</v>
      </c>
      <c r="AD346" t="n">
        <v>5</v>
      </c>
      <c r="AE346" t="n">
        <v>4</v>
      </c>
      <c r="AF346" t="n">
        <v>2</v>
      </c>
      <c r="AG346" t="n">
        <v>5</v>
      </c>
      <c r="AH346" t="n">
        <v>3</v>
      </c>
      <c r="AI346" t="n">
        <v>4</v>
      </c>
      <c r="AJ346" t="n">
        <v>3</v>
      </c>
      <c r="AK346" t="n">
        <v>4</v>
      </c>
      <c r="AL346" t="n">
        <v>4</v>
      </c>
      <c r="AM346" t="n">
        <v>3</v>
      </c>
      <c r="AN346" t="n">
        <v>3</v>
      </c>
      <c r="AO346" t="n">
        <v>3</v>
      </c>
      <c r="AP346" t="n">
        <v>3</v>
      </c>
      <c r="AQ346" t="n">
        <v>3</v>
      </c>
      <c r="AR346" t="n">
        <v>4</v>
      </c>
      <c r="AS346" t="n">
        <v>2</v>
      </c>
      <c r="AT346" t="n">
        <v>4</v>
      </c>
      <c r="AU346" t="n">
        <v>3</v>
      </c>
      <c r="AV346" t="n">
        <v>4</v>
      </c>
      <c r="AW346" t="n">
        <v>4</v>
      </c>
      <c r="AX346" t="n">
        <v>3</v>
      </c>
      <c r="AY346" t="n">
        <v>4</v>
      </c>
      <c r="AZ346" t="n">
        <v>3</v>
      </c>
      <c r="BA346" t="n">
        <v>3</v>
      </c>
      <c r="BB346" t="n">
        <v>2</v>
      </c>
      <c r="BC346" t="n">
        <v>3</v>
      </c>
      <c r="BD346" t="n">
        <v>2</v>
      </c>
      <c r="BE346" t="n">
        <v>3</v>
      </c>
      <c r="BF346" t="n">
        <v>4</v>
      </c>
      <c r="BG346" t="n">
        <v>3</v>
      </c>
      <c r="BH346" t="n">
        <v>3</v>
      </c>
      <c r="BI346" t="n">
        <v>3</v>
      </c>
      <c r="BJ346" t="n">
        <v>3</v>
      </c>
      <c r="BK346" t="n">
        <v>3</v>
      </c>
      <c r="BL346" t="n">
        <v>4</v>
      </c>
      <c r="BM346" t="n">
        <v>3</v>
      </c>
      <c r="BN346" t="n">
        <v>2</v>
      </c>
      <c r="BO346" t="n">
        <v>3</v>
      </c>
      <c r="BP346" t="n">
        <v>4</v>
      </c>
      <c r="BQ346" t="n">
        <v>4</v>
      </c>
      <c r="BR346" t="n">
        <v>2</v>
      </c>
      <c r="BS346" s="56">
        <f>IF(COUNT(N346:W346)&gt;=8,AVERAGE(N346:W346),"")</f>
        <v/>
      </c>
      <c r="BT346" s="56">
        <f>IF(COUNT(X346:AE346)&gt;=7,AVERAGE(X346:AE346),"")</f>
        <v/>
      </c>
      <c r="BU346" s="56">
        <f>IF(COUNT(AF346:AM346)&gt;=7,AVERAGE(AF346:AM346),"")</f>
        <v/>
      </c>
      <c r="BV346" s="56">
        <f>IF(COUNT(AN346:AV346)&gt;=8,AVERAGE(AN346:AV346),"")</f>
        <v/>
      </c>
      <c r="BW346" s="56">
        <f>IF(COUNT(AW346:BD346)&gt;=7,AVERAGE(AW346:BD346),"")</f>
        <v/>
      </c>
      <c r="BX346" s="56">
        <f>IF(COUNT(BE346:BJ346)&gt;=5,AVERAGE(BE346:BJ346),"")</f>
        <v/>
      </c>
      <c r="BY346" s="56">
        <f>IF(COUNT(BK346:BR346)&gt;=7,AVERAGE(BK346:BR346),"")</f>
        <v/>
      </c>
    </row>
    <row r="347">
      <c r="A347" t="inlineStr">
        <is>
          <t>R316</t>
        </is>
      </c>
      <c r="B347" t="inlineStr">
        <is>
          <t>Yes</t>
        </is>
      </c>
      <c r="C347" t="inlineStr">
        <is>
          <t>Yes</t>
        </is>
      </c>
      <c r="D347" t="inlineStr">
        <is>
          <t>Female</t>
        </is>
      </c>
      <c r="E347" t="inlineStr">
        <is>
          <t>45-54</t>
        </is>
      </c>
      <c r="F347" t="inlineStr">
        <is>
          <t>Bachelor/HND</t>
        </is>
      </c>
      <c r="G347" t="inlineStr">
        <is>
          <t>Fintech/payment provider</t>
        </is>
      </c>
      <c r="H347" t="inlineStr">
        <is>
          <t>Customer Experience/Service</t>
        </is>
      </c>
      <c r="I347" t="inlineStr">
        <is>
          <t>2-5</t>
        </is>
      </c>
      <c r="J347" t="inlineStr">
        <is>
          <t>Yes</t>
        </is>
      </c>
      <c r="K347" t="n">
        <v>2</v>
      </c>
      <c r="L347" t="inlineStr">
        <is>
          <t>No</t>
        </is>
      </c>
      <c r="M347" t="inlineStr">
        <is>
          <t>Yes</t>
        </is>
      </c>
      <c r="N347" t="n">
        <v>4</v>
      </c>
      <c r="O347" t="n">
        <v>4</v>
      </c>
      <c r="P347" t="n">
        <v>4</v>
      </c>
      <c r="Q347" t="n">
        <v>3</v>
      </c>
      <c r="R347" t="n">
        <v>3</v>
      </c>
      <c r="S347" t="n">
        <v>4</v>
      </c>
      <c r="T347" t="n">
        <v>3</v>
      </c>
      <c r="U347" t="n">
        <v>4</v>
      </c>
      <c r="V347" t="n">
        <v>5</v>
      </c>
      <c r="W347" t="n">
        <v>3</v>
      </c>
      <c r="X347" t="n">
        <v>3</v>
      </c>
      <c r="Y347" t="n">
        <v>3</v>
      </c>
      <c r="Z347" t="n">
        <v>3</v>
      </c>
      <c r="AA347" t="n">
        <v>2</v>
      </c>
      <c r="AB347" t="n">
        <v>3</v>
      </c>
      <c r="AC347" t="n">
        <v>3</v>
      </c>
      <c r="AD347" t="n">
        <v>3</v>
      </c>
      <c r="AE347" t="n">
        <v>3</v>
      </c>
      <c r="AF347" t="n">
        <v>3</v>
      </c>
      <c r="AG347" t="n">
        <v>4</v>
      </c>
      <c r="AH347" t="n">
        <v>2</v>
      </c>
      <c r="AI347" t="n">
        <v>3</v>
      </c>
      <c r="AJ347" t="n">
        <v>3</v>
      </c>
      <c r="AK347" t="n">
        <v>3</v>
      </c>
      <c r="AL347" t="n">
        <v>2</v>
      </c>
      <c r="AM347" t="n">
        <v>2</v>
      </c>
      <c r="AN347" t="n">
        <v>4</v>
      </c>
      <c r="AO347" t="n">
        <v>3</v>
      </c>
      <c r="AP347" t="n">
        <v>5</v>
      </c>
      <c r="AQ347" t="n">
        <v>3</v>
      </c>
      <c r="AR347" t="n">
        <v>5</v>
      </c>
      <c r="AS347" t="n">
        <v>4</v>
      </c>
      <c r="AT347" t="n">
        <v>4</v>
      </c>
      <c r="AU347" t="n">
        <v>4</v>
      </c>
      <c r="AV347" t="n">
        <v>4</v>
      </c>
      <c r="AX347" t="n">
        <v>3</v>
      </c>
      <c r="AZ347" t="n">
        <v>3</v>
      </c>
      <c r="BA347" t="n">
        <v>4</v>
      </c>
      <c r="BB347" t="n">
        <v>4</v>
      </c>
      <c r="BC347" t="n">
        <v>4</v>
      </c>
      <c r="BD347" t="n">
        <v>4</v>
      </c>
      <c r="BE347" t="n">
        <v>3</v>
      </c>
      <c r="BF347" t="n">
        <v>3</v>
      </c>
      <c r="BG347" t="n">
        <v>1</v>
      </c>
      <c r="BH347" t="n">
        <v>4</v>
      </c>
      <c r="BI347" t="n">
        <v>3</v>
      </c>
      <c r="BJ347" t="n">
        <v>3</v>
      </c>
      <c r="BK347" t="n">
        <v>3</v>
      </c>
      <c r="BL347" t="n">
        <v>3</v>
      </c>
      <c r="BM347" t="n">
        <v>2</v>
      </c>
      <c r="BN347" t="n">
        <v>2</v>
      </c>
      <c r="BO347" t="n">
        <v>4</v>
      </c>
      <c r="BP347" t="n">
        <v>3</v>
      </c>
      <c r="BQ347" t="n">
        <v>4</v>
      </c>
      <c r="BR347" t="n">
        <v>3</v>
      </c>
      <c r="BS347" s="56">
        <f>IF(COUNT(N347:W347)&gt;=8,AVERAGE(N347:W347),"")</f>
        <v/>
      </c>
      <c r="BT347" s="56">
        <f>IF(COUNT(X347:AE347)&gt;=7,AVERAGE(X347:AE347),"")</f>
        <v/>
      </c>
      <c r="BU347" s="56">
        <f>IF(COUNT(AF347:AM347)&gt;=7,AVERAGE(AF347:AM347),"")</f>
        <v/>
      </c>
      <c r="BV347" s="56">
        <f>IF(COUNT(AN347:AV347)&gt;=8,AVERAGE(AN347:AV347),"")</f>
        <v/>
      </c>
      <c r="BW347" s="56">
        <f>IF(COUNT(AW347:BD347)&gt;=7,AVERAGE(AW347:BD347),"")</f>
        <v/>
      </c>
      <c r="BX347" s="56">
        <f>IF(COUNT(BE347:BJ347)&gt;=5,AVERAGE(BE347:BJ347),"")</f>
        <v/>
      </c>
      <c r="BY347" s="56">
        <f>IF(COUNT(BK347:BR347)&gt;=7,AVERAGE(BK347:BR347),"")</f>
        <v/>
      </c>
    </row>
    <row r="348">
      <c r="A348" t="inlineStr">
        <is>
          <t>R317</t>
        </is>
      </c>
      <c r="B348" t="inlineStr">
        <is>
          <t>Yes</t>
        </is>
      </c>
      <c r="C348" t="inlineStr">
        <is>
          <t>Yes</t>
        </is>
      </c>
      <c r="D348" t="inlineStr">
        <is>
          <t>Male</t>
        </is>
      </c>
      <c r="E348" t="inlineStr">
        <is>
          <t>25-34</t>
        </is>
      </c>
      <c r="F348" t="inlineStr">
        <is>
          <t>Master's</t>
        </is>
      </c>
      <c r="G348" t="inlineStr">
        <is>
          <t>Merchant bank</t>
        </is>
      </c>
      <c r="H348" t="inlineStr">
        <is>
          <t>Risk/Compliance</t>
        </is>
      </c>
      <c r="I348" t="inlineStr">
        <is>
          <t>Less than 2</t>
        </is>
      </c>
      <c r="J348" t="inlineStr">
        <is>
          <t>Yes</t>
        </is>
      </c>
      <c r="K348" t="n">
        <v>1</v>
      </c>
      <c r="L348" t="inlineStr">
        <is>
          <t>Do not know</t>
        </is>
      </c>
      <c r="M348" t="inlineStr">
        <is>
          <t>Yes</t>
        </is>
      </c>
      <c r="N348" t="n">
        <v>3</v>
      </c>
      <c r="O348" t="n">
        <v>2</v>
      </c>
      <c r="P348" t="n">
        <v>3</v>
      </c>
      <c r="Q348" t="n">
        <v>1</v>
      </c>
      <c r="R348" t="n">
        <v>3</v>
      </c>
      <c r="S348" t="n">
        <v>3</v>
      </c>
      <c r="T348" t="n">
        <v>1</v>
      </c>
      <c r="U348" t="n">
        <v>3</v>
      </c>
      <c r="V348" t="n">
        <v>3</v>
      </c>
      <c r="W348" t="n">
        <v>3</v>
      </c>
      <c r="X348" t="n">
        <v>4</v>
      </c>
      <c r="Y348" t="n">
        <v>4</v>
      </c>
      <c r="Z348" t="n">
        <v>5</v>
      </c>
      <c r="AA348" t="n">
        <v>2</v>
      </c>
      <c r="AB348" t="n">
        <v>4</v>
      </c>
      <c r="AC348" t="n">
        <v>4</v>
      </c>
      <c r="AD348" t="n">
        <v>4</v>
      </c>
      <c r="AE348" t="n">
        <v>3</v>
      </c>
      <c r="AF348" t="n">
        <v>2</v>
      </c>
      <c r="AG348" t="n">
        <v>5</v>
      </c>
      <c r="AH348" t="n">
        <v>3</v>
      </c>
      <c r="AI348" t="n">
        <v>4</v>
      </c>
      <c r="AJ348" t="n">
        <v>2</v>
      </c>
      <c r="AK348" t="n">
        <v>5</v>
      </c>
      <c r="AL348" t="n">
        <v>4</v>
      </c>
      <c r="AM348" t="n">
        <v>4</v>
      </c>
      <c r="AN348" t="n">
        <v>3</v>
      </c>
      <c r="AO348" t="n">
        <v>1</v>
      </c>
      <c r="AP348" t="n">
        <v>2</v>
      </c>
      <c r="AQ348" t="n">
        <v>3</v>
      </c>
      <c r="AR348" t="n">
        <v>3</v>
      </c>
      <c r="AS348" t="n">
        <v>3</v>
      </c>
      <c r="AT348" t="n">
        <v>4</v>
      </c>
      <c r="AU348" t="n">
        <v>3</v>
      </c>
      <c r="AV348" t="n">
        <v>1</v>
      </c>
      <c r="AW348" t="n">
        <v>5</v>
      </c>
      <c r="AX348" t="n">
        <v>4</v>
      </c>
      <c r="AY348" t="n">
        <v>5</v>
      </c>
      <c r="AZ348" t="n">
        <v>4</v>
      </c>
      <c r="BA348" t="n">
        <v>4</v>
      </c>
      <c r="BB348" t="n">
        <v>4</v>
      </c>
      <c r="BC348" t="n">
        <v>4</v>
      </c>
      <c r="BD348" t="n">
        <v>4</v>
      </c>
      <c r="BE348" t="n">
        <v>3</v>
      </c>
      <c r="BF348" t="n">
        <v>4</v>
      </c>
      <c r="BG348" t="n">
        <v>1</v>
      </c>
      <c r="BH348" t="n">
        <v>2</v>
      </c>
      <c r="BI348" t="n">
        <v>3</v>
      </c>
      <c r="BJ348" t="n">
        <v>2</v>
      </c>
      <c r="BK348" t="n">
        <v>2</v>
      </c>
      <c r="BL348" t="n">
        <v>1</v>
      </c>
      <c r="BM348" t="n">
        <v>4</v>
      </c>
      <c r="BN348" t="n">
        <v>2</v>
      </c>
      <c r="BO348" t="n">
        <v>1</v>
      </c>
      <c r="BP348" t="n">
        <v>3</v>
      </c>
      <c r="BQ348" t="n">
        <v>4</v>
      </c>
      <c r="BR348" t="n">
        <v>2</v>
      </c>
      <c r="BS348" s="56">
        <f>IF(COUNT(N348:W348)&gt;=8,AVERAGE(N348:W348),"")</f>
        <v/>
      </c>
      <c r="BT348" s="56">
        <f>IF(COUNT(X348:AE348)&gt;=7,AVERAGE(X348:AE348),"")</f>
        <v/>
      </c>
      <c r="BU348" s="56">
        <f>IF(COUNT(AF348:AM348)&gt;=7,AVERAGE(AF348:AM348),"")</f>
        <v/>
      </c>
      <c r="BV348" s="56">
        <f>IF(COUNT(AN348:AV348)&gt;=8,AVERAGE(AN348:AV348),"")</f>
        <v/>
      </c>
      <c r="BW348" s="56">
        <f>IF(COUNT(AW348:BD348)&gt;=7,AVERAGE(AW348:BD348),"")</f>
        <v/>
      </c>
      <c r="BX348" s="56">
        <f>IF(COUNT(BE348:BJ348)&gt;=5,AVERAGE(BE348:BJ348),"")</f>
        <v/>
      </c>
      <c r="BY348" s="56">
        <f>IF(COUNT(BK348:BR348)&gt;=7,AVERAGE(BK348:BR348),"")</f>
        <v/>
      </c>
    </row>
    <row r="349">
      <c r="A349" t="inlineStr">
        <is>
          <t>R318</t>
        </is>
      </c>
      <c r="B349" t="inlineStr">
        <is>
          <t>Yes</t>
        </is>
      </c>
      <c r="C349" t="inlineStr">
        <is>
          <t>Yes</t>
        </is>
      </c>
      <c r="D349" t="inlineStr">
        <is>
          <t>Female</t>
        </is>
      </c>
      <c r="E349" t="inlineStr">
        <is>
          <t>35-44</t>
        </is>
      </c>
      <c r="F349" t="inlineStr">
        <is>
          <t>Doctorate</t>
        </is>
      </c>
      <c r="G349" t="inlineStr">
        <is>
          <t>Fintech/payment provider</t>
        </is>
      </c>
      <c r="H349" t="inlineStr">
        <is>
          <t>Data/Analytics/AI</t>
        </is>
      </c>
      <c r="I349" t="inlineStr">
        <is>
          <t>2-5</t>
        </is>
      </c>
      <c r="J349" t="inlineStr">
        <is>
          <t>Yes</t>
        </is>
      </c>
      <c r="K349" t="n">
        <v>4</v>
      </c>
      <c r="L349" t="inlineStr">
        <is>
          <t>Yes</t>
        </is>
      </c>
      <c r="M349" t="inlineStr">
        <is>
          <t>Yes</t>
        </is>
      </c>
      <c r="N349" t="n">
        <v>2</v>
      </c>
      <c r="O349" t="n">
        <v>2</v>
      </c>
      <c r="P349" t="n">
        <v>2</v>
      </c>
      <c r="Q349" t="n">
        <v>2</v>
      </c>
      <c r="R349" t="n">
        <v>1</v>
      </c>
      <c r="S349" t="n">
        <v>3</v>
      </c>
      <c r="T349" t="n">
        <v>2</v>
      </c>
      <c r="U349" t="n">
        <v>2</v>
      </c>
      <c r="V349" t="n">
        <v>1</v>
      </c>
      <c r="W349" t="n">
        <v>3</v>
      </c>
      <c r="X349" t="n">
        <v>5</v>
      </c>
      <c r="Y349" t="n">
        <v>5</v>
      </c>
      <c r="Z349" t="n">
        <v>5</v>
      </c>
      <c r="AA349" t="n">
        <v>4</v>
      </c>
      <c r="AB349" t="n">
        <v>5</v>
      </c>
      <c r="AC349" t="n">
        <v>5</v>
      </c>
      <c r="AD349" t="n">
        <v>4</v>
      </c>
      <c r="AE349" t="n">
        <v>4</v>
      </c>
      <c r="AF349" t="n">
        <v>3</v>
      </c>
      <c r="AG349" t="n">
        <v>4</v>
      </c>
      <c r="AH349" t="n">
        <v>3</v>
      </c>
      <c r="AI349" t="n">
        <v>4</v>
      </c>
      <c r="AJ349" t="n">
        <v>4</v>
      </c>
      <c r="AK349" t="n">
        <v>3</v>
      </c>
      <c r="AL349" t="n">
        <v>5</v>
      </c>
      <c r="AM349" t="n">
        <v>4</v>
      </c>
      <c r="AN349" t="n">
        <v>4</v>
      </c>
      <c r="AO349" t="n">
        <v>2</v>
      </c>
      <c r="AP349" t="n">
        <v>4</v>
      </c>
      <c r="AQ349" t="n">
        <v>2</v>
      </c>
      <c r="AR349" t="n">
        <v>4</v>
      </c>
      <c r="AS349" t="n">
        <v>3</v>
      </c>
      <c r="AT349" t="n">
        <v>4</v>
      </c>
      <c r="AU349" t="n">
        <v>2</v>
      </c>
      <c r="AV349" t="n">
        <v>3</v>
      </c>
      <c r="AW349" t="n">
        <v>5</v>
      </c>
      <c r="AX349" t="n">
        <v>3</v>
      </c>
      <c r="AY349" t="n">
        <v>4</v>
      </c>
      <c r="AZ349" t="n">
        <v>4</v>
      </c>
      <c r="BA349" t="n">
        <v>5</v>
      </c>
      <c r="BB349" t="n">
        <v>3</v>
      </c>
      <c r="BC349" t="n">
        <v>4</v>
      </c>
      <c r="BD349" t="n">
        <v>5</v>
      </c>
      <c r="BE349" t="n">
        <v>4</v>
      </c>
      <c r="BF349" t="n">
        <v>3</v>
      </c>
      <c r="BG349" t="n">
        <v>3</v>
      </c>
      <c r="BH349" t="n">
        <v>2</v>
      </c>
      <c r="BI349" t="n">
        <v>4</v>
      </c>
      <c r="BJ349" t="n">
        <v>3</v>
      </c>
      <c r="BK349" t="n">
        <v>4</v>
      </c>
      <c r="BL349" t="n">
        <v>2</v>
      </c>
      <c r="BM349" t="n">
        <v>3</v>
      </c>
      <c r="BN349" t="n">
        <v>4</v>
      </c>
      <c r="BO349" t="n">
        <v>3</v>
      </c>
      <c r="BP349" t="n">
        <v>3</v>
      </c>
      <c r="BQ349" t="n">
        <v>4</v>
      </c>
      <c r="BR349" t="n">
        <v>4</v>
      </c>
      <c r="BS349" s="56">
        <f>IF(COUNT(N349:W349)&gt;=8,AVERAGE(N349:W349),"")</f>
        <v/>
      </c>
      <c r="BT349" s="56">
        <f>IF(COUNT(X349:AE349)&gt;=7,AVERAGE(X349:AE349),"")</f>
        <v/>
      </c>
      <c r="BU349" s="56">
        <f>IF(COUNT(AF349:AM349)&gt;=7,AVERAGE(AF349:AM349),"")</f>
        <v/>
      </c>
      <c r="BV349" s="56">
        <f>IF(COUNT(AN349:AV349)&gt;=8,AVERAGE(AN349:AV349),"")</f>
        <v/>
      </c>
      <c r="BW349" s="56">
        <f>IF(COUNT(AW349:BD349)&gt;=7,AVERAGE(AW349:BD349),"")</f>
        <v/>
      </c>
      <c r="BX349" s="56">
        <f>IF(COUNT(BE349:BJ349)&gt;=5,AVERAGE(BE349:BJ349),"")</f>
        <v/>
      </c>
      <c r="BY349" s="56">
        <f>IF(COUNT(BK349:BR349)&gt;=7,AVERAGE(BK349:BR349),"")</f>
        <v/>
      </c>
    </row>
    <row r="350">
      <c r="A350" t="inlineStr">
        <is>
          <t>R319</t>
        </is>
      </c>
      <c r="B350" t="inlineStr">
        <is>
          <t>Yes</t>
        </is>
      </c>
      <c r="C350" t="inlineStr">
        <is>
          <t>Yes</t>
        </is>
      </c>
      <c r="D350" t="inlineStr">
        <is>
          <t>Female</t>
        </is>
      </c>
      <c r="E350" t="inlineStr">
        <is>
          <t>25-34</t>
        </is>
      </c>
      <c r="F350" t="inlineStr">
        <is>
          <t>Bachelor/HND</t>
        </is>
      </c>
      <c r="G350" t="inlineStr">
        <is>
          <t>Commercial bank</t>
        </is>
      </c>
      <c r="H350" t="inlineStr">
        <is>
          <t>Digital Banking/Product</t>
        </is>
      </c>
      <c r="I350" t="inlineStr">
        <is>
          <t>6-10</t>
        </is>
      </c>
      <c r="J350" t="inlineStr">
        <is>
          <t>Yes</t>
        </is>
      </c>
      <c r="K350" t="n">
        <v>2</v>
      </c>
      <c r="L350" t="inlineStr">
        <is>
          <t>Yes</t>
        </is>
      </c>
      <c r="M350" t="inlineStr">
        <is>
          <t>Yes</t>
        </is>
      </c>
      <c r="N350" t="n">
        <v>3</v>
      </c>
      <c r="O350" t="n">
        <v>4</v>
      </c>
      <c r="P350" t="n">
        <v>3</v>
      </c>
      <c r="Q350" t="n">
        <v>3</v>
      </c>
      <c r="R350" t="n">
        <v>4</v>
      </c>
      <c r="S350" t="n">
        <v>4</v>
      </c>
      <c r="T350" t="n">
        <v>2</v>
      </c>
      <c r="U350" t="n">
        <v>3</v>
      </c>
      <c r="V350" t="n">
        <v>4</v>
      </c>
      <c r="W350" t="n">
        <v>4</v>
      </c>
      <c r="X350" t="n">
        <v>2</v>
      </c>
      <c r="Y350" t="n">
        <v>2</v>
      </c>
      <c r="Z350" t="n">
        <v>2</v>
      </c>
      <c r="AA350" t="n">
        <v>1</v>
      </c>
      <c r="AB350" t="n">
        <v>1</v>
      </c>
      <c r="AC350" t="n">
        <v>3</v>
      </c>
      <c r="AD350" t="n">
        <v>2</v>
      </c>
      <c r="AE350" t="n">
        <v>2</v>
      </c>
      <c r="AF350" t="n">
        <v>1</v>
      </c>
      <c r="AG350" t="n">
        <v>2</v>
      </c>
      <c r="AH350" t="n">
        <v>2</v>
      </c>
      <c r="AI350" t="n">
        <v>3</v>
      </c>
      <c r="AJ350" t="n">
        <v>2</v>
      </c>
      <c r="AK350" t="n">
        <v>3</v>
      </c>
      <c r="AL350" t="n">
        <v>2</v>
      </c>
      <c r="AM350" t="n">
        <v>2</v>
      </c>
      <c r="AN350" t="n">
        <v>4</v>
      </c>
      <c r="AO350" t="n">
        <v>2</v>
      </c>
      <c r="AP350" t="n">
        <v>2</v>
      </c>
      <c r="AQ350" t="n">
        <v>3</v>
      </c>
      <c r="AR350" t="n">
        <v>3</v>
      </c>
      <c r="AS350" t="n">
        <v>3</v>
      </c>
      <c r="AT350" t="n">
        <v>2</v>
      </c>
      <c r="AU350" t="n">
        <v>2</v>
      </c>
      <c r="AV350" t="n">
        <v>3</v>
      </c>
      <c r="AW350" t="n">
        <v>3</v>
      </c>
      <c r="AX350" t="n">
        <v>4</v>
      </c>
      <c r="AY350" t="n">
        <v>2</v>
      </c>
      <c r="AZ350" t="n">
        <v>1</v>
      </c>
      <c r="BA350" t="n">
        <v>3</v>
      </c>
      <c r="BB350" t="n">
        <v>2</v>
      </c>
      <c r="BC350" t="n">
        <v>3</v>
      </c>
      <c r="BD350" t="n">
        <v>2</v>
      </c>
      <c r="BE350" t="n">
        <v>4</v>
      </c>
      <c r="BF350" t="n">
        <v>4</v>
      </c>
      <c r="BG350" t="n">
        <v>3</v>
      </c>
      <c r="BI350" t="n">
        <v>3</v>
      </c>
      <c r="BJ350" t="n">
        <v>3</v>
      </c>
      <c r="BK350" t="n">
        <v>2</v>
      </c>
      <c r="BL350" t="n">
        <v>3</v>
      </c>
      <c r="BM350" t="n">
        <v>2</v>
      </c>
      <c r="BN350" t="n">
        <v>2</v>
      </c>
      <c r="BO350" t="n">
        <v>4</v>
      </c>
      <c r="BP350" t="n">
        <v>2</v>
      </c>
      <c r="BQ350" t="n">
        <v>3</v>
      </c>
      <c r="BR350" t="n">
        <v>2</v>
      </c>
      <c r="BS350" s="56">
        <f>IF(COUNT(N350:W350)&gt;=8,AVERAGE(N350:W350),"")</f>
        <v/>
      </c>
      <c r="BT350" s="56">
        <f>IF(COUNT(X350:AE350)&gt;=7,AVERAGE(X350:AE350),"")</f>
        <v/>
      </c>
      <c r="BU350" s="56">
        <f>IF(COUNT(AF350:AM350)&gt;=7,AVERAGE(AF350:AM350),"")</f>
        <v/>
      </c>
      <c r="BV350" s="56">
        <f>IF(COUNT(AN350:AV350)&gt;=8,AVERAGE(AN350:AV350),"")</f>
        <v/>
      </c>
      <c r="BW350" s="56">
        <f>IF(COUNT(AW350:BD350)&gt;=7,AVERAGE(AW350:BD350),"")</f>
        <v/>
      </c>
      <c r="BX350" s="56">
        <f>IF(COUNT(BE350:BJ350)&gt;=5,AVERAGE(BE350:BJ350),"")</f>
        <v/>
      </c>
      <c r="BY350" s="56">
        <f>IF(COUNT(BK350:BR350)&gt;=7,AVERAGE(BK350:BR350),"")</f>
        <v/>
      </c>
    </row>
    <row r="351">
      <c r="A351" t="inlineStr">
        <is>
          <t>R320</t>
        </is>
      </c>
      <c r="B351" t="inlineStr">
        <is>
          <t>Yes</t>
        </is>
      </c>
      <c r="C351" t="inlineStr">
        <is>
          <t>Yes</t>
        </is>
      </c>
      <c r="D351" t="inlineStr">
        <is>
          <t>Male</t>
        </is>
      </c>
      <c r="E351" t="inlineStr">
        <is>
          <t>25-34</t>
        </is>
      </c>
      <c r="F351" t="inlineStr">
        <is>
          <t>Master's</t>
        </is>
      </c>
      <c r="G351" t="inlineStr">
        <is>
          <t>Commercial bank</t>
        </is>
      </c>
      <c r="H351" t="inlineStr">
        <is>
          <t>Data/Analytics/AI</t>
        </is>
      </c>
      <c r="I351" t="inlineStr">
        <is>
          <t>2-5</t>
        </is>
      </c>
      <c r="J351" t="inlineStr">
        <is>
          <t>Yes</t>
        </is>
      </c>
      <c r="K351" t="n">
        <v>4</v>
      </c>
      <c r="L351" t="inlineStr">
        <is>
          <t>Yes</t>
        </is>
      </c>
      <c r="M351" t="inlineStr">
        <is>
          <t>Yes</t>
        </is>
      </c>
      <c r="N351" t="n">
        <v>3</v>
      </c>
      <c r="O351" t="n">
        <v>3</v>
      </c>
      <c r="P351" t="n">
        <v>4</v>
      </c>
      <c r="Q351" t="n">
        <v>3</v>
      </c>
      <c r="R351" t="n">
        <v>4</v>
      </c>
      <c r="S351" t="n">
        <v>4</v>
      </c>
      <c r="T351" t="n">
        <v>4</v>
      </c>
      <c r="U351" t="n">
        <v>4</v>
      </c>
      <c r="V351" t="n">
        <v>4</v>
      </c>
      <c r="W351" t="n">
        <v>3</v>
      </c>
      <c r="X351" t="n">
        <v>3</v>
      </c>
      <c r="Y351" t="n">
        <v>2</v>
      </c>
      <c r="Z351" t="n">
        <v>4</v>
      </c>
      <c r="AA351" t="n">
        <v>3</v>
      </c>
      <c r="AB351" t="n">
        <v>3</v>
      </c>
      <c r="AC351" t="n">
        <v>2</v>
      </c>
      <c r="AD351" t="n">
        <v>3</v>
      </c>
      <c r="AE351" t="n">
        <v>2</v>
      </c>
      <c r="AF351" t="n">
        <v>3</v>
      </c>
      <c r="AG351" t="n">
        <v>2</v>
      </c>
      <c r="AH351" t="n">
        <v>1</v>
      </c>
      <c r="AI351" t="n">
        <v>3</v>
      </c>
      <c r="AJ351" t="n">
        <v>1</v>
      </c>
      <c r="AK351" t="n">
        <v>3</v>
      </c>
      <c r="AL351" t="n">
        <v>3</v>
      </c>
      <c r="AM351" t="n">
        <v>3</v>
      </c>
      <c r="AN351" t="n">
        <v>2</v>
      </c>
      <c r="AO351" t="n">
        <v>3</v>
      </c>
      <c r="AP351" t="n">
        <v>4</v>
      </c>
      <c r="AQ351" t="n">
        <v>3</v>
      </c>
      <c r="AR351" t="n">
        <v>3</v>
      </c>
      <c r="AS351" t="n">
        <v>4</v>
      </c>
      <c r="AT351" t="n">
        <v>2</v>
      </c>
      <c r="AU351" t="n">
        <v>4</v>
      </c>
      <c r="AV351" t="n">
        <v>4</v>
      </c>
      <c r="AW351" t="n">
        <v>2</v>
      </c>
      <c r="AX351" t="n">
        <v>2</v>
      </c>
      <c r="AY351" t="n">
        <v>3</v>
      </c>
      <c r="AZ351" t="n">
        <v>3</v>
      </c>
      <c r="BA351" t="n">
        <v>2</v>
      </c>
      <c r="BB351" t="n">
        <v>3</v>
      </c>
      <c r="BC351" t="n">
        <v>3</v>
      </c>
      <c r="BD351" t="n">
        <v>1</v>
      </c>
      <c r="BE351" t="n">
        <v>3</v>
      </c>
      <c r="BF351" t="n">
        <v>3</v>
      </c>
      <c r="BG351" t="n">
        <v>3</v>
      </c>
      <c r="BH351" t="n">
        <v>3</v>
      </c>
      <c r="BI351" t="n">
        <v>4</v>
      </c>
      <c r="BJ351" t="n">
        <v>3</v>
      </c>
      <c r="BK351" t="n">
        <v>3</v>
      </c>
      <c r="BL351" t="n">
        <v>3</v>
      </c>
      <c r="BM351" t="n">
        <v>4</v>
      </c>
      <c r="BN351" t="n">
        <v>3</v>
      </c>
      <c r="BO351" t="n">
        <v>4</v>
      </c>
      <c r="BP351" t="n">
        <v>4</v>
      </c>
      <c r="BQ351" t="n">
        <v>4</v>
      </c>
      <c r="BR351" t="n">
        <v>3</v>
      </c>
      <c r="BS351" s="56">
        <f>IF(COUNT(N351:W351)&gt;=8,AVERAGE(N351:W351),"")</f>
        <v/>
      </c>
      <c r="BT351" s="56">
        <f>IF(COUNT(X351:AE351)&gt;=7,AVERAGE(X351:AE351),"")</f>
        <v/>
      </c>
      <c r="BU351" s="56">
        <f>IF(COUNT(AF351:AM351)&gt;=7,AVERAGE(AF351:AM351),"")</f>
        <v/>
      </c>
      <c r="BV351" s="56">
        <f>IF(COUNT(AN351:AV351)&gt;=8,AVERAGE(AN351:AV351),"")</f>
        <v/>
      </c>
      <c r="BW351" s="56">
        <f>IF(COUNT(AW351:BD351)&gt;=7,AVERAGE(AW351:BD351),"")</f>
        <v/>
      </c>
      <c r="BX351" s="56">
        <f>IF(COUNT(BE351:BJ351)&gt;=5,AVERAGE(BE351:BJ351),"")</f>
        <v/>
      </c>
      <c r="BY351" s="56">
        <f>IF(COUNT(BK351:BR351)&gt;=7,AVERAGE(BK351:BR351),"")</f>
        <v/>
      </c>
    </row>
    <row r="352">
      <c r="A352" t="inlineStr">
        <is>
          <t>R321</t>
        </is>
      </c>
      <c r="B352" t="inlineStr">
        <is>
          <t>Yes</t>
        </is>
      </c>
      <c r="C352" t="inlineStr">
        <is>
          <t>Yes</t>
        </is>
      </c>
      <c r="D352" t="inlineStr">
        <is>
          <t>Male</t>
        </is>
      </c>
      <c r="E352" t="inlineStr">
        <is>
          <t>25-34</t>
        </is>
      </c>
      <c r="F352" t="inlineStr">
        <is>
          <t>Bachelor/HND</t>
        </is>
      </c>
      <c r="G352" t="inlineStr">
        <is>
          <t>Commercial bank</t>
        </is>
      </c>
      <c r="H352" t="inlineStr">
        <is>
          <t>Risk/Compliance</t>
        </is>
      </c>
      <c r="I352" t="inlineStr">
        <is>
          <t>11-15</t>
        </is>
      </c>
      <c r="J352" t="inlineStr">
        <is>
          <t>Yes</t>
        </is>
      </c>
      <c r="K352" t="n">
        <v>1</v>
      </c>
      <c r="L352" t="inlineStr">
        <is>
          <t>Yes</t>
        </is>
      </c>
      <c r="M352" t="inlineStr">
        <is>
          <t>Yes</t>
        </is>
      </c>
      <c r="N352" t="n">
        <v>3</v>
      </c>
      <c r="O352" t="n">
        <v>2</v>
      </c>
      <c r="P352" t="n">
        <v>3</v>
      </c>
      <c r="Q352" t="n">
        <v>3</v>
      </c>
      <c r="R352" t="n">
        <v>4</v>
      </c>
      <c r="S352" t="n">
        <v>3</v>
      </c>
      <c r="T352" t="n">
        <v>3</v>
      </c>
      <c r="V352" t="n">
        <v>3</v>
      </c>
      <c r="W352" t="n">
        <v>2</v>
      </c>
      <c r="X352" t="n">
        <v>3</v>
      </c>
      <c r="Y352" t="n">
        <v>4</v>
      </c>
      <c r="Z352" t="n">
        <v>3</v>
      </c>
      <c r="AA352" t="n">
        <v>2</v>
      </c>
      <c r="AB352" t="n">
        <v>3</v>
      </c>
      <c r="AC352" t="n">
        <v>3</v>
      </c>
      <c r="AD352" t="n">
        <v>3</v>
      </c>
      <c r="AE352" t="n">
        <v>1</v>
      </c>
      <c r="AF352" t="n">
        <v>1</v>
      </c>
      <c r="AG352" t="n">
        <v>2</v>
      </c>
      <c r="AH352" t="n">
        <v>1</v>
      </c>
      <c r="AI352" t="n">
        <v>3</v>
      </c>
      <c r="AJ352" t="n">
        <v>3</v>
      </c>
      <c r="AK352" t="n">
        <v>2</v>
      </c>
      <c r="AL352" t="n">
        <v>3</v>
      </c>
      <c r="AM352" t="n">
        <v>2</v>
      </c>
      <c r="AN352" t="n">
        <v>3</v>
      </c>
      <c r="AO352" t="n">
        <v>4</v>
      </c>
      <c r="AP352" t="n">
        <v>2</v>
      </c>
      <c r="AQ352" t="n">
        <v>3</v>
      </c>
      <c r="AR352" t="n">
        <v>3</v>
      </c>
      <c r="AS352" t="n">
        <v>3</v>
      </c>
      <c r="AT352" t="n">
        <v>2</v>
      </c>
      <c r="AU352" t="n">
        <v>2</v>
      </c>
      <c r="AV352" t="n">
        <v>4</v>
      </c>
      <c r="AW352" t="n">
        <v>3</v>
      </c>
      <c r="AX352" t="n">
        <v>4</v>
      </c>
      <c r="AY352" t="n">
        <v>3</v>
      </c>
      <c r="AZ352" t="n">
        <v>3</v>
      </c>
      <c r="BA352" t="n">
        <v>4</v>
      </c>
      <c r="BB352" t="n">
        <v>2</v>
      </c>
      <c r="BC352" t="n">
        <v>3</v>
      </c>
      <c r="BD352" t="n">
        <v>3</v>
      </c>
      <c r="BE352" t="n">
        <v>3</v>
      </c>
      <c r="BF352" t="n">
        <v>2</v>
      </c>
      <c r="BG352" t="n">
        <v>2</v>
      </c>
      <c r="BH352" t="n">
        <v>3</v>
      </c>
      <c r="BI352" t="n">
        <v>3</v>
      </c>
      <c r="BJ352" t="n">
        <v>2</v>
      </c>
      <c r="BK352" t="n">
        <v>3</v>
      </c>
      <c r="BL352" t="n">
        <v>3</v>
      </c>
      <c r="BM352" t="n">
        <v>4</v>
      </c>
      <c r="BN352" t="n">
        <v>4</v>
      </c>
      <c r="BO352" t="n">
        <v>3</v>
      </c>
      <c r="BP352" t="n">
        <v>3</v>
      </c>
      <c r="BQ352" t="n">
        <v>4</v>
      </c>
      <c r="BR352" t="n">
        <v>3</v>
      </c>
      <c r="BS352" s="56">
        <f>IF(COUNT(N352:W352)&gt;=8,AVERAGE(N352:W352),"")</f>
        <v/>
      </c>
      <c r="BT352" s="56">
        <f>IF(COUNT(X352:AE352)&gt;=7,AVERAGE(X352:AE352),"")</f>
        <v/>
      </c>
      <c r="BU352" s="56">
        <f>IF(COUNT(AF352:AM352)&gt;=7,AVERAGE(AF352:AM352),"")</f>
        <v/>
      </c>
      <c r="BV352" s="56">
        <f>IF(COUNT(AN352:AV352)&gt;=8,AVERAGE(AN352:AV352),"")</f>
        <v/>
      </c>
      <c r="BW352" s="56">
        <f>IF(COUNT(AW352:BD352)&gt;=7,AVERAGE(AW352:BD352),"")</f>
        <v/>
      </c>
      <c r="BX352" s="56">
        <f>IF(COUNT(BE352:BJ352)&gt;=5,AVERAGE(BE352:BJ352),"")</f>
        <v/>
      </c>
      <c r="BY352" s="56">
        <f>IF(COUNT(BK352:BR352)&gt;=7,AVERAGE(BK352:BR352),"")</f>
        <v/>
      </c>
    </row>
    <row r="353">
      <c r="A353" t="inlineStr">
        <is>
          <t>R322</t>
        </is>
      </c>
      <c r="B353" t="inlineStr">
        <is>
          <t>Yes</t>
        </is>
      </c>
      <c r="C353" t="inlineStr">
        <is>
          <t>Yes</t>
        </is>
      </c>
      <c r="D353" t="inlineStr">
        <is>
          <t>Female</t>
        </is>
      </c>
      <c r="E353" t="inlineStr">
        <is>
          <t>45-54</t>
        </is>
      </c>
      <c r="F353" t="inlineStr">
        <is>
          <t>Bachelor/HND</t>
        </is>
      </c>
      <c r="G353" t="inlineStr">
        <is>
          <t>Commercial bank</t>
        </is>
      </c>
      <c r="H353" t="inlineStr">
        <is>
          <t>Customer Experience/Service</t>
        </is>
      </c>
      <c r="I353" t="inlineStr">
        <is>
          <t>2-5</t>
        </is>
      </c>
      <c r="J353" t="inlineStr">
        <is>
          <t>Yes</t>
        </is>
      </c>
      <c r="K353" t="n">
        <v>4</v>
      </c>
      <c r="L353" t="inlineStr">
        <is>
          <t>Yes</t>
        </is>
      </c>
      <c r="M353" t="inlineStr">
        <is>
          <t>Yes</t>
        </is>
      </c>
      <c r="N353" t="n">
        <v>5</v>
      </c>
      <c r="O353" t="n">
        <v>5</v>
      </c>
      <c r="P353" t="n">
        <v>5</v>
      </c>
      <c r="Q353" t="n">
        <v>3</v>
      </c>
      <c r="R353" t="n">
        <v>5</v>
      </c>
      <c r="S353" t="n">
        <v>5</v>
      </c>
      <c r="T353" t="n">
        <v>4</v>
      </c>
      <c r="U353" t="n">
        <v>5</v>
      </c>
      <c r="V353" t="n">
        <v>5</v>
      </c>
      <c r="W353" t="n">
        <v>4</v>
      </c>
      <c r="X353" t="n">
        <v>4</v>
      </c>
      <c r="Y353" t="n">
        <v>3</v>
      </c>
      <c r="Z353" t="n">
        <v>5</v>
      </c>
      <c r="AA353" t="n">
        <v>4</v>
      </c>
      <c r="AB353" t="n">
        <v>4</v>
      </c>
      <c r="AC353" t="n">
        <v>5</v>
      </c>
      <c r="AD353" t="n">
        <v>4</v>
      </c>
      <c r="AE353" t="n">
        <v>4</v>
      </c>
      <c r="AF353" t="n">
        <v>3</v>
      </c>
      <c r="AG353" t="n">
        <v>4</v>
      </c>
      <c r="AH353" t="n">
        <v>3</v>
      </c>
      <c r="AI353" t="n">
        <v>4</v>
      </c>
      <c r="AJ353" t="n">
        <v>3</v>
      </c>
      <c r="AK353" t="n">
        <v>5</v>
      </c>
      <c r="AL353" t="n">
        <v>4</v>
      </c>
      <c r="AM353" t="n">
        <v>4</v>
      </c>
      <c r="AN353" t="n">
        <v>3</v>
      </c>
      <c r="AO353" t="n">
        <v>3</v>
      </c>
      <c r="AP353" t="n">
        <v>2</v>
      </c>
      <c r="AQ353" t="n">
        <v>2</v>
      </c>
      <c r="AR353" t="n">
        <v>5</v>
      </c>
      <c r="AS353" t="n">
        <v>4</v>
      </c>
      <c r="AT353" t="n">
        <v>3</v>
      </c>
      <c r="AU353" t="n">
        <v>3</v>
      </c>
      <c r="AW353" t="n">
        <v>3</v>
      </c>
      <c r="AX353" t="n">
        <v>3</v>
      </c>
      <c r="AY353" t="n">
        <v>4</v>
      </c>
      <c r="AZ353" t="n">
        <v>3</v>
      </c>
      <c r="BA353" t="n">
        <v>4</v>
      </c>
      <c r="BB353" t="n">
        <v>4</v>
      </c>
      <c r="BC353" t="n">
        <v>4</v>
      </c>
      <c r="BD353" t="n">
        <v>3</v>
      </c>
      <c r="BE353" t="n">
        <v>4</v>
      </c>
      <c r="BG353" t="n">
        <v>3</v>
      </c>
      <c r="BH353" t="n">
        <v>4</v>
      </c>
      <c r="BI353" t="n">
        <v>4</v>
      </c>
      <c r="BJ353" t="n">
        <v>4</v>
      </c>
      <c r="BK353" t="n">
        <v>2</v>
      </c>
      <c r="BL353" t="n">
        <v>2</v>
      </c>
      <c r="BM353" t="n">
        <v>2</v>
      </c>
      <c r="BN353" t="n">
        <v>1</v>
      </c>
      <c r="BO353" t="n">
        <v>3</v>
      </c>
      <c r="BP353" t="n">
        <v>3</v>
      </c>
      <c r="BQ353" t="n">
        <v>3</v>
      </c>
      <c r="BR353" t="n">
        <v>3</v>
      </c>
      <c r="BS353" s="56">
        <f>IF(COUNT(N353:W353)&gt;=8,AVERAGE(N353:W353),"")</f>
        <v/>
      </c>
      <c r="BT353" s="56">
        <f>IF(COUNT(X353:AE353)&gt;=7,AVERAGE(X353:AE353),"")</f>
        <v/>
      </c>
      <c r="BU353" s="56">
        <f>IF(COUNT(AF353:AM353)&gt;=7,AVERAGE(AF353:AM353),"")</f>
        <v/>
      </c>
      <c r="BV353" s="56">
        <f>IF(COUNT(AN353:AV353)&gt;=8,AVERAGE(AN353:AV353),"")</f>
        <v/>
      </c>
      <c r="BW353" s="56">
        <f>IF(COUNT(AW353:BD353)&gt;=7,AVERAGE(AW353:BD353),"")</f>
        <v/>
      </c>
      <c r="BX353" s="56">
        <f>IF(COUNT(BE353:BJ353)&gt;=5,AVERAGE(BE353:BJ353),"")</f>
        <v/>
      </c>
      <c r="BY353" s="56">
        <f>IF(COUNT(BK353:BR353)&gt;=7,AVERAGE(BK353:BR353),"")</f>
        <v/>
      </c>
    </row>
    <row r="354">
      <c r="A354" t="inlineStr">
        <is>
          <t>R323</t>
        </is>
      </c>
      <c r="B354" t="inlineStr">
        <is>
          <t>Yes</t>
        </is>
      </c>
      <c r="C354" t="inlineStr">
        <is>
          <t>Yes</t>
        </is>
      </c>
      <c r="D354" t="inlineStr">
        <is>
          <t>Male</t>
        </is>
      </c>
      <c r="E354" t="inlineStr">
        <is>
          <t>35-44</t>
        </is>
      </c>
      <c r="F354" t="inlineStr">
        <is>
          <t>Bachelor/HND</t>
        </is>
      </c>
      <c r="G354" t="inlineStr">
        <is>
          <t>Digital bank/neobank</t>
        </is>
      </c>
      <c r="H354" t="inlineStr">
        <is>
          <t>Other</t>
        </is>
      </c>
      <c r="I354" t="inlineStr">
        <is>
          <t>2-5</t>
        </is>
      </c>
      <c r="J354" t="inlineStr">
        <is>
          <t>Yes</t>
        </is>
      </c>
      <c r="K354" t="n">
        <v>2</v>
      </c>
      <c r="L354" t="inlineStr">
        <is>
          <t>Yes</t>
        </is>
      </c>
      <c r="M354" t="inlineStr">
        <is>
          <t>Yes</t>
        </is>
      </c>
      <c r="N354" t="n">
        <v>2</v>
      </c>
      <c r="O354" t="n">
        <v>1</v>
      </c>
      <c r="P354" t="n">
        <v>1</v>
      </c>
      <c r="Q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3</v>
      </c>
      <c r="Y354" t="n">
        <v>2</v>
      </c>
      <c r="Z354" t="n">
        <v>3</v>
      </c>
      <c r="AA354" t="n">
        <v>2</v>
      </c>
      <c r="AB354" t="n">
        <v>3</v>
      </c>
      <c r="AC354" t="n">
        <v>3</v>
      </c>
      <c r="AD354" t="n">
        <v>4</v>
      </c>
      <c r="AE354" t="n">
        <v>2</v>
      </c>
      <c r="AF354" t="n">
        <v>2</v>
      </c>
      <c r="AH354" t="n">
        <v>1</v>
      </c>
      <c r="AI354" t="n">
        <v>3</v>
      </c>
      <c r="AJ354" t="n">
        <v>1</v>
      </c>
      <c r="AK354" t="n">
        <v>3</v>
      </c>
      <c r="AL354" t="n">
        <v>2</v>
      </c>
      <c r="AM354" t="n">
        <v>3</v>
      </c>
      <c r="AN354" t="n">
        <v>5</v>
      </c>
      <c r="AO354" t="n">
        <v>4</v>
      </c>
      <c r="AP354" t="n">
        <v>3</v>
      </c>
      <c r="AQ354" t="n">
        <v>3</v>
      </c>
      <c r="AR354" t="n">
        <v>4</v>
      </c>
      <c r="AS354" t="n">
        <v>3</v>
      </c>
      <c r="AT354" t="n">
        <v>4</v>
      </c>
      <c r="AU354" t="n">
        <v>5</v>
      </c>
      <c r="AV354" t="n">
        <v>5</v>
      </c>
      <c r="AW354" t="n">
        <v>4</v>
      </c>
      <c r="AX354" t="n">
        <v>3</v>
      </c>
      <c r="AY354" t="n">
        <v>3</v>
      </c>
      <c r="AZ354" t="n">
        <v>3</v>
      </c>
      <c r="BA354" t="n">
        <v>3</v>
      </c>
      <c r="BB354" t="n">
        <v>3</v>
      </c>
      <c r="BC354" t="n">
        <v>4</v>
      </c>
      <c r="BD354" t="n">
        <v>2</v>
      </c>
      <c r="BE354" t="n">
        <v>3</v>
      </c>
      <c r="BF354" t="n">
        <v>3</v>
      </c>
      <c r="BG354" t="n">
        <v>2</v>
      </c>
      <c r="BH354" t="n">
        <v>3</v>
      </c>
      <c r="BI354" t="n">
        <v>3</v>
      </c>
      <c r="BJ354" t="n">
        <v>3</v>
      </c>
      <c r="BK354" t="n">
        <v>4</v>
      </c>
      <c r="BL354" t="n">
        <v>3</v>
      </c>
      <c r="BM354" t="n">
        <v>3</v>
      </c>
      <c r="BN354" t="n">
        <v>2</v>
      </c>
      <c r="BO354" t="n">
        <v>2</v>
      </c>
      <c r="BP354" t="n">
        <v>2</v>
      </c>
      <c r="BQ354" t="n">
        <v>3</v>
      </c>
      <c r="BR354" t="n">
        <v>3</v>
      </c>
      <c r="BS354" s="56">
        <f>IF(COUNT(N354:W354)&gt;=8,AVERAGE(N354:W354),"")</f>
        <v/>
      </c>
      <c r="BT354" s="56">
        <f>IF(COUNT(X354:AE354)&gt;=7,AVERAGE(X354:AE354),"")</f>
        <v/>
      </c>
      <c r="BU354" s="56">
        <f>IF(COUNT(AF354:AM354)&gt;=7,AVERAGE(AF354:AM354),"")</f>
        <v/>
      </c>
      <c r="BV354" s="56">
        <f>IF(COUNT(AN354:AV354)&gt;=8,AVERAGE(AN354:AV354),"")</f>
        <v/>
      </c>
      <c r="BW354" s="56">
        <f>IF(COUNT(AW354:BD354)&gt;=7,AVERAGE(AW354:BD354),"")</f>
        <v/>
      </c>
      <c r="BX354" s="56">
        <f>IF(COUNT(BE354:BJ354)&gt;=5,AVERAGE(BE354:BJ354),"")</f>
        <v/>
      </c>
      <c r="BY354" s="56">
        <f>IF(COUNT(BK354:BR354)&gt;=7,AVERAGE(BK354:BR354),"")</f>
        <v/>
      </c>
    </row>
    <row r="355">
      <c r="A355" t="inlineStr">
        <is>
          <t>R324</t>
        </is>
      </c>
      <c r="B355" t="inlineStr">
        <is>
          <t>Yes</t>
        </is>
      </c>
      <c r="C355" t="inlineStr">
        <is>
          <t>Yes</t>
        </is>
      </c>
      <c r="D355" t="inlineStr">
        <is>
          <t>Male</t>
        </is>
      </c>
      <c r="E355" t="inlineStr">
        <is>
          <t>45-54</t>
        </is>
      </c>
      <c r="F355" t="inlineStr">
        <is>
          <t>Bachelor/HND</t>
        </is>
      </c>
      <c r="G355" t="inlineStr">
        <is>
          <t>Digital bank/neobank</t>
        </is>
      </c>
      <c r="H355" t="inlineStr">
        <is>
          <t>Digital Banking/Product</t>
        </is>
      </c>
      <c r="I355" t="inlineStr">
        <is>
          <t>6-10</t>
        </is>
      </c>
      <c r="J355" t="inlineStr">
        <is>
          <t>Yes</t>
        </is>
      </c>
      <c r="K355" t="n">
        <v>0</v>
      </c>
      <c r="L355" t="inlineStr">
        <is>
          <t>Do not know</t>
        </is>
      </c>
      <c r="M355" t="inlineStr">
        <is>
          <t>Yes</t>
        </is>
      </c>
      <c r="N355" t="n">
        <v>4</v>
      </c>
      <c r="O355" t="n">
        <v>3</v>
      </c>
      <c r="P355" t="n">
        <v>4</v>
      </c>
      <c r="R355" t="n">
        <v>3</v>
      </c>
      <c r="S355" t="n">
        <v>3</v>
      </c>
      <c r="T355" t="n">
        <v>2</v>
      </c>
      <c r="U355" t="n">
        <v>3</v>
      </c>
      <c r="V355" t="n">
        <v>3</v>
      </c>
      <c r="W355" t="n">
        <v>3</v>
      </c>
      <c r="X355" t="n">
        <v>3</v>
      </c>
      <c r="Y355" t="n">
        <v>2</v>
      </c>
      <c r="Z355" t="n">
        <v>4</v>
      </c>
      <c r="AA355" t="n">
        <v>2</v>
      </c>
      <c r="AB355" t="n">
        <v>3</v>
      </c>
      <c r="AC355" t="n">
        <v>3</v>
      </c>
      <c r="AD355" t="n">
        <v>2</v>
      </c>
      <c r="AE355" t="n">
        <v>4</v>
      </c>
      <c r="AF355" t="n">
        <v>3</v>
      </c>
      <c r="AG355" t="n">
        <v>3</v>
      </c>
      <c r="AH355" t="n">
        <v>3</v>
      </c>
      <c r="AI355" t="n">
        <v>4</v>
      </c>
      <c r="AJ355" t="n">
        <v>4</v>
      </c>
      <c r="AK355" t="n">
        <v>5</v>
      </c>
      <c r="AL355" t="n">
        <v>5</v>
      </c>
      <c r="AM355" t="n">
        <v>3</v>
      </c>
      <c r="AN355" t="n">
        <v>4</v>
      </c>
      <c r="AQ355" t="n">
        <v>3</v>
      </c>
      <c r="AR355" t="n">
        <v>4</v>
      </c>
      <c r="AS355" t="n">
        <v>3</v>
      </c>
      <c r="AT355" t="n">
        <v>3</v>
      </c>
      <c r="AU355" t="n">
        <v>2</v>
      </c>
      <c r="AV355" t="n">
        <v>3</v>
      </c>
      <c r="AW355" t="n">
        <v>5</v>
      </c>
      <c r="AX355" t="n">
        <v>4</v>
      </c>
      <c r="AY355" t="n">
        <v>3</v>
      </c>
      <c r="AZ355" t="n">
        <v>5</v>
      </c>
      <c r="BA355" t="n">
        <v>4</v>
      </c>
      <c r="BB355" t="n">
        <v>4</v>
      </c>
      <c r="BC355" t="n">
        <v>4</v>
      </c>
      <c r="BD355" t="n">
        <v>3</v>
      </c>
      <c r="BE355" t="n">
        <v>2</v>
      </c>
      <c r="BF355" t="n">
        <v>4</v>
      </c>
      <c r="BG355" t="n">
        <v>3</v>
      </c>
      <c r="BH355" t="n">
        <v>4</v>
      </c>
      <c r="BI355" t="n">
        <v>4</v>
      </c>
      <c r="BJ355" t="n">
        <v>2</v>
      </c>
      <c r="BK355" t="n">
        <v>3</v>
      </c>
      <c r="BL355" t="n">
        <v>2</v>
      </c>
      <c r="BM355" t="n">
        <v>2</v>
      </c>
      <c r="BN355" t="n">
        <v>3</v>
      </c>
      <c r="BO355" t="n">
        <v>4</v>
      </c>
      <c r="BP355" t="n">
        <v>4</v>
      </c>
      <c r="BQ355" t="n">
        <v>4</v>
      </c>
      <c r="BR355" t="n">
        <v>3</v>
      </c>
      <c r="BS355" s="56">
        <f>IF(COUNT(N355:W355)&gt;=8,AVERAGE(N355:W355),"")</f>
        <v/>
      </c>
      <c r="BT355" s="56">
        <f>IF(COUNT(X355:AE355)&gt;=7,AVERAGE(X355:AE355),"")</f>
        <v/>
      </c>
      <c r="BU355" s="56">
        <f>IF(COUNT(AF355:AM355)&gt;=7,AVERAGE(AF355:AM355),"")</f>
        <v/>
      </c>
      <c r="BV355" s="56">
        <f>IF(COUNT(AN355:AV355)&gt;=8,AVERAGE(AN355:AV355),"")</f>
        <v/>
      </c>
      <c r="BW355" s="56">
        <f>IF(COUNT(AW355:BD355)&gt;=7,AVERAGE(AW355:BD355),"")</f>
        <v/>
      </c>
      <c r="BX355" s="56">
        <f>IF(COUNT(BE355:BJ355)&gt;=5,AVERAGE(BE355:BJ355),"")</f>
        <v/>
      </c>
      <c r="BY355" s="56">
        <f>IF(COUNT(BK355:BR355)&gt;=7,AVERAGE(BK355:BR355),"")</f>
        <v/>
      </c>
    </row>
    <row r="356">
      <c r="A356" t="inlineStr">
        <is>
          <t>R325</t>
        </is>
      </c>
      <c r="B356" t="inlineStr">
        <is>
          <t>Yes</t>
        </is>
      </c>
      <c r="C356" t="inlineStr">
        <is>
          <t>Yes</t>
        </is>
      </c>
      <c r="D356" t="inlineStr">
        <is>
          <t>Prefer not to say</t>
        </is>
      </c>
      <c r="E356" t="inlineStr">
        <is>
          <t>35-44</t>
        </is>
      </c>
      <c r="F356" t="inlineStr">
        <is>
          <t>Bachelor/HND</t>
        </is>
      </c>
      <c r="G356" t="inlineStr">
        <is>
          <t>Commercial bank</t>
        </is>
      </c>
      <c r="H356" t="inlineStr">
        <is>
          <t>Management/Strategy</t>
        </is>
      </c>
      <c r="I356" t="inlineStr">
        <is>
          <t>2-5</t>
        </is>
      </c>
      <c r="J356" t="inlineStr">
        <is>
          <t>Yes</t>
        </is>
      </c>
      <c r="K356" t="n">
        <v>2</v>
      </c>
      <c r="L356" t="inlineStr">
        <is>
          <t>Yes</t>
        </is>
      </c>
      <c r="M356" t="inlineStr">
        <is>
          <t>Yes</t>
        </is>
      </c>
      <c r="N356" t="n">
        <v>3</v>
      </c>
      <c r="O356" t="n">
        <v>2</v>
      </c>
      <c r="P356" t="n">
        <v>3</v>
      </c>
      <c r="Q356" t="n">
        <v>2</v>
      </c>
      <c r="R356" t="n">
        <v>2</v>
      </c>
      <c r="S356" t="n">
        <v>4</v>
      </c>
      <c r="T356" t="n">
        <v>2</v>
      </c>
      <c r="U356" t="n">
        <v>3</v>
      </c>
      <c r="V356" t="n">
        <v>3</v>
      </c>
      <c r="W356" t="n">
        <v>3</v>
      </c>
      <c r="X356" t="n">
        <v>3</v>
      </c>
      <c r="Y356" t="n">
        <v>3</v>
      </c>
      <c r="Z356" t="n">
        <v>4</v>
      </c>
      <c r="AA356" t="n">
        <v>3</v>
      </c>
      <c r="AB356" t="n">
        <v>4</v>
      </c>
      <c r="AC356" t="n">
        <v>3</v>
      </c>
      <c r="AD356" t="n">
        <v>4</v>
      </c>
      <c r="AE356" t="n">
        <v>4</v>
      </c>
      <c r="AF356" t="n">
        <v>2</v>
      </c>
      <c r="AG356" t="n">
        <v>2</v>
      </c>
      <c r="AH356" t="n">
        <v>2</v>
      </c>
      <c r="AI356" t="n">
        <v>3</v>
      </c>
      <c r="AJ356" t="n">
        <v>2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  <c r="AP356" t="n">
        <v>4</v>
      </c>
      <c r="AQ356" t="n">
        <v>3</v>
      </c>
      <c r="AR356" t="n">
        <v>4</v>
      </c>
      <c r="AS356" t="n">
        <v>4</v>
      </c>
      <c r="AT356" t="n">
        <v>4</v>
      </c>
      <c r="AV356" t="n">
        <v>4</v>
      </c>
      <c r="AW356" t="n">
        <v>3</v>
      </c>
      <c r="AX356" t="n">
        <v>3</v>
      </c>
      <c r="AY356" t="n">
        <v>4</v>
      </c>
      <c r="AZ356" t="n">
        <v>5</v>
      </c>
      <c r="BA356" t="n">
        <v>4</v>
      </c>
      <c r="BB356" t="n">
        <v>3</v>
      </c>
      <c r="BC356" t="n">
        <v>4</v>
      </c>
      <c r="BD356" t="n">
        <v>2</v>
      </c>
      <c r="BE356" t="n">
        <v>3</v>
      </c>
      <c r="BF356" t="n">
        <v>5</v>
      </c>
      <c r="BG356" t="n">
        <v>3</v>
      </c>
      <c r="BH356" t="n">
        <v>4</v>
      </c>
      <c r="BI356" t="n">
        <v>3</v>
      </c>
      <c r="BK356" t="n">
        <v>4</v>
      </c>
      <c r="BL356" t="n">
        <v>3</v>
      </c>
      <c r="BM356" t="n">
        <v>4</v>
      </c>
      <c r="BN356" t="n">
        <v>4</v>
      </c>
      <c r="BO356" t="n">
        <v>5</v>
      </c>
      <c r="BP356" t="n">
        <v>3</v>
      </c>
      <c r="BQ356" t="n">
        <v>4</v>
      </c>
      <c r="BR356" t="n">
        <v>3</v>
      </c>
      <c r="BS356" s="56">
        <f>IF(COUNT(N356:W356)&gt;=8,AVERAGE(N356:W356),"")</f>
        <v/>
      </c>
      <c r="BT356" s="56">
        <f>IF(COUNT(X356:AE356)&gt;=7,AVERAGE(X356:AE356),"")</f>
        <v/>
      </c>
      <c r="BU356" s="56">
        <f>IF(COUNT(AF356:AM356)&gt;=7,AVERAGE(AF356:AM356),"")</f>
        <v/>
      </c>
      <c r="BV356" s="56">
        <f>IF(COUNT(AN356:AV356)&gt;=8,AVERAGE(AN356:AV356),"")</f>
        <v/>
      </c>
      <c r="BW356" s="56">
        <f>IF(COUNT(AW356:BD356)&gt;=7,AVERAGE(AW356:BD356),"")</f>
        <v/>
      </c>
      <c r="BX356" s="56">
        <f>IF(COUNT(BE356:BJ356)&gt;=5,AVERAGE(BE356:BJ356),"")</f>
        <v/>
      </c>
      <c r="BY356" s="56">
        <f>IF(COUNT(BK356:BR356)&gt;=7,AVERAGE(BK356:BR356),"")</f>
        <v/>
      </c>
    </row>
    <row r="357">
      <c r="A357" t="inlineStr">
        <is>
          <t>R326</t>
        </is>
      </c>
      <c r="B357" t="inlineStr">
        <is>
          <t>Yes</t>
        </is>
      </c>
      <c r="C357" t="inlineStr">
        <is>
          <t>Yes</t>
        </is>
      </c>
      <c r="D357" t="inlineStr">
        <is>
          <t>Male</t>
        </is>
      </c>
      <c r="E357" t="inlineStr">
        <is>
          <t>25-34</t>
        </is>
      </c>
      <c r="F357" t="inlineStr">
        <is>
          <t>Master's</t>
        </is>
      </c>
      <c r="G357" t="inlineStr">
        <is>
          <t>Commercial bank</t>
        </is>
      </c>
      <c r="H357" t="inlineStr">
        <is>
          <t>Relationship/Marketing</t>
        </is>
      </c>
      <c r="I357" t="inlineStr">
        <is>
          <t>Less than 2</t>
        </is>
      </c>
      <c r="J357" t="inlineStr">
        <is>
          <t>Yes</t>
        </is>
      </c>
      <c r="K357" t="n">
        <v>1</v>
      </c>
      <c r="L357" t="inlineStr">
        <is>
          <t>Do not know</t>
        </is>
      </c>
      <c r="M357" t="inlineStr">
        <is>
          <t>Yes</t>
        </is>
      </c>
      <c r="N357" t="n">
        <v>2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2</v>
      </c>
      <c r="U357" t="n">
        <v>3</v>
      </c>
      <c r="V357" t="n">
        <v>3</v>
      </c>
      <c r="W357" t="n">
        <v>2</v>
      </c>
      <c r="X357" t="n">
        <v>4</v>
      </c>
      <c r="Y357" t="n">
        <v>2</v>
      </c>
      <c r="Z357" t="n">
        <v>3</v>
      </c>
      <c r="AA357" t="n">
        <v>2</v>
      </c>
      <c r="AB357" t="n">
        <v>2</v>
      </c>
      <c r="AC357" t="n">
        <v>2</v>
      </c>
      <c r="AD357" t="n">
        <v>5</v>
      </c>
      <c r="AE357" t="n">
        <v>4</v>
      </c>
      <c r="AF357" t="n">
        <v>4</v>
      </c>
      <c r="AG357" t="n">
        <v>5</v>
      </c>
      <c r="AH357" t="n">
        <v>3</v>
      </c>
      <c r="AJ357" t="n">
        <v>3</v>
      </c>
      <c r="AK357" t="n">
        <v>4</v>
      </c>
      <c r="AL357" t="n">
        <v>4</v>
      </c>
      <c r="AM357" t="n">
        <v>4</v>
      </c>
      <c r="AN357" t="n">
        <v>2</v>
      </c>
      <c r="AO357" t="n">
        <v>3</v>
      </c>
      <c r="AP357" t="n">
        <v>1</v>
      </c>
      <c r="AQ357" t="n">
        <v>2</v>
      </c>
      <c r="AR357" t="n">
        <v>2</v>
      </c>
      <c r="AS357" t="n">
        <v>2</v>
      </c>
      <c r="AT357" t="n">
        <v>2</v>
      </c>
      <c r="AU357" t="n">
        <v>2</v>
      </c>
      <c r="AV357" t="n">
        <v>2</v>
      </c>
      <c r="AW357" t="n">
        <v>4</v>
      </c>
      <c r="AX357" t="n">
        <v>4</v>
      </c>
      <c r="AY357" t="n">
        <v>3</v>
      </c>
      <c r="AZ357" t="n">
        <v>3</v>
      </c>
      <c r="BB357" t="n">
        <v>2</v>
      </c>
      <c r="BC357" t="n">
        <v>2</v>
      </c>
      <c r="BD357" t="n">
        <v>4</v>
      </c>
      <c r="BE357" t="n">
        <v>3</v>
      </c>
      <c r="BF357" t="n">
        <v>5</v>
      </c>
      <c r="BG357" t="n">
        <v>3</v>
      </c>
      <c r="BH357" t="n">
        <v>4</v>
      </c>
      <c r="BI357" t="n">
        <v>5</v>
      </c>
      <c r="BJ357" t="n">
        <v>4</v>
      </c>
      <c r="BK357" t="n">
        <v>2</v>
      </c>
      <c r="BL357" t="n">
        <v>3</v>
      </c>
      <c r="BM357" t="n">
        <v>3</v>
      </c>
      <c r="BN357" t="n">
        <v>3</v>
      </c>
      <c r="BO357" t="n">
        <v>2</v>
      </c>
      <c r="BP357" t="n">
        <v>3</v>
      </c>
      <c r="BQ357" t="n">
        <v>2</v>
      </c>
      <c r="BR357" t="n">
        <v>3</v>
      </c>
      <c r="BS357" s="56">
        <f>IF(COUNT(N357:W357)&gt;=8,AVERAGE(N357:W357),"")</f>
        <v/>
      </c>
      <c r="BT357" s="56">
        <f>IF(COUNT(X357:AE357)&gt;=7,AVERAGE(X357:AE357),"")</f>
        <v/>
      </c>
      <c r="BU357" s="56">
        <f>IF(COUNT(AF357:AM357)&gt;=7,AVERAGE(AF357:AM357),"")</f>
        <v/>
      </c>
      <c r="BV357" s="56">
        <f>IF(COUNT(AN357:AV357)&gt;=8,AVERAGE(AN357:AV357),"")</f>
        <v/>
      </c>
      <c r="BW357" s="56">
        <f>IF(COUNT(AW357:BD357)&gt;=7,AVERAGE(AW357:BD357),"")</f>
        <v/>
      </c>
      <c r="BX357" s="56">
        <f>IF(COUNT(BE357:BJ357)&gt;=5,AVERAGE(BE357:BJ357),"")</f>
        <v/>
      </c>
      <c r="BY357" s="56">
        <f>IF(COUNT(BK357:BR357)&gt;=7,AVERAGE(BK357:BR357),"")</f>
        <v/>
      </c>
    </row>
    <row r="358">
      <c r="A358" t="inlineStr">
        <is>
          <t>R327</t>
        </is>
      </c>
      <c r="B358" t="inlineStr">
        <is>
          <t>Yes</t>
        </is>
      </c>
      <c r="C358" t="inlineStr">
        <is>
          <t>Yes</t>
        </is>
      </c>
      <c r="D358" t="inlineStr">
        <is>
          <t>Male</t>
        </is>
      </c>
      <c r="E358" t="inlineStr">
        <is>
          <t>25-34</t>
        </is>
      </c>
      <c r="F358" t="inlineStr">
        <is>
          <t>Diploma/OND/NCE</t>
        </is>
      </c>
      <c r="G358" t="inlineStr">
        <is>
          <t>Commercial bank</t>
        </is>
      </c>
      <c r="H358" t="inlineStr">
        <is>
          <t>Customer Experience/Service</t>
        </is>
      </c>
      <c r="I358" t="inlineStr">
        <is>
          <t>2-5</t>
        </is>
      </c>
      <c r="J358" t="inlineStr">
        <is>
          <t>Yes</t>
        </is>
      </c>
      <c r="K358" t="n">
        <v>2</v>
      </c>
      <c r="L358" t="inlineStr">
        <is>
          <t>No</t>
        </is>
      </c>
      <c r="M358" t="inlineStr">
        <is>
          <t>Yes</t>
        </is>
      </c>
      <c r="N358" t="n">
        <v>4</v>
      </c>
      <c r="O358" t="n">
        <v>2</v>
      </c>
      <c r="P358" t="n">
        <v>4</v>
      </c>
      <c r="Q358" t="n">
        <v>3</v>
      </c>
      <c r="S358" t="n">
        <v>2</v>
      </c>
      <c r="T358" t="n">
        <v>2</v>
      </c>
      <c r="U358" t="n">
        <v>3</v>
      </c>
      <c r="V358" t="n">
        <v>3</v>
      </c>
      <c r="W358" t="n">
        <v>2</v>
      </c>
      <c r="X358" t="n">
        <v>3</v>
      </c>
      <c r="Y358" t="n">
        <v>3</v>
      </c>
      <c r="Z358" t="n">
        <v>4</v>
      </c>
      <c r="AA358" t="n">
        <v>2</v>
      </c>
      <c r="AB358" t="n">
        <v>3</v>
      </c>
      <c r="AC358" t="n">
        <v>3</v>
      </c>
      <c r="AD358" t="n">
        <v>4</v>
      </c>
      <c r="AE358" t="n">
        <v>2</v>
      </c>
      <c r="AF358" t="n">
        <v>3</v>
      </c>
      <c r="AG358" t="n">
        <v>3</v>
      </c>
      <c r="AH358" t="n">
        <v>2</v>
      </c>
      <c r="AI358" t="n">
        <v>3</v>
      </c>
      <c r="AJ358" t="n">
        <v>4</v>
      </c>
      <c r="AK358" t="n">
        <v>4</v>
      </c>
      <c r="AL358" t="n">
        <v>2</v>
      </c>
      <c r="AM358" t="n">
        <v>3</v>
      </c>
      <c r="AN358" t="n">
        <v>3</v>
      </c>
      <c r="AO358" t="n">
        <v>3</v>
      </c>
      <c r="AP358" t="n">
        <v>3</v>
      </c>
      <c r="AQ358" t="n">
        <v>2</v>
      </c>
      <c r="AR358" t="n">
        <v>3</v>
      </c>
      <c r="AS358" t="n">
        <v>3</v>
      </c>
      <c r="AT358" t="n">
        <v>4</v>
      </c>
      <c r="AU358" t="n">
        <v>3</v>
      </c>
      <c r="AW358" t="n">
        <v>3</v>
      </c>
      <c r="AX358" t="n">
        <v>2</v>
      </c>
      <c r="AY358" t="n">
        <v>2</v>
      </c>
      <c r="AZ358" t="n">
        <v>3</v>
      </c>
      <c r="BA358" t="n">
        <v>3</v>
      </c>
      <c r="BB358" t="n">
        <v>3</v>
      </c>
      <c r="BC358" t="n">
        <v>2</v>
      </c>
      <c r="BD358" t="n">
        <v>2</v>
      </c>
      <c r="BE358" t="n">
        <v>3</v>
      </c>
      <c r="BF358" t="n">
        <v>3</v>
      </c>
      <c r="BG358" t="n">
        <v>2</v>
      </c>
      <c r="BH358" t="n">
        <v>3</v>
      </c>
      <c r="BI358" t="n">
        <v>3</v>
      </c>
      <c r="BJ358" t="n">
        <v>3</v>
      </c>
      <c r="BK358" t="n">
        <v>4</v>
      </c>
      <c r="BL358" t="n">
        <v>3</v>
      </c>
      <c r="BM358" t="n">
        <v>4</v>
      </c>
      <c r="BN358" t="n">
        <v>2</v>
      </c>
      <c r="BO358" t="n">
        <v>3</v>
      </c>
      <c r="BP358" t="n">
        <v>4</v>
      </c>
      <c r="BQ358" t="n">
        <v>3</v>
      </c>
      <c r="BR358" t="n">
        <v>4</v>
      </c>
      <c r="BS358" s="56">
        <f>IF(COUNT(N358:W358)&gt;=8,AVERAGE(N358:W358),"")</f>
        <v/>
      </c>
      <c r="BT358" s="56">
        <f>IF(COUNT(X358:AE358)&gt;=7,AVERAGE(X358:AE358),"")</f>
        <v/>
      </c>
      <c r="BU358" s="56">
        <f>IF(COUNT(AF358:AM358)&gt;=7,AVERAGE(AF358:AM358),"")</f>
        <v/>
      </c>
      <c r="BV358" s="56">
        <f>IF(COUNT(AN358:AV358)&gt;=8,AVERAGE(AN358:AV358),"")</f>
        <v/>
      </c>
      <c r="BW358" s="56">
        <f>IF(COUNT(AW358:BD358)&gt;=7,AVERAGE(AW358:BD358),"")</f>
        <v/>
      </c>
      <c r="BX358" s="56">
        <f>IF(COUNT(BE358:BJ358)&gt;=5,AVERAGE(BE358:BJ358),"")</f>
        <v/>
      </c>
      <c r="BY358" s="56">
        <f>IF(COUNT(BK358:BR358)&gt;=7,AVERAGE(BK358:BR358),"")</f>
        <v/>
      </c>
    </row>
    <row r="359">
      <c r="A359" t="inlineStr">
        <is>
          <t>R328</t>
        </is>
      </c>
      <c r="B359" t="inlineStr">
        <is>
          <t>Yes</t>
        </is>
      </c>
      <c r="C359" t="inlineStr">
        <is>
          <t>Yes</t>
        </is>
      </c>
      <c r="D359" t="inlineStr">
        <is>
          <t>Female</t>
        </is>
      </c>
      <c r="E359" t="inlineStr">
        <is>
          <t>25-34</t>
        </is>
      </c>
      <c r="F359" t="inlineStr">
        <is>
          <t>Bachelor/HND</t>
        </is>
      </c>
      <c r="G359" t="inlineStr">
        <is>
          <t>Fintech/payment provider</t>
        </is>
      </c>
      <c r="H359" t="inlineStr">
        <is>
          <t>Management/Strategy</t>
        </is>
      </c>
      <c r="I359" t="inlineStr">
        <is>
          <t>Less than 2</t>
        </is>
      </c>
      <c r="J359" t="inlineStr">
        <is>
          <t>Yes</t>
        </is>
      </c>
      <c r="K359" t="n">
        <v>3</v>
      </c>
      <c r="L359" t="inlineStr">
        <is>
          <t>Yes</t>
        </is>
      </c>
      <c r="M359" t="inlineStr">
        <is>
          <t>Yes</t>
        </is>
      </c>
      <c r="N359" t="n">
        <v>4</v>
      </c>
      <c r="O359" t="n">
        <v>3</v>
      </c>
      <c r="P359" t="n">
        <v>3</v>
      </c>
      <c r="Q359" t="n">
        <v>3</v>
      </c>
      <c r="R359" t="n">
        <v>4</v>
      </c>
      <c r="S359" t="n">
        <v>3</v>
      </c>
      <c r="T359" t="n">
        <v>2</v>
      </c>
      <c r="U359" t="n">
        <v>3</v>
      </c>
      <c r="V359" t="n">
        <v>4</v>
      </c>
      <c r="W359" t="n">
        <v>2</v>
      </c>
      <c r="X359" t="n">
        <v>3</v>
      </c>
      <c r="Y359" t="n">
        <v>3</v>
      </c>
      <c r="Z359" t="n">
        <v>4</v>
      </c>
      <c r="AA359" t="n">
        <v>1</v>
      </c>
      <c r="AB359" t="n">
        <v>3</v>
      </c>
      <c r="AC359" t="n">
        <v>3</v>
      </c>
      <c r="AD359" t="n">
        <v>3</v>
      </c>
      <c r="AE359" t="n">
        <v>4</v>
      </c>
      <c r="AF359" t="n">
        <v>3</v>
      </c>
      <c r="AG359" t="n">
        <v>4</v>
      </c>
      <c r="AH359" t="n">
        <v>3</v>
      </c>
      <c r="AI359" t="n">
        <v>5</v>
      </c>
      <c r="AJ359" t="n">
        <v>5</v>
      </c>
      <c r="AK359" t="n">
        <v>5</v>
      </c>
      <c r="AL359" t="n">
        <v>3</v>
      </c>
      <c r="AM359" t="n">
        <v>4</v>
      </c>
      <c r="AN359" t="n">
        <v>4</v>
      </c>
      <c r="AO359" t="n">
        <v>3</v>
      </c>
      <c r="AP359" t="n">
        <v>4</v>
      </c>
      <c r="AQ359" t="n">
        <v>5</v>
      </c>
      <c r="AR359" t="n">
        <v>5</v>
      </c>
      <c r="AS359" t="n">
        <v>5</v>
      </c>
      <c r="AT359" t="n">
        <v>4</v>
      </c>
      <c r="AU359" t="n">
        <v>5</v>
      </c>
      <c r="AV359" t="n">
        <v>5</v>
      </c>
      <c r="AW359" t="n">
        <v>5</v>
      </c>
      <c r="AX359" t="n">
        <v>3</v>
      </c>
      <c r="AY359" t="n">
        <v>5</v>
      </c>
      <c r="AZ359" t="n">
        <v>4</v>
      </c>
      <c r="BA359" t="n">
        <v>4</v>
      </c>
      <c r="BB359" t="n">
        <v>3</v>
      </c>
      <c r="BC359" t="n">
        <v>4</v>
      </c>
      <c r="BD359" t="n">
        <v>4</v>
      </c>
      <c r="BE359" t="n">
        <v>3</v>
      </c>
      <c r="BF359" t="n">
        <v>4</v>
      </c>
      <c r="BG359" t="n">
        <v>3</v>
      </c>
      <c r="BH359" t="n">
        <v>4</v>
      </c>
      <c r="BI359" t="n">
        <v>4</v>
      </c>
      <c r="BJ359" t="n">
        <v>3</v>
      </c>
      <c r="BK359" t="n">
        <v>3</v>
      </c>
      <c r="BL359" t="n">
        <v>3</v>
      </c>
      <c r="BM359" t="n">
        <v>2</v>
      </c>
      <c r="BN359" t="n">
        <v>4</v>
      </c>
      <c r="BO359" t="n">
        <v>3</v>
      </c>
      <c r="BP359" t="n">
        <v>3</v>
      </c>
      <c r="BQ359" t="n">
        <v>4</v>
      </c>
      <c r="BR359" t="n">
        <v>3</v>
      </c>
      <c r="BS359" s="56">
        <f>IF(COUNT(N359:W359)&gt;=8,AVERAGE(N359:W359),"")</f>
        <v/>
      </c>
      <c r="BT359" s="56">
        <f>IF(COUNT(X359:AE359)&gt;=7,AVERAGE(X359:AE359),"")</f>
        <v/>
      </c>
      <c r="BU359" s="56">
        <f>IF(COUNT(AF359:AM359)&gt;=7,AVERAGE(AF359:AM359),"")</f>
        <v/>
      </c>
      <c r="BV359" s="56">
        <f>IF(COUNT(AN359:AV359)&gt;=8,AVERAGE(AN359:AV359),"")</f>
        <v/>
      </c>
      <c r="BW359" s="56">
        <f>IF(COUNT(AW359:BD359)&gt;=7,AVERAGE(AW359:BD359),"")</f>
        <v/>
      </c>
      <c r="BX359" s="56">
        <f>IF(COUNT(BE359:BJ359)&gt;=5,AVERAGE(BE359:BJ359),"")</f>
        <v/>
      </c>
      <c r="BY359" s="56">
        <f>IF(COUNT(BK359:BR359)&gt;=7,AVERAGE(BK359:BR359),"")</f>
        <v/>
      </c>
    </row>
    <row r="360">
      <c r="A360" t="inlineStr">
        <is>
          <t>R329</t>
        </is>
      </c>
      <c r="B360" t="inlineStr">
        <is>
          <t>Yes</t>
        </is>
      </c>
      <c r="C360" t="inlineStr">
        <is>
          <t>Yes</t>
        </is>
      </c>
      <c r="D360" t="inlineStr">
        <is>
          <t>Male</t>
        </is>
      </c>
      <c r="E360" t="inlineStr">
        <is>
          <t>25-34</t>
        </is>
      </c>
      <c r="F360" t="inlineStr">
        <is>
          <t>Bachelor/HND</t>
        </is>
      </c>
      <c r="G360" t="inlineStr">
        <is>
          <t>Insurance/investment/other licensed financial institution</t>
        </is>
      </c>
      <c r="H360" t="inlineStr">
        <is>
          <t>Other</t>
        </is>
      </c>
      <c r="I360" t="inlineStr">
        <is>
          <t>Less than 2</t>
        </is>
      </c>
      <c r="J360" t="inlineStr">
        <is>
          <t>Yes</t>
        </is>
      </c>
      <c r="K360" t="n">
        <v>4</v>
      </c>
      <c r="L360" t="inlineStr">
        <is>
          <t>Yes</t>
        </is>
      </c>
      <c r="M360" t="inlineStr">
        <is>
          <t>Yes</t>
        </is>
      </c>
      <c r="N360" t="n">
        <v>2</v>
      </c>
      <c r="O360" t="n">
        <v>2</v>
      </c>
      <c r="P360" t="n">
        <v>3</v>
      </c>
      <c r="Q360" t="n">
        <v>2</v>
      </c>
      <c r="R360" t="n">
        <v>3</v>
      </c>
      <c r="S360" t="n">
        <v>2</v>
      </c>
      <c r="T360" t="n">
        <v>2</v>
      </c>
      <c r="U360" t="n">
        <v>3</v>
      </c>
      <c r="V360" t="n">
        <v>3</v>
      </c>
      <c r="W360" t="n">
        <v>1</v>
      </c>
      <c r="X360" t="n">
        <v>4</v>
      </c>
      <c r="Y360" t="n">
        <v>2</v>
      </c>
      <c r="Z360" t="n">
        <v>3</v>
      </c>
      <c r="AA360" t="n">
        <v>2</v>
      </c>
      <c r="AB360" t="n">
        <v>3</v>
      </c>
      <c r="AC360" t="n">
        <v>3</v>
      </c>
      <c r="AD360" t="n">
        <v>3</v>
      </c>
      <c r="AE360" t="n">
        <v>2</v>
      </c>
      <c r="AF360" t="n">
        <v>2</v>
      </c>
      <c r="AG360" t="n">
        <v>3</v>
      </c>
      <c r="AH360" t="n">
        <v>3</v>
      </c>
      <c r="AI360" t="n">
        <v>3</v>
      </c>
      <c r="AJ360" t="n">
        <v>3</v>
      </c>
      <c r="AK360" t="n">
        <v>3</v>
      </c>
      <c r="AL360" t="n">
        <v>3</v>
      </c>
      <c r="AM360" t="n">
        <v>4</v>
      </c>
      <c r="AN360" t="n">
        <v>2</v>
      </c>
      <c r="AO360" t="n">
        <v>3</v>
      </c>
      <c r="AP360" t="n">
        <v>3</v>
      </c>
      <c r="AQ360" t="n">
        <v>2</v>
      </c>
      <c r="AR360" t="n">
        <v>4</v>
      </c>
      <c r="AS360" t="n">
        <v>2</v>
      </c>
      <c r="AT360" t="n">
        <v>4</v>
      </c>
      <c r="AU360" t="n">
        <v>2</v>
      </c>
      <c r="AV360" t="n">
        <v>3</v>
      </c>
      <c r="AW360" t="n">
        <v>4</v>
      </c>
      <c r="AX360" t="n">
        <v>2</v>
      </c>
      <c r="AY360" t="n">
        <v>2</v>
      </c>
      <c r="AZ360" t="n">
        <v>2</v>
      </c>
      <c r="BA360" t="n">
        <v>3</v>
      </c>
      <c r="BB360" t="n">
        <v>3</v>
      </c>
      <c r="BC360" t="n">
        <v>3</v>
      </c>
      <c r="BD360" t="n">
        <v>2</v>
      </c>
      <c r="BE360" t="n">
        <v>4</v>
      </c>
      <c r="BF360" t="n">
        <v>3</v>
      </c>
      <c r="BG360" t="n">
        <v>3</v>
      </c>
      <c r="BH360" t="n">
        <v>3</v>
      </c>
      <c r="BI360" t="n">
        <v>3</v>
      </c>
      <c r="BJ360" t="n">
        <v>4</v>
      </c>
      <c r="BK360" t="n">
        <v>5</v>
      </c>
      <c r="BL360" t="n">
        <v>3</v>
      </c>
      <c r="BM360" t="n">
        <v>5</v>
      </c>
      <c r="BN360" t="n">
        <v>3</v>
      </c>
      <c r="BO360" t="n">
        <v>3</v>
      </c>
      <c r="BP360" t="n">
        <v>3</v>
      </c>
      <c r="BQ360" t="n">
        <v>3</v>
      </c>
      <c r="BR360" t="n">
        <v>3</v>
      </c>
      <c r="BS360" s="56">
        <f>IF(COUNT(N360:W360)&gt;=8,AVERAGE(N360:W360),"")</f>
        <v/>
      </c>
      <c r="BT360" s="56">
        <f>IF(COUNT(X360:AE360)&gt;=7,AVERAGE(X360:AE360),"")</f>
        <v/>
      </c>
      <c r="BU360" s="56">
        <f>IF(COUNT(AF360:AM360)&gt;=7,AVERAGE(AF360:AM360),"")</f>
        <v/>
      </c>
      <c r="BV360" s="56">
        <f>IF(COUNT(AN360:AV360)&gt;=8,AVERAGE(AN360:AV360),"")</f>
        <v/>
      </c>
      <c r="BW360" s="56">
        <f>IF(COUNT(AW360:BD360)&gt;=7,AVERAGE(AW360:BD360),"")</f>
        <v/>
      </c>
      <c r="BX360" s="56">
        <f>IF(COUNT(BE360:BJ360)&gt;=5,AVERAGE(BE360:BJ360),"")</f>
        <v/>
      </c>
      <c r="BY360" s="56">
        <f>IF(COUNT(BK360:BR360)&gt;=7,AVERAGE(BK360:BR360),"")</f>
        <v/>
      </c>
    </row>
    <row r="361">
      <c r="A361" t="inlineStr">
        <is>
          <t>R330</t>
        </is>
      </c>
      <c r="B361" t="inlineStr">
        <is>
          <t>Yes</t>
        </is>
      </c>
      <c r="C361" t="inlineStr">
        <is>
          <t>Yes</t>
        </is>
      </c>
      <c r="D361" t="inlineStr">
        <is>
          <t>Male</t>
        </is>
      </c>
      <c r="E361" t="inlineStr">
        <is>
          <t>35-44</t>
        </is>
      </c>
      <c r="F361" t="inlineStr">
        <is>
          <t>Other</t>
        </is>
      </c>
      <c r="G361" t="inlineStr">
        <is>
          <t>Insurance/investment/other licensed financial institution</t>
        </is>
      </c>
      <c r="H361" t="inlineStr">
        <is>
          <t>Management/Strategy</t>
        </is>
      </c>
      <c r="I361" t="inlineStr">
        <is>
          <t>Less than 2</t>
        </is>
      </c>
      <c r="J361" t="inlineStr">
        <is>
          <t>Yes</t>
        </is>
      </c>
      <c r="K361" t="n">
        <v>4</v>
      </c>
      <c r="L361" t="inlineStr">
        <is>
          <t>Yes</t>
        </is>
      </c>
      <c r="M361" t="inlineStr">
        <is>
          <t>Yes</t>
        </is>
      </c>
      <c r="N361" t="n">
        <v>4</v>
      </c>
      <c r="O361" t="n">
        <v>4</v>
      </c>
      <c r="P361" t="n">
        <v>5</v>
      </c>
      <c r="Q361" t="n">
        <v>4</v>
      </c>
      <c r="R361" t="n">
        <v>4</v>
      </c>
      <c r="S361" t="n">
        <v>3</v>
      </c>
      <c r="T361" t="n">
        <v>4</v>
      </c>
      <c r="U361" t="n">
        <v>3</v>
      </c>
      <c r="V361" t="n">
        <v>5</v>
      </c>
      <c r="W361" t="n">
        <v>3</v>
      </c>
      <c r="X361" t="n">
        <v>4</v>
      </c>
      <c r="Y361" t="n">
        <v>5</v>
      </c>
      <c r="Z361" t="n">
        <v>5</v>
      </c>
      <c r="AA361" t="n">
        <v>3</v>
      </c>
      <c r="AB361" t="n">
        <v>4</v>
      </c>
      <c r="AC361" t="n">
        <v>4</v>
      </c>
      <c r="AD361" t="n">
        <v>3</v>
      </c>
      <c r="AE361" t="n">
        <v>5</v>
      </c>
      <c r="AF361" t="n">
        <v>5</v>
      </c>
      <c r="AG361" t="n">
        <v>4</v>
      </c>
      <c r="AH361" t="n">
        <v>4</v>
      </c>
      <c r="AI361" t="n">
        <v>4</v>
      </c>
      <c r="AJ361" t="n">
        <v>4</v>
      </c>
      <c r="AK361" t="n">
        <v>5</v>
      </c>
      <c r="AL361" t="n">
        <v>4</v>
      </c>
      <c r="AM361" t="n">
        <v>4</v>
      </c>
      <c r="AN361" t="n">
        <v>5</v>
      </c>
      <c r="AO361" t="n">
        <v>3</v>
      </c>
      <c r="AP361" t="n">
        <v>4</v>
      </c>
      <c r="AQ361" t="n">
        <v>4</v>
      </c>
      <c r="AR361" t="n">
        <v>5</v>
      </c>
      <c r="AS361" t="n">
        <v>4</v>
      </c>
      <c r="AT361" t="n">
        <v>4</v>
      </c>
      <c r="AU361" t="n">
        <v>5</v>
      </c>
      <c r="AV361" t="n">
        <v>4</v>
      </c>
      <c r="AW361" t="n">
        <v>4</v>
      </c>
      <c r="AY361" t="n">
        <v>4</v>
      </c>
      <c r="AZ361" t="n">
        <v>4</v>
      </c>
      <c r="BA361" t="n">
        <v>5</v>
      </c>
      <c r="BB361" t="n">
        <v>4</v>
      </c>
      <c r="BC361" t="n">
        <v>4</v>
      </c>
      <c r="BD361" t="n">
        <v>4</v>
      </c>
      <c r="BE361" t="n">
        <v>4</v>
      </c>
      <c r="BF361" t="n">
        <v>4</v>
      </c>
      <c r="BG361" t="n">
        <v>4</v>
      </c>
      <c r="BH361" t="n">
        <v>4</v>
      </c>
      <c r="BI361" t="n">
        <v>4</v>
      </c>
      <c r="BJ361" t="n">
        <v>3</v>
      </c>
      <c r="BK361" t="n">
        <v>2</v>
      </c>
      <c r="BL361" t="n">
        <v>2</v>
      </c>
      <c r="BM361" t="n">
        <v>4</v>
      </c>
      <c r="BN361" t="n">
        <v>3</v>
      </c>
      <c r="BO361" t="n">
        <v>3</v>
      </c>
      <c r="BP361" t="n">
        <v>3</v>
      </c>
      <c r="BQ361" t="n">
        <v>3</v>
      </c>
      <c r="BR361" t="n">
        <v>4</v>
      </c>
      <c r="BS361" s="56">
        <f>IF(COUNT(N361:W361)&gt;=8,AVERAGE(N361:W361),"")</f>
        <v/>
      </c>
      <c r="BT361" s="56">
        <f>IF(COUNT(X361:AE361)&gt;=7,AVERAGE(X361:AE361),"")</f>
        <v/>
      </c>
      <c r="BU361" s="56">
        <f>IF(COUNT(AF361:AM361)&gt;=7,AVERAGE(AF361:AM361),"")</f>
        <v/>
      </c>
      <c r="BV361" s="56">
        <f>IF(COUNT(AN361:AV361)&gt;=8,AVERAGE(AN361:AV361),"")</f>
        <v/>
      </c>
      <c r="BW361" s="56">
        <f>IF(COUNT(AW361:BD361)&gt;=7,AVERAGE(AW361:BD361),"")</f>
        <v/>
      </c>
      <c r="BX361" s="56">
        <f>IF(COUNT(BE361:BJ361)&gt;=5,AVERAGE(BE361:BJ361),"")</f>
        <v/>
      </c>
      <c r="BY361" s="56">
        <f>IF(COUNT(BK361:BR361)&gt;=7,AVERAGE(BK361:BR361),"")</f>
        <v/>
      </c>
    </row>
    <row r="362">
      <c r="A362" t="inlineStr">
        <is>
          <t>R331</t>
        </is>
      </c>
      <c r="B362" t="inlineStr">
        <is>
          <t>Yes</t>
        </is>
      </c>
      <c r="C362" t="inlineStr">
        <is>
          <t>Yes</t>
        </is>
      </c>
      <c r="D362" t="inlineStr">
        <is>
          <t>Female</t>
        </is>
      </c>
      <c r="E362" t="inlineStr">
        <is>
          <t>35-44</t>
        </is>
      </c>
      <c r="F362" t="inlineStr">
        <is>
          <t>Bachelor/HND</t>
        </is>
      </c>
      <c r="G362" t="inlineStr">
        <is>
          <t>Digital bank/neobank</t>
        </is>
      </c>
      <c r="H362" t="inlineStr">
        <is>
          <t>IT/Technology</t>
        </is>
      </c>
      <c r="I362" t="inlineStr">
        <is>
          <t>6-10</t>
        </is>
      </c>
      <c r="J362" t="inlineStr">
        <is>
          <t>Yes</t>
        </is>
      </c>
      <c r="K362" t="n">
        <v>0</v>
      </c>
      <c r="L362" t="inlineStr">
        <is>
          <t>No</t>
        </is>
      </c>
      <c r="M362" t="inlineStr">
        <is>
          <t>Yes</t>
        </is>
      </c>
      <c r="N362" t="n">
        <v>3</v>
      </c>
      <c r="O362" t="n">
        <v>3</v>
      </c>
      <c r="P362" t="n">
        <v>2</v>
      </c>
      <c r="Q362" t="n">
        <v>3</v>
      </c>
      <c r="R362" t="n">
        <v>2</v>
      </c>
      <c r="S362" t="n">
        <v>4</v>
      </c>
      <c r="T362" t="n">
        <v>3</v>
      </c>
      <c r="U362" t="n">
        <v>3</v>
      </c>
      <c r="V362" t="n">
        <v>4</v>
      </c>
      <c r="W362" t="n">
        <v>3</v>
      </c>
      <c r="X362" t="n">
        <v>3</v>
      </c>
      <c r="Y362" t="n">
        <v>3</v>
      </c>
      <c r="Z362" t="n">
        <v>3</v>
      </c>
      <c r="AA362" t="n">
        <v>3</v>
      </c>
      <c r="AB362" t="n">
        <v>4</v>
      </c>
      <c r="AC362" t="n">
        <v>4</v>
      </c>
      <c r="AD362" t="n">
        <v>3</v>
      </c>
      <c r="AE362" t="n">
        <v>3</v>
      </c>
      <c r="AF362" t="n">
        <v>2</v>
      </c>
      <c r="AG362" t="n">
        <v>1</v>
      </c>
      <c r="AH362" t="n">
        <v>2</v>
      </c>
      <c r="AI362" t="n">
        <v>2</v>
      </c>
      <c r="AJ362" t="n">
        <v>3</v>
      </c>
      <c r="AK362" t="n">
        <v>2</v>
      </c>
      <c r="AL362" t="n">
        <v>3</v>
      </c>
      <c r="AN362" t="n">
        <v>2</v>
      </c>
      <c r="AO362" t="n">
        <v>3</v>
      </c>
      <c r="AP362" t="n">
        <v>3</v>
      </c>
      <c r="AQ362" t="n">
        <v>2</v>
      </c>
      <c r="AR362" t="n">
        <v>3</v>
      </c>
      <c r="AS362" t="n">
        <v>3</v>
      </c>
      <c r="AT362" t="n">
        <v>3</v>
      </c>
      <c r="AU362" t="n">
        <v>2</v>
      </c>
      <c r="AV362" t="n">
        <v>3</v>
      </c>
      <c r="AW362" t="n">
        <v>3</v>
      </c>
      <c r="AX362" t="n">
        <v>3</v>
      </c>
      <c r="AY362" t="n">
        <v>3</v>
      </c>
      <c r="AZ362" t="n">
        <v>3</v>
      </c>
      <c r="BA362" t="n">
        <v>3</v>
      </c>
      <c r="BB362" t="n">
        <v>3</v>
      </c>
      <c r="BC362" t="n">
        <v>3</v>
      </c>
      <c r="BD362" t="n">
        <v>4</v>
      </c>
      <c r="BE362" t="n">
        <v>2</v>
      </c>
      <c r="BF362" t="n">
        <v>4</v>
      </c>
      <c r="BG362" t="n">
        <v>2</v>
      </c>
      <c r="BH362" t="n">
        <v>3</v>
      </c>
      <c r="BI362" t="n">
        <v>3</v>
      </c>
      <c r="BJ362" t="n">
        <v>3</v>
      </c>
      <c r="BK362" t="n">
        <v>2</v>
      </c>
      <c r="BL362" t="n">
        <v>2</v>
      </c>
      <c r="BM362" t="n">
        <v>3</v>
      </c>
      <c r="BN362" t="n">
        <v>3</v>
      </c>
      <c r="BO362" t="n">
        <v>2</v>
      </c>
      <c r="BP362" t="n">
        <v>1</v>
      </c>
      <c r="BQ362" t="n">
        <v>3</v>
      </c>
      <c r="BR362" t="n">
        <v>2</v>
      </c>
      <c r="BS362" s="56">
        <f>IF(COUNT(N362:W362)&gt;=8,AVERAGE(N362:W362),"")</f>
        <v/>
      </c>
      <c r="BT362" s="56">
        <f>IF(COUNT(X362:AE362)&gt;=7,AVERAGE(X362:AE362),"")</f>
        <v/>
      </c>
      <c r="BU362" s="56">
        <f>IF(COUNT(AF362:AM362)&gt;=7,AVERAGE(AF362:AM362),"")</f>
        <v/>
      </c>
      <c r="BV362" s="56">
        <f>IF(COUNT(AN362:AV362)&gt;=8,AVERAGE(AN362:AV362),"")</f>
        <v/>
      </c>
      <c r="BW362" s="56">
        <f>IF(COUNT(AW362:BD362)&gt;=7,AVERAGE(AW362:BD362),"")</f>
        <v/>
      </c>
      <c r="BX362" s="56">
        <f>IF(COUNT(BE362:BJ362)&gt;=5,AVERAGE(BE362:BJ362),"")</f>
        <v/>
      </c>
      <c r="BY362" s="56">
        <f>IF(COUNT(BK362:BR362)&gt;=7,AVERAGE(BK362:BR362),"")</f>
        <v/>
      </c>
    </row>
    <row r="363">
      <c r="A363" t="inlineStr">
        <is>
          <t>R332</t>
        </is>
      </c>
      <c r="B363" t="inlineStr">
        <is>
          <t>Yes</t>
        </is>
      </c>
      <c r="C363" t="inlineStr">
        <is>
          <t>Yes</t>
        </is>
      </c>
      <c r="D363" t="inlineStr">
        <is>
          <t>Male</t>
        </is>
      </c>
      <c r="E363" t="inlineStr">
        <is>
          <t>55 or above</t>
        </is>
      </c>
      <c r="F363" t="inlineStr">
        <is>
          <t>Other</t>
        </is>
      </c>
      <c r="G363" t="inlineStr">
        <is>
          <t>Microfinance bank</t>
        </is>
      </c>
      <c r="H363" t="inlineStr">
        <is>
          <t>Customer Experience/Service</t>
        </is>
      </c>
      <c r="I363" t="inlineStr">
        <is>
          <t>2-5</t>
        </is>
      </c>
      <c r="J363" t="inlineStr">
        <is>
          <t>Yes</t>
        </is>
      </c>
      <c r="K363" t="n">
        <v>1</v>
      </c>
      <c r="L363" t="inlineStr">
        <is>
          <t>No</t>
        </is>
      </c>
      <c r="M363" t="inlineStr">
        <is>
          <t>Yes</t>
        </is>
      </c>
      <c r="N363" t="n">
        <v>3</v>
      </c>
      <c r="O363" t="n">
        <v>3</v>
      </c>
      <c r="P363" t="n">
        <v>3</v>
      </c>
      <c r="Q363" t="n">
        <v>3</v>
      </c>
      <c r="R363" t="n">
        <v>4</v>
      </c>
      <c r="S363" t="n">
        <v>2</v>
      </c>
      <c r="T363" t="n">
        <v>3</v>
      </c>
      <c r="U363" t="n">
        <v>3</v>
      </c>
      <c r="V363" t="n">
        <v>4</v>
      </c>
      <c r="W363" t="n">
        <v>3</v>
      </c>
      <c r="X363" t="n">
        <v>3</v>
      </c>
      <c r="Y363" t="n">
        <v>2</v>
      </c>
      <c r="Z363" t="n">
        <v>3</v>
      </c>
      <c r="AA363" t="n">
        <v>2</v>
      </c>
      <c r="AB363" t="n">
        <v>3</v>
      </c>
      <c r="AC363" t="n">
        <v>2</v>
      </c>
      <c r="AD363" t="n">
        <v>3</v>
      </c>
      <c r="AE363" t="n">
        <v>2</v>
      </c>
      <c r="AF363" t="n">
        <v>2</v>
      </c>
      <c r="AG363" t="n">
        <v>2</v>
      </c>
      <c r="AH363" t="n">
        <v>2</v>
      </c>
      <c r="AI363" t="n">
        <v>3</v>
      </c>
      <c r="AJ363" t="n">
        <v>3</v>
      </c>
      <c r="AK363" t="n">
        <v>2</v>
      </c>
      <c r="AL363" t="n">
        <v>3</v>
      </c>
      <c r="AM363" t="n">
        <v>3</v>
      </c>
      <c r="AN363" t="n">
        <v>4</v>
      </c>
      <c r="AO363" t="n">
        <v>3</v>
      </c>
      <c r="AP363" t="n">
        <v>3</v>
      </c>
      <c r="AQ363" t="n">
        <v>4</v>
      </c>
      <c r="AR363" t="n">
        <v>4</v>
      </c>
      <c r="AS363" t="n">
        <v>3</v>
      </c>
      <c r="AT363" t="n">
        <v>4</v>
      </c>
      <c r="AU363" t="n">
        <v>3</v>
      </c>
      <c r="AV363" t="n">
        <v>2</v>
      </c>
      <c r="AW363" t="n">
        <v>3</v>
      </c>
      <c r="AX363" t="n">
        <v>3</v>
      </c>
      <c r="AY363" t="n">
        <v>2</v>
      </c>
      <c r="AZ363" t="n">
        <v>2</v>
      </c>
      <c r="BA363" t="n">
        <v>2</v>
      </c>
      <c r="BB363" t="n">
        <v>2</v>
      </c>
      <c r="BC363" t="n">
        <v>3</v>
      </c>
      <c r="BD363" t="n">
        <v>1</v>
      </c>
      <c r="BE363" t="n">
        <v>3</v>
      </c>
      <c r="BF363" t="n">
        <v>4</v>
      </c>
      <c r="BG363" t="n">
        <v>3</v>
      </c>
      <c r="BH363" t="n">
        <v>2</v>
      </c>
      <c r="BI363" t="n">
        <v>3</v>
      </c>
      <c r="BJ363" t="n">
        <v>1</v>
      </c>
      <c r="BK363" t="n">
        <v>3</v>
      </c>
      <c r="BL363" t="n">
        <v>2</v>
      </c>
      <c r="BN363" t="n">
        <v>2</v>
      </c>
      <c r="BO363" t="n">
        <v>2</v>
      </c>
      <c r="BP363" t="n">
        <v>1</v>
      </c>
      <c r="BQ363" t="n">
        <v>1</v>
      </c>
      <c r="BR363" t="n">
        <v>1</v>
      </c>
      <c r="BS363" s="56">
        <f>IF(COUNT(N363:W363)&gt;=8,AVERAGE(N363:W363),"")</f>
        <v/>
      </c>
      <c r="BT363" s="56">
        <f>IF(COUNT(X363:AE363)&gt;=7,AVERAGE(X363:AE363),"")</f>
        <v/>
      </c>
      <c r="BU363" s="56">
        <f>IF(COUNT(AF363:AM363)&gt;=7,AVERAGE(AF363:AM363),"")</f>
        <v/>
      </c>
      <c r="BV363" s="56">
        <f>IF(COUNT(AN363:AV363)&gt;=8,AVERAGE(AN363:AV363),"")</f>
        <v/>
      </c>
      <c r="BW363" s="56">
        <f>IF(COUNT(AW363:BD363)&gt;=7,AVERAGE(AW363:BD363),"")</f>
        <v/>
      </c>
      <c r="BX363" s="56">
        <f>IF(COUNT(BE363:BJ363)&gt;=5,AVERAGE(BE363:BJ363),"")</f>
        <v/>
      </c>
      <c r="BY363" s="56">
        <f>IF(COUNT(BK363:BR363)&gt;=7,AVERAGE(BK363:BR363),"")</f>
        <v/>
      </c>
    </row>
    <row r="364">
      <c r="A364" t="inlineStr">
        <is>
          <t>R333</t>
        </is>
      </c>
      <c r="B364" t="inlineStr">
        <is>
          <t>Yes</t>
        </is>
      </c>
      <c r="C364" t="inlineStr">
        <is>
          <t>Yes</t>
        </is>
      </c>
      <c r="D364" t="inlineStr">
        <is>
          <t>Female</t>
        </is>
      </c>
      <c r="E364" t="inlineStr">
        <is>
          <t>25-34</t>
        </is>
      </c>
      <c r="F364" t="inlineStr">
        <is>
          <t>Bachelor/HND</t>
        </is>
      </c>
      <c r="G364" t="inlineStr">
        <is>
          <t>Microfinance bank</t>
        </is>
      </c>
      <c r="H364" t="inlineStr">
        <is>
          <t>IT/Technology</t>
        </is>
      </c>
      <c r="I364" t="inlineStr">
        <is>
          <t>2-5</t>
        </is>
      </c>
      <c r="J364" t="inlineStr">
        <is>
          <t>Yes</t>
        </is>
      </c>
      <c r="K364" t="n">
        <v>1</v>
      </c>
      <c r="L364" t="inlineStr">
        <is>
          <t>Yes</t>
        </is>
      </c>
      <c r="M364" t="inlineStr">
        <is>
          <t>Yes</t>
        </is>
      </c>
      <c r="N364" t="n">
        <v>2</v>
      </c>
      <c r="O364" t="n">
        <v>3</v>
      </c>
      <c r="P364" t="n">
        <v>3</v>
      </c>
      <c r="Q364" t="n">
        <v>2</v>
      </c>
      <c r="R364" t="n">
        <v>2</v>
      </c>
      <c r="S364" t="n">
        <v>3</v>
      </c>
      <c r="T364" t="n">
        <v>3</v>
      </c>
      <c r="U364" t="n">
        <v>1</v>
      </c>
      <c r="V364" t="n">
        <v>4</v>
      </c>
      <c r="W364" t="n">
        <v>3</v>
      </c>
      <c r="X364" t="n">
        <v>2</v>
      </c>
      <c r="Y364" t="n">
        <v>2</v>
      </c>
      <c r="Z364" t="n">
        <v>2</v>
      </c>
      <c r="AA364" t="n">
        <v>2</v>
      </c>
      <c r="AB364" t="n">
        <v>2</v>
      </c>
      <c r="AC364" t="n">
        <v>2</v>
      </c>
      <c r="AD364" t="n">
        <v>3</v>
      </c>
      <c r="AE364" t="n">
        <v>2</v>
      </c>
      <c r="AF364" t="n">
        <v>3</v>
      </c>
      <c r="AG364" t="n">
        <v>3</v>
      </c>
      <c r="AH364" t="n">
        <v>4</v>
      </c>
      <c r="AI364" t="n">
        <v>3</v>
      </c>
      <c r="AJ364" t="n">
        <v>4</v>
      </c>
      <c r="AK364" t="n">
        <v>5</v>
      </c>
      <c r="AL364" t="n">
        <v>3</v>
      </c>
      <c r="AM364" t="n">
        <v>3</v>
      </c>
      <c r="AN364" t="n">
        <v>3</v>
      </c>
      <c r="AO364" t="n">
        <v>4</v>
      </c>
      <c r="AP364" t="n">
        <v>3</v>
      </c>
      <c r="AQ364" t="n">
        <v>3</v>
      </c>
      <c r="AR364" t="n">
        <v>4</v>
      </c>
      <c r="AS364" t="n">
        <v>3</v>
      </c>
      <c r="AT364" t="n">
        <v>4</v>
      </c>
      <c r="AU364" t="n">
        <v>3</v>
      </c>
      <c r="AV364" t="n">
        <v>3</v>
      </c>
      <c r="AW364" t="n">
        <v>5</v>
      </c>
      <c r="AX364" t="n">
        <v>4</v>
      </c>
      <c r="AY364" t="n">
        <v>3</v>
      </c>
      <c r="AZ364" t="n">
        <v>3</v>
      </c>
      <c r="BA364" t="n">
        <v>3</v>
      </c>
      <c r="BB364" t="n">
        <v>3</v>
      </c>
      <c r="BC364" t="n">
        <v>4</v>
      </c>
      <c r="BD364" t="n">
        <v>4</v>
      </c>
      <c r="BE364" t="n">
        <v>3</v>
      </c>
      <c r="BF364" t="n">
        <v>2</v>
      </c>
      <c r="BG364" t="n">
        <v>2</v>
      </c>
      <c r="BH364" t="n">
        <v>3</v>
      </c>
      <c r="BI364" t="n">
        <v>2</v>
      </c>
      <c r="BJ364" t="n">
        <v>2</v>
      </c>
      <c r="BK364" t="n">
        <v>3</v>
      </c>
      <c r="BL364" t="n">
        <v>2</v>
      </c>
      <c r="BM364" t="n">
        <v>3</v>
      </c>
      <c r="BN364" t="n">
        <v>3</v>
      </c>
      <c r="BO364" t="n">
        <v>3</v>
      </c>
      <c r="BP364" t="n">
        <v>2</v>
      </c>
      <c r="BQ364" t="n">
        <v>2</v>
      </c>
      <c r="BR364" t="n">
        <v>2</v>
      </c>
      <c r="BS364" s="56">
        <f>IF(COUNT(N364:W364)&gt;=8,AVERAGE(N364:W364),"")</f>
        <v/>
      </c>
      <c r="BT364" s="56">
        <f>IF(COUNT(X364:AE364)&gt;=7,AVERAGE(X364:AE364),"")</f>
        <v/>
      </c>
      <c r="BU364" s="56">
        <f>IF(COUNT(AF364:AM364)&gt;=7,AVERAGE(AF364:AM364),"")</f>
        <v/>
      </c>
      <c r="BV364" s="56">
        <f>IF(COUNT(AN364:AV364)&gt;=8,AVERAGE(AN364:AV364),"")</f>
        <v/>
      </c>
      <c r="BW364" s="56">
        <f>IF(COUNT(AW364:BD364)&gt;=7,AVERAGE(AW364:BD364),"")</f>
        <v/>
      </c>
      <c r="BX364" s="56">
        <f>IF(COUNT(BE364:BJ364)&gt;=5,AVERAGE(BE364:BJ364),"")</f>
        <v/>
      </c>
      <c r="BY364" s="56">
        <f>IF(COUNT(BK364:BR364)&gt;=7,AVERAGE(BK364:BR364),"")</f>
        <v/>
      </c>
    </row>
    <row r="365">
      <c r="A365" t="inlineStr">
        <is>
          <t>R334</t>
        </is>
      </c>
      <c r="B365" t="inlineStr">
        <is>
          <t>Yes</t>
        </is>
      </c>
      <c r="C365" t="inlineStr">
        <is>
          <t>Yes</t>
        </is>
      </c>
      <c r="D365" t="inlineStr">
        <is>
          <t>Male</t>
        </is>
      </c>
      <c r="E365" t="inlineStr">
        <is>
          <t>18-24</t>
        </is>
      </c>
      <c r="F365" t="inlineStr">
        <is>
          <t>Bachelor/HND</t>
        </is>
      </c>
      <c r="G365" t="inlineStr">
        <is>
          <t>Fintech/payment provider</t>
        </is>
      </c>
      <c r="H365" t="inlineStr">
        <is>
          <t>IT/Technology</t>
        </is>
      </c>
      <c r="I365" t="inlineStr">
        <is>
          <t>2-5</t>
        </is>
      </c>
      <c r="J365" t="inlineStr">
        <is>
          <t>Yes</t>
        </is>
      </c>
      <c r="K365" t="n">
        <v>4</v>
      </c>
      <c r="L365" t="inlineStr">
        <is>
          <t>Yes</t>
        </is>
      </c>
      <c r="M365" t="inlineStr">
        <is>
          <t>Yes</t>
        </is>
      </c>
      <c r="N365" t="n">
        <v>4</v>
      </c>
      <c r="O365" t="n">
        <v>3</v>
      </c>
      <c r="P365" t="n">
        <v>4</v>
      </c>
      <c r="Q365" t="n">
        <v>4</v>
      </c>
      <c r="R365" t="n">
        <v>4</v>
      </c>
      <c r="S365" t="n">
        <v>4</v>
      </c>
      <c r="T365" t="n">
        <v>4</v>
      </c>
      <c r="U365" t="n">
        <v>4</v>
      </c>
      <c r="V365" t="n">
        <v>5</v>
      </c>
      <c r="W365" t="n">
        <v>3</v>
      </c>
      <c r="X365" t="n">
        <v>4</v>
      </c>
      <c r="Y365" t="n">
        <v>5</v>
      </c>
      <c r="Z365" t="n">
        <v>5</v>
      </c>
      <c r="AA365" t="n">
        <v>4</v>
      </c>
      <c r="AB365" t="n">
        <v>5</v>
      </c>
      <c r="AC365" t="n">
        <v>4</v>
      </c>
      <c r="AD365" t="n">
        <v>5</v>
      </c>
      <c r="AE365" t="n">
        <v>4</v>
      </c>
      <c r="AF365" t="n">
        <v>3</v>
      </c>
      <c r="AG365" t="n">
        <v>3</v>
      </c>
      <c r="AH365" t="n">
        <v>3</v>
      </c>
      <c r="AI365" t="n">
        <v>4</v>
      </c>
      <c r="AJ365" t="n">
        <v>3</v>
      </c>
      <c r="AK365" t="n">
        <v>4</v>
      </c>
      <c r="AL365" t="n">
        <v>3</v>
      </c>
      <c r="AM365" t="n">
        <v>4</v>
      </c>
      <c r="AN365" t="n">
        <v>4</v>
      </c>
      <c r="AO365" t="n">
        <v>3</v>
      </c>
      <c r="AP365" t="n">
        <v>4</v>
      </c>
      <c r="AQ365" t="n">
        <v>3</v>
      </c>
      <c r="AR365" t="n">
        <v>3</v>
      </c>
      <c r="AS365" t="n">
        <v>4</v>
      </c>
      <c r="AT365" t="n">
        <v>2</v>
      </c>
      <c r="AU365" t="n">
        <v>4</v>
      </c>
      <c r="AV365" t="n">
        <v>3</v>
      </c>
      <c r="AW365" t="n">
        <v>4</v>
      </c>
      <c r="AX365" t="n">
        <v>3</v>
      </c>
      <c r="AY365" t="n">
        <v>4</v>
      </c>
      <c r="AZ365" t="n">
        <v>2</v>
      </c>
      <c r="BA365" t="n">
        <v>3</v>
      </c>
      <c r="BB365" t="n">
        <v>4</v>
      </c>
      <c r="BC365" t="n">
        <v>3</v>
      </c>
      <c r="BD365" t="n">
        <v>2</v>
      </c>
      <c r="BE365" t="n">
        <v>4</v>
      </c>
      <c r="BF365" t="n">
        <v>4</v>
      </c>
      <c r="BG365" t="n">
        <v>4</v>
      </c>
      <c r="BH365" t="n">
        <v>4</v>
      </c>
      <c r="BI365" t="n">
        <v>4</v>
      </c>
      <c r="BJ365" t="n">
        <v>4</v>
      </c>
      <c r="BK365" t="n">
        <v>2</v>
      </c>
      <c r="BL365" t="n">
        <v>2</v>
      </c>
      <c r="BM365" t="n">
        <v>3</v>
      </c>
      <c r="BN365" t="n">
        <v>1</v>
      </c>
      <c r="BO365" t="n">
        <v>3</v>
      </c>
      <c r="BP365" t="n">
        <v>3</v>
      </c>
      <c r="BQ365" t="n">
        <v>3</v>
      </c>
      <c r="BR365" t="n">
        <v>3</v>
      </c>
      <c r="BS365" s="56">
        <f>IF(COUNT(N365:W365)&gt;=8,AVERAGE(N365:W365),"")</f>
        <v/>
      </c>
      <c r="BT365" s="56">
        <f>IF(COUNT(X365:AE365)&gt;=7,AVERAGE(X365:AE365),"")</f>
        <v/>
      </c>
      <c r="BU365" s="56">
        <f>IF(COUNT(AF365:AM365)&gt;=7,AVERAGE(AF365:AM365),"")</f>
        <v/>
      </c>
      <c r="BV365" s="56">
        <f>IF(COUNT(AN365:AV365)&gt;=8,AVERAGE(AN365:AV365),"")</f>
        <v/>
      </c>
      <c r="BW365" s="56">
        <f>IF(COUNT(AW365:BD365)&gt;=7,AVERAGE(AW365:BD365),"")</f>
        <v/>
      </c>
      <c r="BX365" s="56">
        <f>IF(COUNT(BE365:BJ365)&gt;=5,AVERAGE(BE365:BJ365),"")</f>
        <v/>
      </c>
      <c r="BY365" s="56">
        <f>IF(COUNT(BK365:BR365)&gt;=7,AVERAGE(BK365:BR365),"")</f>
        <v/>
      </c>
    </row>
    <row r="366">
      <c r="A366" t="inlineStr">
        <is>
          <t>R335</t>
        </is>
      </c>
      <c r="B366" t="inlineStr">
        <is>
          <t>Yes</t>
        </is>
      </c>
      <c r="C366" t="inlineStr">
        <is>
          <t>Yes</t>
        </is>
      </c>
      <c r="D366" t="inlineStr">
        <is>
          <t>Male</t>
        </is>
      </c>
      <c r="E366" t="inlineStr">
        <is>
          <t>45-54</t>
        </is>
      </c>
      <c r="F366" t="inlineStr">
        <is>
          <t>Diploma/OND/NCE</t>
        </is>
      </c>
      <c r="G366" t="inlineStr">
        <is>
          <t>Microfinance bank</t>
        </is>
      </c>
      <c r="H366" t="inlineStr">
        <is>
          <t>Management/Strategy</t>
        </is>
      </c>
      <c r="I366" t="inlineStr">
        <is>
          <t>11-15</t>
        </is>
      </c>
      <c r="J366" t="inlineStr">
        <is>
          <t>Yes</t>
        </is>
      </c>
      <c r="K366" t="n">
        <v>2</v>
      </c>
      <c r="L366" t="inlineStr">
        <is>
          <t>Do not know</t>
        </is>
      </c>
      <c r="M366" t="inlineStr">
        <is>
          <t>Yes</t>
        </is>
      </c>
      <c r="N366" t="n">
        <v>3</v>
      </c>
      <c r="O366" t="n">
        <v>4</v>
      </c>
      <c r="P366" t="n">
        <v>3</v>
      </c>
      <c r="Q366" t="n">
        <v>3</v>
      </c>
      <c r="R366" t="n">
        <v>3</v>
      </c>
      <c r="S366" t="n">
        <v>4</v>
      </c>
      <c r="T366" t="n">
        <v>2</v>
      </c>
      <c r="U366" t="n">
        <v>3</v>
      </c>
      <c r="V366" t="n">
        <v>4</v>
      </c>
      <c r="W366" t="n">
        <v>3</v>
      </c>
      <c r="X366" t="n">
        <v>3</v>
      </c>
      <c r="Y366" t="n">
        <v>3</v>
      </c>
      <c r="Z366" t="n">
        <v>4</v>
      </c>
      <c r="AA366" t="n">
        <v>3</v>
      </c>
      <c r="AB366" t="n">
        <v>2</v>
      </c>
      <c r="AC366" t="n">
        <v>3</v>
      </c>
      <c r="AD366" t="n">
        <v>4</v>
      </c>
      <c r="AE366" t="n">
        <v>3</v>
      </c>
      <c r="AF366" t="n">
        <v>4</v>
      </c>
      <c r="AG366" t="n">
        <v>4</v>
      </c>
      <c r="AH366" t="n">
        <v>4</v>
      </c>
      <c r="AI366" t="n">
        <v>3</v>
      </c>
      <c r="AJ366" t="n">
        <v>3</v>
      </c>
      <c r="AK366" t="n">
        <v>4</v>
      </c>
      <c r="AL366" t="n">
        <v>3</v>
      </c>
      <c r="AM366" t="n">
        <v>4</v>
      </c>
      <c r="AN366" t="n">
        <v>2</v>
      </c>
      <c r="AO366" t="n">
        <v>4</v>
      </c>
      <c r="AP366" t="n">
        <v>2</v>
      </c>
      <c r="AQ366" t="n">
        <v>4</v>
      </c>
      <c r="AR366" t="n">
        <v>3</v>
      </c>
      <c r="AS366" t="n">
        <v>4</v>
      </c>
      <c r="AT366" t="n">
        <v>2</v>
      </c>
      <c r="AU366" t="n">
        <v>3</v>
      </c>
      <c r="AV366" t="n">
        <v>3</v>
      </c>
      <c r="AX366" t="n">
        <v>3</v>
      </c>
      <c r="AY366" t="n">
        <v>4</v>
      </c>
      <c r="AZ366" t="n">
        <v>3</v>
      </c>
      <c r="BA366" t="n">
        <v>4</v>
      </c>
      <c r="BB366" t="n">
        <v>4</v>
      </c>
      <c r="BC366" t="n">
        <v>5</v>
      </c>
      <c r="BD366" t="n">
        <v>3</v>
      </c>
      <c r="BE366" t="n">
        <v>4</v>
      </c>
      <c r="BF366" t="n">
        <v>4</v>
      </c>
      <c r="BH366" t="n">
        <v>4</v>
      </c>
      <c r="BI366" t="n">
        <v>3</v>
      </c>
      <c r="BJ366" t="n">
        <v>4</v>
      </c>
      <c r="BK366" t="n">
        <v>3</v>
      </c>
      <c r="BL366" t="n">
        <v>3</v>
      </c>
      <c r="BM366" t="n">
        <v>3</v>
      </c>
      <c r="BN366" t="n">
        <v>3</v>
      </c>
      <c r="BO366" t="n">
        <v>3</v>
      </c>
      <c r="BP366" t="n">
        <v>4</v>
      </c>
      <c r="BQ366" t="n">
        <v>4</v>
      </c>
      <c r="BR366" t="n">
        <v>2</v>
      </c>
      <c r="BS366" s="56">
        <f>IF(COUNT(N366:W366)&gt;=8,AVERAGE(N366:W366),"")</f>
        <v/>
      </c>
      <c r="BT366" s="56">
        <f>IF(COUNT(X366:AE366)&gt;=7,AVERAGE(X366:AE366),"")</f>
        <v/>
      </c>
      <c r="BU366" s="56">
        <f>IF(COUNT(AF366:AM366)&gt;=7,AVERAGE(AF366:AM366),"")</f>
        <v/>
      </c>
      <c r="BV366" s="56">
        <f>IF(COUNT(AN366:AV366)&gt;=8,AVERAGE(AN366:AV366),"")</f>
        <v/>
      </c>
      <c r="BW366" s="56">
        <f>IF(COUNT(AW366:BD366)&gt;=7,AVERAGE(AW366:BD366),"")</f>
        <v/>
      </c>
      <c r="BX366" s="56">
        <f>IF(COUNT(BE366:BJ366)&gt;=5,AVERAGE(BE366:BJ366),"")</f>
        <v/>
      </c>
      <c r="BY366" s="56">
        <f>IF(COUNT(BK366:BR366)&gt;=7,AVERAGE(BK366:BR366),"")</f>
        <v/>
      </c>
    </row>
    <row r="367">
      <c r="A367" t="inlineStr">
        <is>
          <t>R336</t>
        </is>
      </c>
      <c r="B367" t="inlineStr">
        <is>
          <t>Yes</t>
        </is>
      </c>
      <c r="C367" t="inlineStr">
        <is>
          <t>Yes</t>
        </is>
      </c>
      <c r="D367" t="inlineStr">
        <is>
          <t>Male</t>
        </is>
      </c>
      <c r="E367" t="inlineStr">
        <is>
          <t>18-24</t>
        </is>
      </c>
      <c r="F367" t="inlineStr">
        <is>
          <t>Other</t>
        </is>
      </c>
      <c r="G367" t="inlineStr">
        <is>
          <t>Commercial bank</t>
        </is>
      </c>
      <c r="H367" t="inlineStr">
        <is>
          <t>Relationship/Marketing</t>
        </is>
      </c>
      <c r="I367" t="inlineStr">
        <is>
          <t>Less than 2</t>
        </is>
      </c>
      <c r="J367" t="inlineStr">
        <is>
          <t>Yes</t>
        </is>
      </c>
      <c r="K367" t="n">
        <v>3</v>
      </c>
      <c r="L367" t="inlineStr">
        <is>
          <t>No</t>
        </is>
      </c>
      <c r="M367" t="inlineStr">
        <is>
          <t>Yes</t>
        </is>
      </c>
      <c r="N367" t="n">
        <v>3</v>
      </c>
      <c r="O367" t="n">
        <v>2</v>
      </c>
      <c r="P367" t="n">
        <v>3</v>
      </c>
      <c r="Q367" t="n">
        <v>2</v>
      </c>
      <c r="R367" t="n">
        <v>3</v>
      </c>
      <c r="S367" t="n">
        <v>3</v>
      </c>
      <c r="T367" t="n">
        <v>1</v>
      </c>
      <c r="U367" t="n">
        <v>3</v>
      </c>
      <c r="V367" t="n">
        <v>3</v>
      </c>
      <c r="W367" t="n">
        <v>2</v>
      </c>
      <c r="X367" t="n">
        <v>4</v>
      </c>
      <c r="Y367" t="n">
        <v>4</v>
      </c>
      <c r="Z367" t="n">
        <v>5</v>
      </c>
      <c r="AA367" t="n">
        <v>3</v>
      </c>
      <c r="AB367" t="n">
        <v>3</v>
      </c>
      <c r="AC367" t="n">
        <v>5</v>
      </c>
      <c r="AD367" t="n">
        <v>4</v>
      </c>
      <c r="AE367" t="n">
        <v>4</v>
      </c>
      <c r="AF367" t="n">
        <v>4</v>
      </c>
      <c r="AG367" t="n">
        <v>3</v>
      </c>
      <c r="AH367" t="n">
        <v>3</v>
      </c>
      <c r="AI367" t="n">
        <v>4</v>
      </c>
      <c r="AJ367" t="n">
        <v>4</v>
      </c>
      <c r="AK367" t="n">
        <v>4</v>
      </c>
      <c r="AL367" t="n">
        <v>5</v>
      </c>
      <c r="AM367" t="n">
        <v>4</v>
      </c>
      <c r="AN367" t="n">
        <v>4</v>
      </c>
      <c r="AO367" t="n">
        <v>3</v>
      </c>
      <c r="AP367" t="n">
        <v>4</v>
      </c>
      <c r="AQ367" t="n">
        <v>3</v>
      </c>
      <c r="AR367" t="n">
        <v>3</v>
      </c>
      <c r="AS367" t="n">
        <v>3</v>
      </c>
      <c r="AT367" t="n">
        <v>2</v>
      </c>
      <c r="AU367" t="n">
        <v>3</v>
      </c>
      <c r="AV367" t="n">
        <v>3</v>
      </c>
      <c r="AW367" t="n">
        <v>4</v>
      </c>
      <c r="AX367" t="n">
        <v>4</v>
      </c>
      <c r="AY367" t="n">
        <v>3</v>
      </c>
      <c r="AZ367" t="n">
        <v>3</v>
      </c>
      <c r="BA367" t="n">
        <v>4</v>
      </c>
      <c r="BB367" t="n">
        <v>3</v>
      </c>
      <c r="BC367" t="n">
        <v>4</v>
      </c>
      <c r="BD367" t="n">
        <v>3</v>
      </c>
      <c r="BE367" t="n">
        <v>2</v>
      </c>
      <c r="BF367" t="n">
        <v>3</v>
      </c>
      <c r="BG367" t="n">
        <v>2</v>
      </c>
      <c r="BH367" t="n">
        <v>3</v>
      </c>
      <c r="BI367" t="n">
        <v>4</v>
      </c>
      <c r="BJ367" t="n">
        <v>2</v>
      </c>
      <c r="BK367" t="n">
        <v>4</v>
      </c>
      <c r="BL367" t="n">
        <v>3</v>
      </c>
      <c r="BM367" t="n">
        <v>4</v>
      </c>
      <c r="BN367" t="n">
        <v>3</v>
      </c>
      <c r="BO367" t="n">
        <v>4</v>
      </c>
      <c r="BP367" t="n">
        <v>2</v>
      </c>
      <c r="BQ367" t="n">
        <v>4</v>
      </c>
      <c r="BR367" t="n">
        <v>3</v>
      </c>
      <c r="BS367" s="56">
        <f>IF(COUNT(N367:W367)&gt;=8,AVERAGE(N367:W367),"")</f>
        <v/>
      </c>
      <c r="BT367" s="56">
        <f>IF(COUNT(X367:AE367)&gt;=7,AVERAGE(X367:AE367),"")</f>
        <v/>
      </c>
      <c r="BU367" s="56">
        <f>IF(COUNT(AF367:AM367)&gt;=7,AVERAGE(AF367:AM367),"")</f>
        <v/>
      </c>
      <c r="BV367" s="56">
        <f>IF(COUNT(AN367:AV367)&gt;=8,AVERAGE(AN367:AV367),"")</f>
        <v/>
      </c>
      <c r="BW367" s="56">
        <f>IF(COUNT(AW367:BD367)&gt;=7,AVERAGE(AW367:BD367),"")</f>
        <v/>
      </c>
      <c r="BX367" s="56">
        <f>IF(COUNT(BE367:BJ367)&gt;=5,AVERAGE(BE367:BJ367),"")</f>
        <v/>
      </c>
      <c r="BY367" s="56">
        <f>IF(COUNT(BK367:BR367)&gt;=7,AVERAGE(BK367:BR367),"")</f>
        <v/>
      </c>
    </row>
    <row r="368">
      <c r="A368" t="inlineStr">
        <is>
          <t>R337</t>
        </is>
      </c>
      <c r="B368" t="inlineStr">
        <is>
          <t>Yes</t>
        </is>
      </c>
      <c r="C368" t="inlineStr">
        <is>
          <t>Yes</t>
        </is>
      </c>
      <c r="D368" t="inlineStr">
        <is>
          <t>Male</t>
        </is>
      </c>
      <c r="E368" t="inlineStr">
        <is>
          <t>25-34</t>
        </is>
      </c>
      <c r="F368" t="inlineStr">
        <is>
          <t>Diploma/OND/NCE</t>
        </is>
      </c>
      <c r="G368" t="inlineStr">
        <is>
          <t>Microfinance bank</t>
        </is>
      </c>
      <c r="H368" t="inlineStr">
        <is>
          <t>Risk/Compliance</t>
        </is>
      </c>
      <c r="I368" t="inlineStr">
        <is>
          <t>16 or more</t>
        </is>
      </c>
      <c r="J368" t="inlineStr">
        <is>
          <t>Yes</t>
        </is>
      </c>
      <c r="K368" t="n">
        <v>3</v>
      </c>
      <c r="L368" t="inlineStr">
        <is>
          <t>Yes</t>
        </is>
      </c>
      <c r="M368" t="inlineStr">
        <is>
          <t>Yes</t>
        </is>
      </c>
      <c r="N368" t="n">
        <v>3</v>
      </c>
      <c r="O368" t="n">
        <v>3</v>
      </c>
      <c r="P368" t="n">
        <v>4</v>
      </c>
      <c r="Q368" t="n">
        <v>3</v>
      </c>
      <c r="R368" t="n">
        <v>2</v>
      </c>
      <c r="S368" t="n">
        <v>4</v>
      </c>
      <c r="T368" t="n">
        <v>2</v>
      </c>
      <c r="U368" t="n">
        <v>2</v>
      </c>
      <c r="V368" t="n">
        <v>3</v>
      </c>
      <c r="W368" t="n">
        <v>3</v>
      </c>
      <c r="X368" t="n">
        <v>4</v>
      </c>
      <c r="Y368" t="n">
        <v>3</v>
      </c>
      <c r="Z368" t="n">
        <v>4</v>
      </c>
      <c r="AA368" t="n">
        <v>3</v>
      </c>
      <c r="AB368" t="n">
        <v>3</v>
      </c>
      <c r="AC368" t="n">
        <v>3</v>
      </c>
      <c r="AD368" t="n">
        <v>3</v>
      </c>
      <c r="AE368" t="n">
        <v>3</v>
      </c>
      <c r="AF368" t="n">
        <v>3</v>
      </c>
      <c r="AG368" t="n">
        <v>4</v>
      </c>
      <c r="AH368" t="n">
        <v>3</v>
      </c>
      <c r="AI368" t="n">
        <v>5</v>
      </c>
      <c r="AJ368" t="n">
        <v>4</v>
      </c>
      <c r="AK368" t="n">
        <v>4</v>
      </c>
      <c r="AL368" t="n">
        <v>3</v>
      </c>
      <c r="AM368" t="n">
        <v>4</v>
      </c>
      <c r="AN368" t="n">
        <v>3</v>
      </c>
      <c r="AO368" t="n">
        <v>2</v>
      </c>
      <c r="AP368" t="n">
        <v>1</v>
      </c>
      <c r="AQ368" t="n">
        <v>2</v>
      </c>
      <c r="AR368" t="n">
        <v>3</v>
      </c>
      <c r="AS368" t="n">
        <v>3</v>
      </c>
      <c r="AT368" t="n">
        <v>1</v>
      </c>
      <c r="AU368" t="n">
        <v>2</v>
      </c>
      <c r="AV368" t="n">
        <v>1</v>
      </c>
      <c r="AW368" t="n">
        <v>3</v>
      </c>
      <c r="AX368" t="n">
        <v>3</v>
      </c>
      <c r="AY368" t="n">
        <v>3</v>
      </c>
      <c r="AZ368" t="n">
        <v>2</v>
      </c>
      <c r="BA368" t="n">
        <v>2</v>
      </c>
      <c r="BB368" t="n">
        <v>3</v>
      </c>
      <c r="BC368" t="n">
        <v>3</v>
      </c>
      <c r="BD368" t="n">
        <v>3</v>
      </c>
      <c r="BE368" t="n">
        <v>3</v>
      </c>
      <c r="BF368" t="n">
        <v>3</v>
      </c>
      <c r="BG368" t="n">
        <v>3</v>
      </c>
      <c r="BH368" t="n">
        <v>4</v>
      </c>
      <c r="BI368" t="n">
        <v>4</v>
      </c>
      <c r="BJ368" t="n">
        <v>3</v>
      </c>
      <c r="BK368" t="n">
        <v>4</v>
      </c>
      <c r="BL368" t="n">
        <v>4</v>
      </c>
      <c r="BM368" t="n">
        <v>4</v>
      </c>
      <c r="BN368" t="n">
        <v>4</v>
      </c>
      <c r="BP368" t="n">
        <v>5</v>
      </c>
      <c r="BQ368" t="n">
        <v>5</v>
      </c>
      <c r="BR368" t="n">
        <v>4</v>
      </c>
      <c r="BS368" s="56">
        <f>IF(COUNT(N368:W368)&gt;=8,AVERAGE(N368:W368),"")</f>
        <v/>
      </c>
      <c r="BT368" s="56">
        <f>IF(COUNT(X368:AE368)&gt;=7,AVERAGE(X368:AE368),"")</f>
        <v/>
      </c>
      <c r="BU368" s="56">
        <f>IF(COUNT(AF368:AM368)&gt;=7,AVERAGE(AF368:AM368),"")</f>
        <v/>
      </c>
      <c r="BV368" s="56">
        <f>IF(COUNT(AN368:AV368)&gt;=8,AVERAGE(AN368:AV368),"")</f>
        <v/>
      </c>
      <c r="BW368" s="56">
        <f>IF(COUNT(AW368:BD368)&gt;=7,AVERAGE(AW368:BD368),"")</f>
        <v/>
      </c>
      <c r="BX368" s="56">
        <f>IF(COUNT(BE368:BJ368)&gt;=5,AVERAGE(BE368:BJ368),"")</f>
        <v/>
      </c>
      <c r="BY368" s="56">
        <f>IF(COUNT(BK368:BR368)&gt;=7,AVERAGE(BK368:BR368),"")</f>
        <v/>
      </c>
    </row>
    <row r="369">
      <c r="A369" t="inlineStr">
        <is>
          <t>R338</t>
        </is>
      </c>
      <c r="B369" t="inlineStr">
        <is>
          <t>Yes</t>
        </is>
      </c>
      <c r="C369" t="inlineStr">
        <is>
          <t>Yes</t>
        </is>
      </c>
      <c r="D369" t="inlineStr">
        <is>
          <t>Male</t>
        </is>
      </c>
      <c r="E369" t="inlineStr">
        <is>
          <t>25-34</t>
        </is>
      </c>
      <c r="F369" t="inlineStr">
        <is>
          <t>Bachelor/HND</t>
        </is>
      </c>
      <c r="G369" t="inlineStr">
        <is>
          <t>Commercial bank</t>
        </is>
      </c>
      <c r="H369" t="inlineStr">
        <is>
          <t>IT/Technology</t>
        </is>
      </c>
      <c r="I369" t="inlineStr">
        <is>
          <t>6-10</t>
        </is>
      </c>
      <c r="J369" t="inlineStr">
        <is>
          <t>Yes</t>
        </is>
      </c>
      <c r="K369" t="n">
        <v>1</v>
      </c>
      <c r="L369" t="inlineStr">
        <is>
          <t>Yes</t>
        </is>
      </c>
      <c r="M369" t="inlineStr">
        <is>
          <t>Yes</t>
        </is>
      </c>
      <c r="N369" t="n">
        <v>3</v>
      </c>
      <c r="O369" t="n">
        <v>2</v>
      </c>
      <c r="P369" t="n">
        <v>3</v>
      </c>
      <c r="Q369" t="n">
        <v>2</v>
      </c>
      <c r="R369" t="n">
        <v>3</v>
      </c>
      <c r="S369" t="n">
        <v>3</v>
      </c>
      <c r="T369" t="n">
        <v>3</v>
      </c>
      <c r="U369" t="n">
        <v>3</v>
      </c>
      <c r="V369" t="n">
        <v>4</v>
      </c>
      <c r="W369" t="n">
        <v>3</v>
      </c>
      <c r="X369" t="n">
        <v>3</v>
      </c>
      <c r="Y369" t="n">
        <v>4</v>
      </c>
      <c r="Z369" t="n">
        <v>3</v>
      </c>
      <c r="AA369" t="n">
        <v>3</v>
      </c>
      <c r="AB369" t="n">
        <v>3</v>
      </c>
      <c r="AC369" t="n">
        <v>4</v>
      </c>
      <c r="AD369" t="n">
        <v>4</v>
      </c>
      <c r="AE369" t="n">
        <v>4</v>
      </c>
      <c r="AF369" t="n">
        <v>2</v>
      </c>
      <c r="AG369" t="n">
        <v>2</v>
      </c>
      <c r="AH369" t="n">
        <v>2</v>
      </c>
      <c r="AI369" t="n">
        <v>3</v>
      </c>
      <c r="AJ369" t="n">
        <v>3</v>
      </c>
      <c r="AK369" t="n">
        <v>2</v>
      </c>
      <c r="AL369" t="n">
        <v>3</v>
      </c>
      <c r="AM369" t="n">
        <v>1</v>
      </c>
      <c r="AN369" t="n">
        <v>4</v>
      </c>
      <c r="AO369" t="n">
        <v>3</v>
      </c>
      <c r="AP369" t="n">
        <v>3</v>
      </c>
      <c r="AQ369" t="n">
        <v>4</v>
      </c>
      <c r="AR369" t="n">
        <v>5</v>
      </c>
      <c r="AS369" t="n">
        <v>3</v>
      </c>
      <c r="AT369" t="n">
        <v>5</v>
      </c>
      <c r="AU369" t="n">
        <v>3</v>
      </c>
      <c r="AV369" t="n">
        <v>4</v>
      </c>
      <c r="AW369" t="n">
        <v>2</v>
      </c>
      <c r="AX369" t="n">
        <v>3</v>
      </c>
      <c r="AY369" t="n">
        <v>3</v>
      </c>
      <c r="AZ369" t="n">
        <v>3</v>
      </c>
      <c r="BA369" t="n">
        <v>3</v>
      </c>
      <c r="BB369" t="n">
        <v>4</v>
      </c>
      <c r="BC369" t="n">
        <v>4</v>
      </c>
      <c r="BD369" t="n">
        <v>2</v>
      </c>
      <c r="BE369" t="n">
        <v>2</v>
      </c>
      <c r="BF369" t="n">
        <v>4</v>
      </c>
      <c r="BG369" t="n">
        <v>4</v>
      </c>
      <c r="BH369" t="n">
        <v>4</v>
      </c>
      <c r="BI369" t="n">
        <v>3</v>
      </c>
      <c r="BJ369" t="n">
        <v>3</v>
      </c>
      <c r="BK369" t="n">
        <v>2</v>
      </c>
      <c r="BL369" t="n">
        <v>4</v>
      </c>
      <c r="BM369" t="n">
        <v>4</v>
      </c>
      <c r="BN369" t="n">
        <v>3</v>
      </c>
      <c r="BO369" t="n">
        <v>2</v>
      </c>
      <c r="BP369" t="n">
        <v>3</v>
      </c>
      <c r="BQ369" t="n">
        <v>2</v>
      </c>
      <c r="BR369" t="n">
        <v>3</v>
      </c>
      <c r="BS369" s="56">
        <f>IF(COUNT(N369:W369)&gt;=8,AVERAGE(N369:W369),"")</f>
        <v/>
      </c>
      <c r="BT369" s="56">
        <f>IF(COUNT(X369:AE369)&gt;=7,AVERAGE(X369:AE369),"")</f>
        <v/>
      </c>
      <c r="BU369" s="56">
        <f>IF(COUNT(AF369:AM369)&gt;=7,AVERAGE(AF369:AM369),"")</f>
        <v/>
      </c>
      <c r="BV369" s="56">
        <f>IF(COUNT(AN369:AV369)&gt;=8,AVERAGE(AN369:AV369),"")</f>
        <v/>
      </c>
      <c r="BW369" s="56">
        <f>IF(COUNT(AW369:BD369)&gt;=7,AVERAGE(AW369:BD369),"")</f>
        <v/>
      </c>
      <c r="BX369" s="56">
        <f>IF(COUNT(BE369:BJ369)&gt;=5,AVERAGE(BE369:BJ369),"")</f>
        <v/>
      </c>
      <c r="BY369" s="56">
        <f>IF(COUNT(BK369:BR369)&gt;=7,AVERAGE(BK369:BR369),"")</f>
        <v/>
      </c>
    </row>
    <row r="370">
      <c r="A370" t="inlineStr">
        <is>
          <t>R339</t>
        </is>
      </c>
      <c r="B370" t="inlineStr">
        <is>
          <t>Yes</t>
        </is>
      </c>
      <c r="C370" t="inlineStr">
        <is>
          <t>Yes</t>
        </is>
      </c>
      <c r="D370" t="inlineStr">
        <is>
          <t>Male</t>
        </is>
      </c>
      <c r="E370" t="inlineStr">
        <is>
          <t>45-54</t>
        </is>
      </c>
      <c r="F370" t="inlineStr">
        <is>
          <t>Diploma/OND/NCE</t>
        </is>
      </c>
      <c r="G370" t="inlineStr">
        <is>
          <t>Fintech/payment provider</t>
        </is>
      </c>
      <c r="H370" t="inlineStr">
        <is>
          <t>Data/Analytics/AI</t>
        </is>
      </c>
      <c r="I370" t="inlineStr">
        <is>
          <t>11-15</t>
        </is>
      </c>
      <c r="J370" t="inlineStr">
        <is>
          <t>Yes</t>
        </is>
      </c>
      <c r="K370" t="n">
        <v>1</v>
      </c>
      <c r="L370" t="inlineStr">
        <is>
          <t>No</t>
        </is>
      </c>
      <c r="M370" t="inlineStr">
        <is>
          <t>Yes</t>
        </is>
      </c>
      <c r="N370" t="n">
        <v>3</v>
      </c>
      <c r="O370" t="n">
        <v>2</v>
      </c>
      <c r="P370" t="n">
        <v>3</v>
      </c>
      <c r="Q370" t="n">
        <v>2</v>
      </c>
      <c r="R370" t="n">
        <v>4</v>
      </c>
      <c r="S370" t="n">
        <v>1</v>
      </c>
      <c r="T370" t="n">
        <v>3</v>
      </c>
      <c r="U370" t="n">
        <v>3</v>
      </c>
      <c r="V370" t="n">
        <v>2</v>
      </c>
      <c r="W370" t="n">
        <v>3</v>
      </c>
      <c r="X370" t="n">
        <v>3</v>
      </c>
      <c r="Y370" t="n">
        <v>1</v>
      </c>
      <c r="Z370" t="n">
        <v>2</v>
      </c>
      <c r="AA370" t="n">
        <v>2</v>
      </c>
      <c r="AB370" t="n">
        <v>2</v>
      </c>
      <c r="AC370" t="n">
        <v>2</v>
      </c>
      <c r="AD370" t="n">
        <v>2</v>
      </c>
      <c r="AE370" t="n">
        <v>3</v>
      </c>
      <c r="AF370" t="n">
        <v>2</v>
      </c>
      <c r="AG370" t="n">
        <v>4</v>
      </c>
      <c r="AH370" t="n">
        <v>3</v>
      </c>
      <c r="AI370" t="n">
        <v>3</v>
      </c>
      <c r="AJ370" t="n">
        <v>2</v>
      </c>
      <c r="AK370" t="n">
        <v>3</v>
      </c>
      <c r="AL370" t="n">
        <v>2</v>
      </c>
      <c r="AM370" t="n">
        <v>3</v>
      </c>
      <c r="AN370" t="n">
        <v>4</v>
      </c>
      <c r="AO370" t="n">
        <v>2</v>
      </c>
      <c r="AP370" t="n">
        <v>3</v>
      </c>
      <c r="AQ370" t="n">
        <v>3</v>
      </c>
      <c r="AR370" t="n">
        <v>2</v>
      </c>
      <c r="AS370" t="n">
        <v>3</v>
      </c>
      <c r="AT370" t="n">
        <v>3</v>
      </c>
      <c r="AU370" t="n">
        <v>3</v>
      </c>
      <c r="AV370" t="n">
        <v>3</v>
      </c>
      <c r="AW370" t="n">
        <v>2</v>
      </c>
      <c r="AX370" t="n">
        <v>2</v>
      </c>
      <c r="AY370" t="n">
        <v>3</v>
      </c>
      <c r="AZ370" t="n">
        <v>1</v>
      </c>
      <c r="BA370" t="n">
        <v>3</v>
      </c>
      <c r="BB370" t="n">
        <v>3</v>
      </c>
      <c r="BC370" t="n">
        <v>3</v>
      </c>
      <c r="BD370" t="n">
        <v>2</v>
      </c>
      <c r="BE370" t="n">
        <v>2</v>
      </c>
      <c r="BF370" t="n">
        <v>4</v>
      </c>
      <c r="BG370" t="n">
        <v>2</v>
      </c>
      <c r="BH370" t="n">
        <v>4</v>
      </c>
      <c r="BI370" t="n">
        <v>2</v>
      </c>
      <c r="BJ370" t="n">
        <v>2</v>
      </c>
      <c r="BK370" t="n">
        <v>4</v>
      </c>
      <c r="BL370" t="n">
        <v>2</v>
      </c>
      <c r="BM370" t="n">
        <v>3</v>
      </c>
      <c r="BN370" t="n">
        <v>3</v>
      </c>
      <c r="BO370" t="n">
        <v>2</v>
      </c>
      <c r="BP370" t="n">
        <v>3</v>
      </c>
      <c r="BQ370" t="n">
        <v>3</v>
      </c>
      <c r="BR370" t="n">
        <v>3</v>
      </c>
      <c r="BS370" s="56">
        <f>IF(COUNT(N370:W370)&gt;=8,AVERAGE(N370:W370),"")</f>
        <v/>
      </c>
      <c r="BT370" s="56">
        <f>IF(COUNT(X370:AE370)&gt;=7,AVERAGE(X370:AE370),"")</f>
        <v/>
      </c>
      <c r="BU370" s="56">
        <f>IF(COUNT(AF370:AM370)&gt;=7,AVERAGE(AF370:AM370),"")</f>
        <v/>
      </c>
      <c r="BV370" s="56">
        <f>IF(COUNT(AN370:AV370)&gt;=8,AVERAGE(AN370:AV370),"")</f>
        <v/>
      </c>
      <c r="BW370" s="56">
        <f>IF(COUNT(AW370:BD370)&gt;=7,AVERAGE(AW370:BD370),"")</f>
        <v/>
      </c>
      <c r="BX370" s="56">
        <f>IF(COUNT(BE370:BJ370)&gt;=5,AVERAGE(BE370:BJ370),"")</f>
        <v/>
      </c>
      <c r="BY370" s="56">
        <f>IF(COUNT(BK370:BR370)&gt;=7,AVERAGE(BK370:BR370),"")</f>
        <v/>
      </c>
    </row>
    <row r="371">
      <c r="A371" t="inlineStr">
        <is>
          <t>R340</t>
        </is>
      </c>
      <c r="B371" t="inlineStr">
        <is>
          <t>Yes</t>
        </is>
      </c>
      <c r="C371" t="inlineStr">
        <is>
          <t>Yes</t>
        </is>
      </c>
      <c r="D371" t="inlineStr">
        <is>
          <t>Male</t>
        </is>
      </c>
      <c r="E371" t="inlineStr">
        <is>
          <t>35-44</t>
        </is>
      </c>
      <c r="F371" t="inlineStr">
        <is>
          <t>Diploma/OND/NCE</t>
        </is>
      </c>
      <c r="G371" t="inlineStr">
        <is>
          <t>Commercial bank</t>
        </is>
      </c>
      <c r="H371" t="inlineStr">
        <is>
          <t>Digital Banking/Product</t>
        </is>
      </c>
      <c r="I371" t="inlineStr">
        <is>
          <t>2-5</t>
        </is>
      </c>
      <c r="J371" t="inlineStr">
        <is>
          <t>Yes</t>
        </is>
      </c>
      <c r="K371" t="n">
        <v>2</v>
      </c>
      <c r="L371" t="inlineStr">
        <is>
          <t>Yes</t>
        </is>
      </c>
      <c r="M371" t="inlineStr">
        <is>
          <t>Yes</t>
        </is>
      </c>
      <c r="N371" t="n">
        <v>4</v>
      </c>
      <c r="O371" t="n">
        <v>4</v>
      </c>
      <c r="P371" t="n">
        <v>4</v>
      </c>
      <c r="Q371" t="n">
        <v>3</v>
      </c>
      <c r="R371" t="n">
        <v>4</v>
      </c>
      <c r="S371" t="n">
        <v>3</v>
      </c>
      <c r="T371" t="n">
        <v>2</v>
      </c>
      <c r="U371" t="n">
        <v>4</v>
      </c>
      <c r="V371" t="n">
        <v>3</v>
      </c>
      <c r="W371" t="n">
        <v>2</v>
      </c>
      <c r="X371" t="n">
        <v>3</v>
      </c>
      <c r="Y371" t="n">
        <v>3</v>
      </c>
      <c r="Z371" t="n">
        <v>3</v>
      </c>
      <c r="AA371" t="n">
        <v>2</v>
      </c>
      <c r="AB371" t="n">
        <v>3</v>
      </c>
      <c r="AC371" t="n">
        <v>3</v>
      </c>
      <c r="AD371" t="n">
        <v>4</v>
      </c>
      <c r="AE371" t="n">
        <v>3</v>
      </c>
      <c r="AF371" t="n">
        <v>4</v>
      </c>
      <c r="AH371" t="n">
        <v>5</v>
      </c>
      <c r="AI371" t="n">
        <v>5</v>
      </c>
      <c r="AJ371" t="n">
        <v>4</v>
      </c>
      <c r="AK371" t="n">
        <v>5</v>
      </c>
      <c r="AL371" t="n">
        <v>5</v>
      </c>
      <c r="AM371" t="n">
        <v>4</v>
      </c>
      <c r="AN371" t="n">
        <v>3</v>
      </c>
      <c r="AO371" t="n">
        <v>2</v>
      </c>
      <c r="AP371" t="n">
        <v>3</v>
      </c>
      <c r="AQ371" t="n">
        <v>1</v>
      </c>
      <c r="AR371" t="n">
        <v>3</v>
      </c>
      <c r="AS371" t="n">
        <v>2</v>
      </c>
      <c r="AT371" t="n">
        <v>3</v>
      </c>
      <c r="AU371" t="n">
        <v>1</v>
      </c>
      <c r="AV371" t="n">
        <v>2</v>
      </c>
      <c r="AW371" t="n">
        <v>5</v>
      </c>
      <c r="AX371" t="n">
        <v>5</v>
      </c>
      <c r="AY371" t="n">
        <v>4</v>
      </c>
      <c r="AZ371" t="n">
        <v>5</v>
      </c>
      <c r="BA371" t="n">
        <v>5</v>
      </c>
      <c r="BB371" t="n">
        <v>5</v>
      </c>
      <c r="BC371" t="n">
        <v>5</v>
      </c>
      <c r="BD371" t="n">
        <v>4</v>
      </c>
      <c r="BE371" t="n">
        <v>3</v>
      </c>
      <c r="BF371" t="n">
        <v>4</v>
      </c>
      <c r="BG371" t="n">
        <v>2</v>
      </c>
      <c r="BH371" t="n">
        <v>3</v>
      </c>
      <c r="BI371" t="n">
        <v>2</v>
      </c>
      <c r="BJ371" t="n">
        <v>3</v>
      </c>
      <c r="BK371" t="n">
        <v>4</v>
      </c>
      <c r="BL371" t="n">
        <v>2</v>
      </c>
      <c r="BM371" t="n">
        <v>3</v>
      </c>
      <c r="BN371" t="n">
        <v>3</v>
      </c>
      <c r="BO371" t="n">
        <v>3</v>
      </c>
      <c r="BP371" t="n">
        <v>3</v>
      </c>
      <c r="BQ371" t="n">
        <v>3</v>
      </c>
      <c r="BR371" t="n">
        <v>3</v>
      </c>
      <c r="BS371" s="56">
        <f>IF(COUNT(N371:W371)&gt;=8,AVERAGE(N371:W371),"")</f>
        <v/>
      </c>
      <c r="BT371" s="56">
        <f>IF(COUNT(X371:AE371)&gt;=7,AVERAGE(X371:AE371),"")</f>
        <v/>
      </c>
      <c r="BU371" s="56">
        <f>IF(COUNT(AF371:AM371)&gt;=7,AVERAGE(AF371:AM371),"")</f>
        <v/>
      </c>
      <c r="BV371" s="56">
        <f>IF(COUNT(AN371:AV371)&gt;=8,AVERAGE(AN371:AV371),"")</f>
        <v/>
      </c>
      <c r="BW371" s="56">
        <f>IF(COUNT(AW371:BD371)&gt;=7,AVERAGE(AW371:BD371),"")</f>
        <v/>
      </c>
      <c r="BX371" s="56">
        <f>IF(COUNT(BE371:BJ371)&gt;=5,AVERAGE(BE371:BJ371),"")</f>
        <v/>
      </c>
      <c r="BY371" s="56">
        <f>IF(COUNT(BK371:BR371)&gt;=7,AVERAGE(BK371:BR371),"")</f>
        <v/>
      </c>
    </row>
    <row r="372">
      <c r="A372" t="inlineStr">
        <is>
          <t>R341</t>
        </is>
      </c>
      <c r="B372" t="inlineStr">
        <is>
          <t>Yes</t>
        </is>
      </c>
      <c r="C372" t="inlineStr">
        <is>
          <t>Yes</t>
        </is>
      </c>
      <c r="D372" t="inlineStr">
        <is>
          <t>Female</t>
        </is>
      </c>
      <c r="E372" t="inlineStr">
        <is>
          <t>25-34</t>
        </is>
      </c>
      <c r="F372" t="inlineStr">
        <is>
          <t>Diploma/OND/NCE</t>
        </is>
      </c>
      <c r="G372" t="inlineStr">
        <is>
          <t>Microfinance bank</t>
        </is>
      </c>
      <c r="H372" t="inlineStr">
        <is>
          <t>Customer Experience/Service</t>
        </is>
      </c>
      <c r="I372" t="inlineStr">
        <is>
          <t>2-5</t>
        </is>
      </c>
      <c r="J372" t="inlineStr">
        <is>
          <t>Yes</t>
        </is>
      </c>
      <c r="K372" t="n">
        <v>4</v>
      </c>
      <c r="L372" t="inlineStr">
        <is>
          <t>Yes</t>
        </is>
      </c>
      <c r="M372" t="inlineStr">
        <is>
          <t>Yes</t>
        </is>
      </c>
      <c r="N372" t="n">
        <v>3</v>
      </c>
      <c r="O372" t="n">
        <v>3</v>
      </c>
      <c r="P372" t="n">
        <v>2</v>
      </c>
      <c r="Q372" t="n">
        <v>3</v>
      </c>
      <c r="R372" t="n">
        <v>3</v>
      </c>
      <c r="S372" t="n">
        <v>3</v>
      </c>
      <c r="T372" t="n">
        <v>2</v>
      </c>
      <c r="U372" t="n">
        <v>4</v>
      </c>
      <c r="V372" t="n">
        <v>4</v>
      </c>
      <c r="W372" t="n">
        <v>2</v>
      </c>
      <c r="X372" t="n">
        <v>2</v>
      </c>
      <c r="Y372" t="n">
        <v>2</v>
      </c>
      <c r="Z372" t="n">
        <v>3</v>
      </c>
      <c r="AA372" t="n">
        <v>4</v>
      </c>
      <c r="AB372" t="n">
        <v>3</v>
      </c>
      <c r="AC372" t="n">
        <v>5</v>
      </c>
      <c r="AD372" t="n">
        <v>4</v>
      </c>
      <c r="AE372" t="n">
        <v>4</v>
      </c>
      <c r="AF372" t="n">
        <v>2</v>
      </c>
      <c r="AG372" t="n">
        <v>3</v>
      </c>
      <c r="AH372" t="n">
        <v>2</v>
      </c>
      <c r="AI372" t="n">
        <v>3</v>
      </c>
      <c r="AJ372" t="n">
        <v>3</v>
      </c>
      <c r="AK372" t="n">
        <v>3</v>
      </c>
      <c r="AL372" t="n">
        <v>3</v>
      </c>
      <c r="AM372" t="n">
        <v>3</v>
      </c>
      <c r="AN372" t="n">
        <v>3</v>
      </c>
      <c r="AO372" t="n">
        <v>3</v>
      </c>
      <c r="AP372" t="n">
        <v>3</v>
      </c>
      <c r="AQ372" t="n">
        <v>2</v>
      </c>
      <c r="AR372" t="n">
        <v>4</v>
      </c>
      <c r="AS372" t="n">
        <v>4</v>
      </c>
      <c r="AT372" t="n">
        <v>2</v>
      </c>
      <c r="AU372" t="n">
        <v>2</v>
      </c>
      <c r="AV372" t="n">
        <v>3</v>
      </c>
      <c r="AW372" t="n">
        <v>4</v>
      </c>
      <c r="AX372" t="n">
        <v>3</v>
      </c>
      <c r="AY372" t="n">
        <v>3</v>
      </c>
      <c r="AZ372" t="n">
        <v>2</v>
      </c>
      <c r="BA372" t="n">
        <v>3</v>
      </c>
      <c r="BB372" t="n">
        <v>2</v>
      </c>
      <c r="BC372" t="n">
        <v>3</v>
      </c>
      <c r="BD372" t="n">
        <v>3</v>
      </c>
      <c r="BE372" t="n">
        <v>3</v>
      </c>
      <c r="BF372" t="n">
        <v>3</v>
      </c>
      <c r="BG372" t="n">
        <v>3</v>
      </c>
      <c r="BH372" t="n">
        <v>4</v>
      </c>
      <c r="BI372" t="n">
        <v>3</v>
      </c>
      <c r="BJ372" t="n">
        <v>3</v>
      </c>
      <c r="BK372" t="n">
        <v>4</v>
      </c>
      <c r="BL372" t="n">
        <v>4</v>
      </c>
      <c r="BM372" t="n">
        <v>4</v>
      </c>
      <c r="BN372" t="n">
        <v>4</v>
      </c>
      <c r="BO372" t="n">
        <v>4</v>
      </c>
      <c r="BP372" t="n">
        <v>5</v>
      </c>
      <c r="BQ372" t="n">
        <v>4</v>
      </c>
      <c r="BR372" t="n">
        <v>3</v>
      </c>
      <c r="BS372" s="56">
        <f>IF(COUNT(N372:W372)&gt;=8,AVERAGE(N372:W372),"")</f>
        <v/>
      </c>
      <c r="BT372" s="56">
        <f>IF(COUNT(X372:AE372)&gt;=7,AVERAGE(X372:AE372),"")</f>
        <v/>
      </c>
      <c r="BU372" s="56">
        <f>IF(COUNT(AF372:AM372)&gt;=7,AVERAGE(AF372:AM372),"")</f>
        <v/>
      </c>
      <c r="BV372" s="56">
        <f>IF(COUNT(AN372:AV372)&gt;=8,AVERAGE(AN372:AV372),"")</f>
        <v/>
      </c>
      <c r="BW372" s="56">
        <f>IF(COUNT(AW372:BD372)&gt;=7,AVERAGE(AW372:BD372),"")</f>
        <v/>
      </c>
      <c r="BX372" s="56">
        <f>IF(COUNT(BE372:BJ372)&gt;=5,AVERAGE(BE372:BJ372),"")</f>
        <v/>
      </c>
      <c r="BY372" s="56">
        <f>IF(COUNT(BK372:BR372)&gt;=7,AVERAGE(BK372:BR372),"")</f>
        <v/>
      </c>
    </row>
    <row r="373">
      <c r="A373" t="inlineStr">
        <is>
          <t>R342</t>
        </is>
      </c>
      <c r="B373" t="inlineStr">
        <is>
          <t>Yes</t>
        </is>
      </c>
      <c r="C373" t="inlineStr">
        <is>
          <t>Yes</t>
        </is>
      </c>
      <c r="D373" t="inlineStr">
        <is>
          <t>Male</t>
        </is>
      </c>
      <c r="E373" t="inlineStr">
        <is>
          <t>25-34</t>
        </is>
      </c>
      <c r="F373" t="inlineStr">
        <is>
          <t>Postgraduate Diploma</t>
        </is>
      </c>
      <c r="G373" t="inlineStr">
        <is>
          <t>Digital bank/neobank</t>
        </is>
      </c>
      <c r="H373" t="inlineStr">
        <is>
          <t>Customer Experience/Service</t>
        </is>
      </c>
      <c r="I373" t="inlineStr">
        <is>
          <t>Less than 2</t>
        </is>
      </c>
      <c r="J373" t="inlineStr">
        <is>
          <t>Yes</t>
        </is>
      </c>
      <c r="K373" t="n">
        <v>0</v>
      </c>
      <c r="L373" t="inlineStr">
        <is>
          <t>No</t>
        </is>
      </c>
      <c r="M373" t="inlineStr">
        <is>
          <t>Yes</t>
        </is>
      </c>
      <c r="N373" t="n">
        <v>3</v>
      </c>
      <c r="O373" t="n">
        <v>2</v>
      </c>
      <c r="P373" t="n">
        <v>3</v>
      </c>
      <c r="Q373" t="n">
        <v>2</v>
      </c>
      <c r="R373" t="n">
        <v>3</v>
      </c>
      <c r="S373" t="n">
        <v>2</v>
      </c>
      <c r="T373" t="n">
        <v>2</v>
      </c>
      <c r="U373" t="n">
        <v>3</v>
      </c>
      <c r="V373" t="n">
        <v>2</v>
      </c>
      <c r="W373" t="n">
        <v>1</v>
      </c>
      <c r="X373" t="n">
        <v>3</v>
      </c>
      <c r="Y373" t="n">
        <v>1</v>
      </c>
      <c r="Z373" t="n">
        <v>1</v>
      </c>
      <c r="AA373" t="n">
        <v>1</v>
      </c>
      <c r="AB373" t="n">
        <v>2</v>
      </c>
      <c r="AC373" t="n">
        <v>1</v>
      </c>
      <c r="AD373" t="n">
        <v>2</v>
      </c>
      <c r="AE373" t="n">
        <v>1</v>
      </c>
      <c r="AF373" t="n">
        <v>2</v>
      </c>
      <c r="AG373" t="n">
        <v>3</v>
      </c>
      <c r="AH373" t="n">
        <v>2</v>
      </c>
      <c r="AI373" t="n">
        <v>3</v>
      </c>
      <c r="AJ373" t="n">
        <v>3</v>
      </c>
      <c r="AK373" t="n">
        <v>3</v>
      </c>
      <c r="AL373" t="n">
        <v>3</v>
      </c>
      <c r="AN373" t="n">
        <v>4</v>
      </c>
      <c r="AO373" t="n">
        <v>3</v>
      </c>
      <c r="AP373" t="n">
        <v>4</v>
      </c>
      <c r="AQ373" t="n">
        <v>3</v>
      </c>
      <c r="AR373" t="n">
        <v>5</v>
      </c>
      <c r="AS373" t="n">
        <v>3</v>
      </c>
      <c r="AU373" t="n">
        <v>3</v>
      </c>
      <c r="AV373" t="n">
        <v>3</v>
      </c>
      <c r="AW373" t="n">
        <v>3</v>
      </c>
      <c r="AX373" t="n">
        <v>2</v>
      </c>
      <c r="AZ373" t="n">
        <v>2</v>
      </c>
      <c r="BA373" t="n">
        <v>3</v>
      </c>
      <c r="BB373" t="n">
        <v>3</v>
      </c>
      <c r="BC373" t="n">
        <v>2</v>
      </c>
      <c r="BD373" t="n">
        <v>2</v>
      </c>
      <c r="BE373" t="n">
        <v>2</v>
      </c>
      <c r="BF373" t="n">
        <v>2</v>
      </c>
      <c r="BG373" t="n">
        <v>4</v>
      </c>
      <c r="BH373" t="n">
        <v>4</v>
      </c>
      <c r="BI373" t="n">
        <v>3</v>
      </c>
      <c r="BJ373" t="n">
        <v>2</v>
      </c>
      <c r="BK373" t="n">
        <v>4</v>
      </c>
      <c r="BL373" t="n">
        <v>4</v>
      </c>
      <c r="BM373" t="n">
        <v>4</v>
      </c>
      <c r="BN373" t="n">
        <v>5</v>
      </c>
      <c r="BO373" t="n">
        <v>5</v>
      </c>
      <c r="BP373" t="n">
        <v>5</v>
      </c>
      <c r="BQ373" t="n">
        <v>5</v>
      </c>
      <c r="BR373" t="n">
        <v>4</v>
      </c>
      <c r="BS373" s="56">
        <f>IF(COUNT(N373:W373)&gt;=8,AVERAGE(N373:W373),"")</f>
        <v/>
      </c>
      <c r="BT373" s="56">
        <f>IF(COUNT(X373:AE373)&gt;=7,AVERAGE(X373:AE373),"")</f>
        <v/>
      </c>
      <c r="BU373" s="56">
        <f>IF(COUNT(AF373:AM373)&gt;=7,AVERAGE(AF373:AM373),"")</f>
        <v/>
      </c>
      <c r="BV373" s="56">
        <f>IF(COUNT(AN373:AV373)&gt;=8,AVERAGE(AN373:AV373),"")</f>
        <v/>
      </c>
      <c r="BW373" s="56">
        <f>IF(COUNT(AW373:BD373)&gt;=7,AVERAGE(AW373:BD373),"")</f>
        <v/>
      </c>
      <c r="BX373" s="56">
        <f>IF(COUNT(BE373:BJ373)&gt;=5,AVERAGE(BE373:BJ373),"")</f>
        <v/>
      </c>
      <c r="BY373" s="56">
        <f>IF(COUNT(BK373:BR373)&gt;=7,AVERAGE(BK373:BR373),"")</f>
        <v/>
      </c>
    </row>
    <row r="374">
      <c r="A374" t="inlineStr">
        <is>
          <t>R343</t>
        </is>
      </c>
      <c r="B374" t="inlineStr">
        <is>
          <t>Yes</t>
        </is>
      </c>
      <c r="C374" t="inlineStr">
        <is>
          <t>Yes</t>
        </is>
      </c>
      <c r="D374" t="inlineStr">
        <is>
          <t>Female</t>
        </is>
      </c>
      <c r="E374" t="inlineStr">
        <is>
          <t>35-44</t>
        </is>
      </c>
      <c r="F374" t="inlineStr">
        <is>
          <t>Bachelor/HND</t>
        </is>
      </c>
      <c r="G374" t="inlineStr">
        <is>
          <t>Microfinance bank</t>
        </is>
      </c>
      <c r="H374" t="inlineStr">
        <is>
          <t>IT/Technology</t>
        </is>
      </c>
      <c r="I374" t="inlineStr">
        <is>
          <t>16 or more</t>
        </is>
      </c>
      <c r="J374" t="inlineStr">
        <is>
          <t>Yes</t>
        </is>
      </c>
      <c r="K374" t="n">
        <v>4</v>
      </c>
      <c r="L374" t="inlineStr">
        <is>
          <t>No</t>
        </is>
      </c>
      <c r="M374" t="inlineStr">
        <is>
          <t>Yes</t>
        </is>
      </c>
      <c r="N374" t="n">
        <v>3</v>
      </c>
      <c r="O374" t="n">
        <v>3</v>
      </c>
      <c r="P374" t="n">
        <v>4</v>
      </c>
      <c r="Q374" t="n">
        <v>2</v>
      </c>
      <c r="R374" t="n">
        <v>2</v>
      </c>
      <c r="S374" t="n">
        <v>3</v>
      </c>
      <c r="T374" t="n">
        <v>3</v>
      </c>
      <c r="U374" t="n">
        <v>3</v>
      </c>
      <c r="V374" t="n">
        <v>4</v>
      </c>
      <c r="W374" t="n">
        <v>3</v>
      </c>
      <c r="X374" t="n">
        <v>4</v>
      </c>
      <c r="Y374" t="n">
        <v>3</v>
      </c>
      <c r="Z374" t="n">
        <v>3</v>
      </c>
      <c r="AB374" t="n">
        <v>4</v>
      </c>
      <c r="AC374" t="n">
        <v>4</v>
      </c>
      <c r="AD374" t="n">
        <v>4</v>
      </c>
      <c r="AE374" t="n">
        <v>3</v>
      </c>
      <c r="AF374" t="n">
        <v>3</v>
      </c>
      <c r="AG374" t="n">
        <v>4</v>
      </c>
      <c r="AH374" t="n">
        <v>4</v>
      </c>
      <c r="AI374" t="n">
        <v>4</v>
      </c>
      <c r="AJ374" t="n">
        <v>4</v>
      </c>
      <c r="AK374" t="n">
        <v>2</v>
      </c>
      <c r="AL374" t="n">
        <v>3</v>
      </c>
      <c r="AM374" t="n">
        <v>2</v>
      </c>
      <c r="AN374" t="n">
        <v>3</v>
      </c>
      <c r="AO374" t="n">
        <v>3</v>
      </c>
      <c r="AP374" t="n">
        <v>4</v>
      </c>
      <c r="AQ374" t="n">
        <v>3</v>
      </c>
      <c r="AR374" t="n">
        <v>4</v>
      </c>
      <c r="AS374" t="n">
        <v>3</v>
      </c>
      <c r="AT374" t="n">
        <v>2</v>
      </c>
      <c r="AU374" t="n">
        <v>3</v>
      </c>
      <c r="AV374" t="n">
        <v>2</v>
      </c>
      <c r="AW374" t="n">
        <v>3</v>
      </c>
      <c r="AX374" t="n">
        <v>3</v>
      </c>
      <c r="AY374" t="n">
        <v>3</v>
      </c>
      <c r="AZ374" t="n">
        <v>4</v>
      </c>
      <c r="BA374" t="n">
        <v>5</v>
      </c>
      <c r="BB374" t="n">
        <v>4</v>
      </c>
      <c r="BC374" t="n">
        <v>4</v>
      </c>
      <c r="BD374" t="n">
        <v>3</v>
      </c>
      <c r="BE374" t="n">
        <v>3</v>
      </c>
      <c r="BF374" t="n">
        <v>4</v>
      </c>
      <c r="BG374" t="n">
        <v>3</v>
      </c>
      <c r="BH374" t="n">
        <v>5</v>
      </c>
      <c r="BI374" t="n">
        <v>4</v>
      </c>
      <c r="BJ374" t="n">
        <v>2</v>
      </c>
      <c r="BK374" t="n">
        <v>5</v>
      </c>
      <c r="BL374" t="n">
        <v>4</v>
      </c>
      <c r="BM374" t="n">
        <v>3</v>
      </c>
      <c r="BN374" t="n">
        <v>3</v>
      </c>
      <c r="BO374" t="n">
        <v>4</v>
      </c>
      <c r="BP374" t="n">
        <v>4</v>
      </c>
      <c r="BQ374" t="n">
        <v>4</v>
      </c>
      <c r="BR374" t="n">
        <v>3</v>
      </c>
      <c r="BS374" s="56">
        <f>IF(COUNT(N374:W374)&gt;=8,AVERAGE(N374:W374),"")</f>
        <v/>
      </c>
      <c r="BT374" s="56">
        <f>IF(COUNT(X374:AE374)&gt;=7,AVERAGE(X374:AE374),"")</f>
        <v/>
      </c>
      <c r="BU374" s="56">
        <f>IF(COUNT(AF374:AM374)&gt;=7,AVERAGE(AF374:AM374),"")</f>
        <v/>
      </c>
      <c r="BV374" s="56">
        <f>IF(COUNT(AN374:AV374)&gt;=8,AVERAGE(AN374:AV374),"")</f>
        <v/>
      </c>
      <c r="BW374" s="56">
        <f>IF(COUNT(AW374:BD374)&gt;=7,AVERAGE(AW374:BD374),"")</f>
        <v/>
      </c>
      <c r="BX374" s="56">
        <f>IF(COUNT(BE374:BJ374)&gt;=5,AVERAGE(BE374:BJ374),"")</f>
        <v/>
      </c>
      <c r="BY374" s="56">
        <f>IF(COUNT(BK374:BR374)&gt;=7,AVERAGE(BK374:BR374),"")</f>
        <v/>
      </c>
    </row>
    <row r="375">
      <c r="A375" t="inlineStr">
        <is>
          <t>R344</t>
        </is>
      </c>
      <c r="B375" t="inlineStr">
        <is>
          <t>Yes</t>
        </is>
      </c>
      <c r="C375" t="inlineStr">
        <is>
          <t>Yes</t>
        </is>
      </c>
      <c r="D375" t="inlineStr">
        <is>
          <t>Female</t>
        </is>
      </c>
      <c r="E375" t="inlineStr">
        <is>
          <t>55 or above</t>
        </is>
      </c>
      <c r="F375" t="inlineStr">
        <is>
          <t>Diploma/OND/NCE</t>
        </is>
      </c>
      <c r="G375" t="inlineStr">
        <is>
          <t>Commercial bank</t>
        </is>
      </c>
      <c r="H375" t="inlineStr">
        <is>
          <t>Data/Analytics/AI</t>
        </is>
      </c>
      <c r="I375" t="inlineStr">
        <is>
          <t>11-15</t>
        </is>
      </c>
      <c r="J375" t="inlineStr">
        <is>
          <t>Yes</t>
        </is>
      </c>
      <c r="K375" t="n">
        <v>1</v>
      </c>
      <c r="L375" t="inlineStr">
        <is>
          <t>No</t>
        </is>
      </c>
      <c r="M375" t="inlineStr">
        <is>
          <t>Yes</t>
        </is>
      </c>
      <c r="N375" t="n">
        <v>2</v>
      </c>
      <c r="O375" t="n">
        <v>2</v>
      </c>
      <c r="P375" t="n">
        <v>3</v>
      </c>
      <c r="Q375" t="n">
        <v>2</v>
      </c>
      <c r="R375" t="n">
        <v>2</v>
      </c>
      <c r="S375" t="n">
        <v>3</v>
      </c>
      <c r="T375" t="n">
        <v>2</v>
      </c>
      <c r="U375" t="n">
        <v>2</v>
      </c>
      <c r="V375" t="n">
        <v>2</v>
      </c>
      <c r="W375" t="n">
        <v>2</v>
      </c>
      <c r="X375" t="n">
        <v>3</v>
      </c>
      <c r="Y375" t="n">
        <v>1</v>
      </c>
      <c r="Z375" t="n">
        <v>1</v>
      </c>
      <c r="AA375" t="n">
        <v>2</v>
      </c>
      <c r="AB375" t="n">
        <v>2</v>
      </c>
      <c r="AC375" t="n">
        <v>1</v>
      </c>
      <c r="AD375" t="n">
        <v>2</v>
      </c>
      <c r="AE375" t="n">
        <v>2</v>
      </c>
      <c r="AF375" t="n">
        <v>2</v>
      </c>
      <c r="AG375" t="n">
        <v>2</v>
      </c>
      <c r="AH375" t="n">
        <v>1</v>
      </c>
      <c r="AI375" t="n">
        <v>2</v>
      </c>
      <c r="AJ375" t="n">
        <v>2</v>
      </c>
      <c r="AK375" t="n">
        <v>2</v>
      </c>
      <c r="AL375" t="n">
        <v>3</v>
      </c>
      <c r="AM375" t="n">
        <v>2</v>
      </c>
      <c r="AN375" t="n">
        <v>3</v>
      </c>
      <c r="AO375" t="n">
        <v>3</v>
      </c>
      <c r="AP375" t="n">
        <v>4</v>
      </c>
      <c r="AQ375" t="n">
        <v>3</v>
      </c>
      <c r="AR375" t="n">
        <v>3</v>
      </c>
      <c r="AS375" t="n">
        <v>4</v>
      </c>
      <c r="AT375" t="n">
        <v>4</v>
      </c>
      <c r="AU375" t="n">
        <v>3</v>
      </c>
      <c r="AV375" t="n">
        <v>3</v>
      </c>
      <c r="AW375" t="n">
        <v>3</v>
      </c>
      <c r="AX375" t="n">
        <v>3</v>
      </c>
      <c r="AY375" t="n">
        <v>1</v>
      </c>
      <c r="AZ375" t="n">
        <v>1</v>
      </c>
      <c r="BA375" t="n">
        <v>3</v>
      </c>
      <c r="BB375" t="n">
        <v>2</v>
      </c>
      <c r="BC375" t="n">
        <v>2</v>
      </c>
      <c r="BD375" t="n">
        <v>3</v>
      </c>
      <c r="BE375" t="n">
        <v>3</v>
      </c>
      <c r="BF375" t="n">
        <v>2</v>
      </c>
      <c r="BG375" t="n">
        <v>3</v>
      </c>
      <c r="BH375" t="n">
        <v>3</v>
      </c>
      <c r="BI375" t="n">
        <v>3</v>
      </c>
      <c r="BJ375" t="n">
        <v>3</v>
      </c>
      <c r="BK375" t="n">
        <v>4</v>
      </c>
      <c r="BL375" t="n">
        <v>5</v>
      </c>
      <c r="BM375" t="n">
        <v>4</v>
      </c>
      <c r="BN375" t="n">
        <v>4</v>
      </c>
      <c r="BO375" t="n">
        <v>3</v>
      </c>
      <c r="BP375" t="n">
        <v>4</v>
      </c>
      <c r="BQ375" t="n">
        <v>4</v>
      </c>
      <c r="BR375" t="n">
        <v>3</v>
      </c>
      <c r="BS375" s="56">
        <f>IF(COUNT(N375:W375)&gt;=8,AVERAGE(N375:W375),"")</f>
        <v/>
      </c>
      <c r="BT375" s="56">
        <f>IF(COUNT(X375:AE375)&gt;=7,AVERAGE(X375:AE375),"")</f>
        <v/>
      </c>
      <c r="BU375" s="56">
        <f>IF(COUNT(AF375:AM375)&gt;=7,AVERAGE(AF375:AM375),"")</f>
        <v/>
      </c>
      <c r="BV375" s="56">
        <f>IF(COUNT(AN375:AV375)&gt;=8,AVERAGE(AN375:AV375),"")</f>
        <v/>
      </c>
      <c r="BW375" s="56">
        <f>IF(COUNT(AW375:BD375)&gt;=7,AVERAGE(AW375:BD375),"")</f>
        <v/>
      </c>
      <c r="BX375" s="56">
        <f>IF(COUNT(BE375:BJ375)&gt;=5,AVERAGE(BE375:BJ375),"")</f>
        <v/>
      </c>
      <c r="BY375" s="56">
        <f>IF(COUNT(BK375:BR375)&gt;=7,AVERAGE(BK375:BR375),"")</f>
        <v/>
      </c>
    </row>
    <row r="376">
      <c r="A376" t="inlineStr">
        <is>
          <t>R345</t>
        </is>
      </c>
      <c r="B376" t="inlineStr">
        <is>
          <t>Yes</t>
        </is>
      </c>
      <c r="C376" t="inlineStr">
        <is>
          <t>Yes</t>
        </is>
      </c>
      <c r="D376" t="inlineStr">
        <is>
          <t>Male</t>
        </is>
      </c>
      <c r="E376" t="inlineStr">
        <is>
          <t>35-44</t>
        </is>
      </c>
      <c r="F376" t="inlineStr">
        <is>
          <t>Bachelor/HND</t>
        </is>
      </c>
      <c r="G376" t="inlineStr">
        <is>
          <t>Commercial bank</t>
        </is>
      </c>
      <c r="H376" t="inlineStr">
        <is>
          <t>Other</t>
        </is>
      </c>
      <c r="I376" t="inlineStr">
        <is>
          <t>Less than 2</t>
        </is>
      </c>
      <c r="J376" t="inlineStr">
        <is>
          <t>Yes</t>
        </is>
      </c>
      <c r="K376" t="n">
        <v>3</v>
      </c>
      <c r="L376" t="inlineStr">
        <is>
          <t>No</t>
        </is>
      </c>
      <c r="M376" t="inlineStr">
        <is>
          <t>Yes</t>
        </is>
      </c>
      <c r="N376" t="n">
        <v>4</v>
      </c>
      <c r="O376" t="n">
        <v>3</v>
      </c>
      <c r="P376" t="n">
        <v>4</v>
      </c>
      <c r="Q376" t="n">
        <v>3</v>
      </c>
      <c r="R376" t="n">
        <v>2</v>
      </c>
      <c r="S376" t="n">
        <v>3</v>
      </c>
      <c r="T376" t="n">
        <v>3</v>
      </c>
      <c r="U376" t="n">
        <v>3</v>
      </c>
      <c r="W376" t="n">
        <v>2</v>
      </c>
      <c r="X376" t="n">
        <v>3</v>
      </c>
      <c r="Y376" t="n">
        <v>2</v>
      </c>
      <c r="Z376" t="n">
        <v>3</v>
      </c>
      <c r="AA376" t="n">
        <v>2</v>
      </c>
      <c r="AB376" t="n">
        <v>3</v>
      </c>
      <c r="AC376" t="n">
        <v>3</v>
      </c>
      <c r="AD376" t="n">
        <v>4</v>
      </c>
      <c r="AE376" t="n">
        <v>3</v>
      </c>
      <c r="AF376" t="n">
        <v>2</v>
      </c>
      <c r="AI376" t="n">
        <v>3</v>
      </c>
      <c r="AJ376" t="n">
        <v>3</v>
      </c>
      <c r="AK376" t="n">
        <v>3</v>
      </c>
      <c r="AL376" t="n">
        <v>3</v>
      </c>
      <c r="AM376" t="n">
        <v>2</v>
      </c>
      <c r="AN376" t="n">
        <v>2</v>
      </c>
      <c r="AO376" t="n">
        <v>4</v>
      </c>
      <c r="AP376" t="n">
        <v>3</v>
      </c>
      <c r="AQ376" t="n">
        <v>3</v>
      </c>
      <c r="AR376" t="n">
        <v>5</v>
      </c>
      <c r="AS376" t="n">
        <v>3</v>
      </c>
      <c r="AT376" t="n">
        <v>4</v>
      </c>
      <c r="AU376" t="n">
        <v>4</v>
      </c>
      <c r="AV376" t="n">
        <v>5</v>
      </c>
      <c r="AW376" t="n">
        <v>2</v>
      </c>
      <c r="AX376" t="n">
        <v>3</v>
      </c>
      <c r="AY376" t="n">
        <v>3</v>
      </c>
      <c r="AZ376" t="n">
        <v>3</v>
      </c>
      <c r="BA376" t="n">
        <v>3</v>
      </c>
      <c r="BB376" t="n">
        <v>3</v>
      </c>
      <c r="BC376" t="n">
        <v>2</v>
      </c>
      <c r="BD376" t="n">
        <v>2</v>
      </c>
      <c r="BE376" t="n">
        <v>2</v>
      </c>
      <c r="BF376" t="n">
        <v>3</v>
      </c>
      <c r="BG376" t="n">
        <v>2</v>
      </c>
      <c r="BH376" t="n">
        <v>2</v>
      </c>
      <c r="BI376" t="n">
        <v>2</v>
      </c>
      <c r="BJ376" t="n">
        <v>3</v>
      </c>
      <c r="BK376" t="n">
        <v>4</v>
      </c>
      <c r="BL376" t="n">
        <v>3</v>
      </c>
      <c r="BM376" t="n">
        <v>3</v>
      </c>
      <c r="BN376" t="n">
        <v>3</v>
      </c>
      <c r="BO376" t="n">
        <v>4</v>
      </c>
      <c r="BP376" t="n">
        <v>3</v>
      </c>
      <c r="BQ376" t="n">
        <v>3</v>
      </c>
      <c r="BR376" t="n">
        <v>3</v>
      </c>
      <c r="BS376" s="56">
        <f>IF(COUNT(N376:W376)&gt;=8,AVERAGE(N376:W376),"")</f>
        <v/>
      </c>
      <c r="BT376" s="56">
        <f>IF(COUNT(X376:AE376)&gt;=7,AVERAGE(X376:AE376),"")</f>
        <v/>
      </c>
      <c r="BU376" s="56">
        <f>IF(COUNT(AF376:AM376)&gt;=7,AVERAGE(AF376:AM376),"")</f>
        <v/>
      </c>
      <c r="BV376" s="56">
        <f>IF(COUNT(AN376:AV376)&gt;=8,AVERAGE(AN376:AV376),"")</f>
        <v/>
      </c>
      <c r="BW376" s="56">
        <f>IF(COUNT(AW376:BD376)&gt;=7,AVERAGE(AW376:BD376),"")</f>
        <v/>
      </c>
      <c r="BX376" s="56">
        <f>IF(COUNT(BE376:BJ376)&gt;=5,AVERAGE(BE376:BJ376),"")</f>
        <v/>
      </c>
      <c r="BY376" s="56">
        <f>IF(COUNT(BK376:BR376)&gt;=7,AVERAGE(BK376:BR376),"")</f>
        <v/>
      </c>
    </row>
    <row r="377">
      <c r="A377" t="inlineStr">
        <is>
          <t>R346</t>
        </is>
      </c>
      <c r="B377" t="inlineStr">
        <is>
          <t>Yes</t>
        </is>
      </c>
      <c r="C377" t="inlineStr">
        <is>
          <t>Yes</t>
        </is>
      </c>
      <c r="D377" t="inlineStr">
        <is>
          <t>Female</t>
        </is>
      </c>
      <c r="E377" t="inlineStr">
        <is>
          <t>25-34</t>
        </is>
      </c>
      <c r="F377" t="inlineStr">
        <is>
          <t>Bachelor/HND</t>
        </is>
      </c>
      <c r="G377" t="inlineStr">
        <is>
          <t>Commercial bank</t>
        </is>
      </c>
      <c r="H377" t="inlineStr">
        <is>
          <t>Data/Analytics/AI</t>
        </is>
      </c>
      <c r="I377" t="inlineStr">
        <is>
          <t>16 or more</t>
        </is>
      </c>
      <c r="J377" t="inlineStr">
        <is>
          <t>Yes</t>
        </is>
      </c>
      <c r="K377" t="n">
        <v>2</v>
      </c>
      <c r="L377" t="inlineStr">
        <is>
          <t>Yes</t>
        </is>
      </c>
      <c r="M377" t="inlineStr">
        <is>
          <t>Yes</t>
        </is>
      </c>
      <c r="N377" t="n">
        <v>3</v>
      </c>
      <c r="O377" t="n">
        <v>2</v>
      </c>
      <c r="P377" t="n">
        <v>4</v>
      </c>
      <c r="Q377" t="n">
        <v>3</v>
      </c>
      <c r="R377" t="n">
        <v>3</v>
      </c>
      <c r="S377" t="n">
        <v>2</v>
      </c>
      <c r="T377" t="n">
        <v>3</v>
      </c>
      <c r="U377" t="n">
        <v>4</v>
      </c>
      <c r="V377" t="n">
        <v>4</v>
      </c>
      <c r="W377" t="n">
        <v>2</v>
      </c>
      <c r="X377" t="n">
        <v>3</v>
      </c>
      <c r="Y377" t="n">
        <v>3</v>
      </c>
      <c r="Z377" t="n">
        <v>3</v>
      </c>
      <c r="AA377" t="n">
        <v>2</v>
      </c>
      <c r="AB377" t="n">
        <v>2</v>
      </c>
      <c r="AC377" t="n">
        <v>3</v>
      </c>
      <c r="AD377" t="n">
        <v>2</v>
      </c>
      <c r="AE377" t="n">
        <v>1</v>
      </c>
      <c r="AF377" t="n">
        <v>3</v>
      </c>
      <c r="AG377" t="n">
        <v>4</v>
      </c>
      <c r="AH377" t="n">
        <v>4</v>
      </c>
      <c r="AI377" t="n">
        <v>4</v>
      </c>
      <c r="AJ377" t="n">
        <v>4</v>
      </c>
      <c r="AK377" t="n">
        <v>3</v>
      </c>
      <c r="AL377" t="n">
        <v>5</v>
      </c>
      <c r="AM377" t="n">
        <v>3</v>
      </c>
      <c r="AN377" t="n">
        <v>2</v>
      </c>
      <c r="AO377" t="n">
        <v>2</v>
      </c>
      <c r="AP377" t="n">
        <v>1</v>
      </c>
      <c r="AQ377" t="n">
        <v>2</v>
      </c>
      <c r="AR377" t="n">
        <v>3</v>
      </c>
      <c r="AS377" t="n">
        <v>2</v>
      </c>
      <c r="AT377" t="n">
        <v>2</v>
      </c>
      <c r="AU377" t="n">
        <v>2</v>
      </c>
      <c r="AV377" t="n">
        <v>2</v>
      </c>
      <c r="AW377" t="n">
        <v>4</v>
      </c>
      <c r="AX377" t="n">
        <v>3</v>
      </c>
      <c r="AY377" t="n">
        <v>2</v>
      </c>
      <c r="AZ377" t="n">
        <v>2</v>
      </c>
      <c r="BA377" t="n">
        <v>2</v>
      </c>
      <c r="BB377" t="n">
        <v>2</v>
      </c>
      <c r="BC377" t="n">
        <v>2</v>
      </c>
      <c r="BD377" t="n">
        <v>2</v>
      </c>
      <c r="BE377" t="n">
        <v>4</v>
      </c>
      <c r="BF377" t="n">
        <v>3</v>
      </c>
      <c r="BG377" t="n">
        <v>3</v>
      </c>
      <c r="BH377" t="n">
        <v>5</v>
      </c>
      <c r="BI377" t="n">
        <v>4</v>
      </c>
      <c r="BJ377" t="n">
        <v>4</v>
      </c>
      <c r="BK377" t="n">
        <v>4</v>
      </c>
      <c r="BL377" t="n">
        <v>2</v>
      </c>
      <c r="BM377" t="n">
        <v>4</v>
      </c>
      <c r="BN377" t="n">
        <v>3</v>
      </c>
      <c r="BO377" t="n">
        <v>3</v>
      </c>
      <c r="BP377" t="n">
        <v>3</v>
      </c>
      <c r="BQ377" t="n">
        <v>4</v>
      </c>
      <c r="BR377" t="n">
        <v>2</v>
      </c>
      <c r="BS377" s="56">
        <f>IF(COUNT(N377:W377)&gt;=8,AVERAGE(N377:W377),"")</f>
        <v/>
      </c>
      <c r="BT377" s="56">
        <f>IF(COUNT(X377:AE377)&gt;=7,AVERAGE(X377:AE377),"")</f>
        <v/>
      </c>
      <c r="BU377" s="56">
        <f>IF(COUNT(AF377:AM377)&gt;=7,AVERAGE(AF377:AM377),"")</f>
        <v/>
      </c>
      <c r="BV377" s="56">
        <f>IF(COUNT(AN377:AV377)&gt;=8,AVERAGE(AN377:AV377),"")</f>
        <v/>
      </c>
      <c r="BW377" s="56">
        <f>IF(COUNT(AW377:BD377)&gt;=7,AVERAGE(AW377:BD377),"")</f>
        <v/>
      </c>
      <c r="BX377" s="56">
        <f>IF(COUNT(BE377:BJ377)&gt;=5,AVERAGE(BE377:BJ377),"")</f>
        <v/>
      </c>
      <c r="BY377" s="56">
        <f>IF(COUNT(BK377:BR377)&gt;=7,AVERAGE(BK377:BR377),"")</f>
        <v/>
      </c>
    </row>
    <row r="378">
      <c r="A378" t="inlineStr">
        <is>
          <t>R347</t>
        </is>
      </c>
      <c r="B378" t="inlineStr">
        <is>
          <t>Yes</t>
        </is>
      </c>
      <c r="C378" t="inlineStr">
        <is>
          <t>Yes</t>
        </is>
      </c>
      <c r="D378" t="inlineStr">
        <is>
          <t>Female</t>
        </is>
      </c>
      <c r="E378" t="inlineStr">
        <is>
          <t>25-34</t>
        </is>
      </c>
      <c r="F378" t="inlineStr">
        <is>
          <t>Bachelor/HND</t>
        </is>
      </c>
      <c r="G378" t="inlineStr">
        <is>
          <t>Microfinance bank</t>
        </is>
      </c>
      <c r="H378" t="inlineStr">
        <is>
          <t>Customer Experience/Service</t>
        </is>
      </c>
      <c r="I378" t="inlineStr">
        <is>
          <t>Less than 2</t>
        </is>
      </c>
      <c r="J378" t="inlineStr">
        <is>
          <t>Yes</t>
        </is>
      </c>
      <c r="K378" t="n">
        <v>0</v>
      </c>
      <c r="L378" t="inlineStr">
        <is>
          <t>Yes</t>
        </is>
      </c>
      <c r="M378" t="inlineStr">
        <is>
          <t>Yes</t>
        </is>
      </c>
      <c r="N378" t="n">
        <v>3</v>
      </c>
      <c r="O378" t="n">
        <v>3</v>
      </c>
      <c r="P378" t="n">
        <v>3</v>
      </c>
      <c r="Q378" t="n">
        <v>2</v>
      </c>
      <c r="R378" t="n">
        <v>4</v>
      </c>
      <c r="S378" t="n">
        <v>3</v>
      </c>
      <c r="T378" t="n">
        <v>2</v>
      </c>
      <c r="U378" t="n">
        <v>3</v>
      </c>
      <c r="V378" t="n">
        <v>4</v>
      </c>
      <c r="W378" t="n">
        <v>3</v>
      </c>
      <c r="X378" t="n">
        <v>2</v>
      </c>
      <c r="Y378" t="n">
        <v>3</v>
      </c>
      <c r="Z378" t="n">
        <v>3</v>
      </c>
      <c r="AA378" t="n">
        <v>2</v>
      </c>
      <c r="AB378" t="n">
        <v>3</v>
      </c>
      <c r="AC378" t="n">
        <v>3</v>
      </c>
      <c r="AD378" t="n">
        <v>4</v>
      </c>
      <c r="AE378" t="n">
        <v>3</v>
      </c>
      <c r="AF378" t="n">
        <v>3</v>
      </c>
      <c r="AG378" t="n">
        <v>5</v>
      </c>
      <c r="AH378" t="n">
        <v>3</v>
      </c>
      <c r="AI378" t="n">
        <v>3</v>
      </c>
      <c r="AJ378" t="n">
        <v>4</v>
      </c>
      <c r="AK378" t="n">
        <v>3</v>
      </c>
      <c r="AL378" t="n">
        <v>3</v>
      </c>
      <c r="AM378" t="n">
        <v>4</v>
      </c>
      <c r="AN378" t="n">
        <v>3</v>
      </c>
      <c r="AO378" t="n">
        <v>4</v>
      </c>
      <c r="AP378" t="n">
        <v>3</v>
      </c>
      <c r="AQ378" t="n">
        <v>1</v>
      </c>
      <c r="AR378" t="n">
        <v>2</v>
      </c>
      <c r="AS378" t="n">
        <v>2</v>
      </c>
      <c r="AT378" t="n">
        <v>3</v>
      </c>
      <c r="AU378" t="n">
        <v>1</v>
      </c>
      <c r="AV378" t="n">
        <v>3</v>
      </c>
      <c r="AW378" t="n">
        <v>2</v>
      </c>
      <c r="AX378" t="n">
        <v>1</v>
      </c>
      <c r="AY378" t="n">
        <v>2</v>
      </c>
      <c r="AZ378" t="n">
        <v>2</v>
      </c>
      <c r="BA378" t="n">
        <v>1</v>
      </c>
      <c r="BB378" t="n">
        <v>3</v>
      </c>
      <c r="BC378" t="n">
        <v>2</v>
      </c>
      <c r="BD378" t="n">
        <v>2</v>
      </c>
      <c r="BE378" t="n">
        <v>2</v>
      </c>
      <c r="BF378" t="n">
        <v>3</v>
      </c>
      <c r="BG378" t="n">
        <v>2</v>
      </c>
      <c r="BH378" t="n">
        <v>3</v>
      </c>
      <c r="BI378" t="n">
        <v>3</v>
      </c>
      <c r="BJ378" t="n">
        <v>3</v>
      </c>
      <c r="BK378" t="n">
        <v>4</v>
      </c>
      <c r="BL378" t="n">
        <v>2</v>
      </c>
      <c r="BM378" t="n">
        <v>3</v>
      </c>
      <c r="BN378" t="n">
        <v>2</v>
      </c>
      <c r="BO378" t="n">
        <v>4</v>
      </c>
      <c r="BP378" t="n">
        <v>4</v>
      </c>
      <c r="BQ378" t="n">
        <v>3</v>
      </c>
      <c r="BR378" t="n">
        <v>3</v>
      </c>
      <c r="BS378" s="56">
        <f>IF(COUNT(N378:W378)&gt;=8,AVERAGE(N378:W378),"")</f>
        <v/>
      </c>
      <c r="BT378" s="56">
        <f>IF(COUNT(X378:AE378)&gt;=7,AVERAGE(X378:AE378),"")</f>
        <v/>
      </c>
      <c r="BU378" s="56">
        <f>IF(COUNT(AF378:AM378)&gt;=7,AVERAGE(AF378:AM378),"")</f>
        <v/>
      </c>
      <c r="BV378" s="56">
        <f>IF(COUNT(AN378:AV378)&gt;=8,AVERAGE(AN378:AV378),"")</f>
        <v/>
      </c>
      <c r="BW378" s="56">
        <f>IF(COUNT(AW378:BD378)&gt;=7,AVERAGE(AW378:BD378),"")</f>
        <v/>
      </c>
      <c r="BX378" s="56">
        <f>IF(COUNT(BE378:BJ378)&gt;=5,AVERAGE(BE378:BJ378),"")</f>
        <v/>
      </c>
      <c r="BY378" s="56">
        <f>IF(COUNT(BK378:BR378)&gt;=7,AVERAGE(BK378:BR378),"")</f>
        <v/>
      </c>
    </row>
    <row r="379">
      <c r="A379" t="inlineStr">
        <is>
          <t>R348</t>
        </is>
      </c>
      <c r="B379" t="inlineStr">
        <is>
          <t>Yes</t>
        </is>
      </c>
      <c r="C379" t="inlineStr">
        <is>
          <t>Yes</t>
        </is>
      </c>
      <c r="D379" t="inlineStr">
        <is>
          <t>Male</t>
        </is>
      </c>
      <c r="E379" t="inlineStr">
        <is>
          <t>25-34</t>
        </is>
      </c>
      <c r="F379" t="inlineStr">
        <is>
          <t>Bachelor/HND</t>
        </is>
      </c>
      <c r="G379" t="inlineStr">
        <is>
          <t>Commercial bank</t>
        </is>
      </c>
      <c r="H379" t="inlineStr">
        <is>
          <t>Other</t>
        </is>
      </c>
      <c r="I379" t="inlineStr">
        <is>
          <t>Less than 2</t>
        </is>
      </c>
      <c r="J379" t="inlineStr">
        <is>
          <t>Yes</t>
        </is>
      </c>
      <c r="K379" t="n">
        <v>2</v>
      </c>
      <c r="L379" t="inlineStr">
        <is>
          <t>Yes</t>
        </is>
      </c>
      <c r="M379" t="inlineStr">
        <is>
          <t>Yes</t>
        </is>
      </c>
      <c r="N379" t="n">
        <v>3</v>
      </c>
      <c r="O379" t="n">
        <v>3</v>
      </c>
      <c r="P379" t="n">
        <v>2</v>
      </c>
      <c r="Q379" t="n">
        <v>3</v>
      </c>
      <c r="R379" t="n">
        <v>2</v>
      </c>
      <c r="S379" t="n">
        <v>2</v>
      </c>
      <c r="T379" t="n">
        <v>2</v>
      </c>
      <c r="U379" t="n">
        <v>3</v>
      </c>
      <c r="V379" t="n">
        <v>3</v>
      </c>
      <c r="W379" t="n">
        <v>2</v>
      </c>
      <c r="X379" t="n">
        <v>3</v>
      </c>
      <c r="Y379" t="n">
        <v>3</v>
      </c>
      <c r="Z379" t="n">
        <v>3</v>
      </c>
      <c r="AA379" t="n">
        <v>2</v>
      </c>
      <c r="AB379" t="n">
        <v>2</v>
      </c>
      <c r="AC379" t="n">
        <v>2</v>
      </c>
      <c r="AD379" t="n">
        <v>2</v>
      </c>
      <c r="AE379" t="n">
        <v>3</v>
      </c>
      <c r="AF379" t="n">
        <v>2</v>
      </c>
      <c r="AG379" t="n">
        <v>4</v>
      </c>
      <c r="AH379" t="n">
        <v>3</v>
      </c>
      <c r="AI379" t="n">
        <v>3</v>
      </c>
      <c r="AJ379" t="n">
        <v>3</v>
      </c>
      <c r="AK379" t="n">
        <v>4</v>
      </c>
      <c r="AL379" t="n">
        <v>2</v>
      </c>
      <c r="AM379" t="n">
        <v>4</v>
      </c>
      <c r="AN379" t="n">
        <v>3</v>
      </c>
      <c r="AO379" t="n">
        <v>2</v>
      </c>
      <c r="AP379" t="n">
        <v>3</v>
      </c>
      <c r="AQ379" t="n">
        <v>2</v>
      </c>
      <c r="AS379" t="n">
        <v>2</v>
      </c>
      <c r="AT379" t="n">
        <v>2</v>
      </c>
      <c r="AU379" t="n">
        <v>1</v>
      </c>
      <c r="AV379" t="n">
        <v>1</v>
      </c>
      <c r="AW379" t="n">
        <v>3</v>
      </c>
      <c r="AX379" t="n">
        <v>3</v>
      </c>
      <c r="AY379" t="n">
        <v>3</v>
      </c>
      <c r="AZ379" t="n">
        <v>3</v>
      </c>
      <c r="BA379" t="n">
        <v>4</v>
      </c>
      <c r="BB379" t="n">
        <v>4</v>
      </c>
      <c r="BC379" t="n">
        <v>3</v>
      </c>
      <c r="BD379" t="n">
        <v>3</v>
      </c>
      <c r="BE379" t="n">
        <v>3</v>
      </c>
      <c r="BF379" t="n">
        <v>4</v>
      </c>
      <c r="BG379" t="n">
        <v>2</v>
      </c>
      <c r="BH379" t="n">
        <v>4</v>
      </c>
      <c r="BI379" t="n">
        <v>4</v>
      </c>
      <c r="BJ379" t="n">
        <v>3</v>
      </c>
      <c r="BK379" t="n">
        <v>4</v>
      </c>
      <c r="BL379" t="n">
        <v>4</v>
      </c>
      <c r="BM379" t="n">
        <v>4</v>
      </c>
      <c r="BN379" t="n">
        <v>3</v>
      </c>
      <c r="BO379" t="n">
        <v>3</v>
      </c>
      <c r="BP379" t="n">
        <v>3</v>
      </c>
      <c r="BQ379" t="n">
        <v>5</v>
      </c>
      <c r="BR379" t="n">
        <v>3</v>
      </c>
      <c r="BS379" s="56">
        <f>IF(COUNT(N379:W379)&gt;=8,AVERAGE(N379:W379),"")</f>
        <v/>
      </c>
      <c r="BT379" s="56">
        <f>IF(COUNT(X379:AE379)&gt;=7,AVERAGE(X379:AE379),"")</f>
        <v/>
      </c>
      <c r="BU379" s="56">
        <f>IF(COUNT(AF379:AM379)&gt;=7,AVERAGE(AF379:AM379),"")</f>
        <v/>
      </c>
      <c r="BV379" s="56">
        <f>IF(COUNT(AN379:AV379)&gt;=8,AVERAGE(AN379:AV379),"")</f>
        <v/>
      </c>
      <c r="BW379" s="56">
        <f>IF(COUNT(AW379:BD379)&gt;=7,AVERAGE(AW379:BD379),"")</f>
        <v/>
      </c>
      <c r="BX379" s="56">
        <f>IF(COUNT(BE379:BJ379)&gt;=5,AVERAGE(BE379:BJ379),"")</f>
        <v/>
      </c>
      <c r="BY379" s="56">
        <f>IF(COUNT(BK379:BR379)&gt;=7,AVERAGE(BK379:BR379),"")</f>
        <v/>
      </c>
    </row>
    <row r="380">
      <c r="A380" t="inlineStr">
        <is>
          <t>R349</t>
        </is>
      </c>
      <c r="B380" t="inlineStr">
        <is>
          <t>Yes</t>
        </is>
      </c>
      <c r="C380" t="inlineStr">
        <is>
          <t>Yes</t>
        </is>
      </c>
      <c r="D380" t="inlineStr">
        <is>
          <t>Female</t>
        </is>
      </c>
      <c r="E380" t="inlineStr">
        <is>
          <t>35-44</t>
        </is>
      </c>
      <c r="F380" t="inlineStr">
        <is>
          <t>Master's</t>
        </is>
      </c>
      <c r="G380" t="inlineStr">
        <is>
          <t>Commercial bank</t>
        </is>
      </c>
      <c r="H380" t="inlineStr">
        <is>
          <t>Customer Experience/Service</t>
        </is>
      </c>
      <c r="I380" t="inlineStr">
        <is>
          <t>11-15</t>
        </is>
      </c>
      <c r="J380" t="inlineStr">
        <is>
          <t>Yes</t>
        </is>
      </c>
      <c r="K380" t="n">
        <v>2</v>
      </c>
      <c r="L380" t="inlineStr">
        <is>
          <t>Yes</t>
        </is>
      </c>
      <c r="M380" t="inlineStr">
        <is>
          <t>Yes</t>
        </is>
      </c>
      <c r="N380" t="n">
        <v>5</v>
      </c>
      <c r="O380" t="n">
        <v>3</v>
      </c>
      <c r="P380" t="n">
        <v>5</v>
      </c>
      <c r="Q380" t="n">
        <v>4</v>
      </c>
      <c r="R380" t="n">
        <v>4</v>
      </c>
      <c r="S380" t="n">
        <v>5</v>
      </c>
      <c r="T380" t="n">
        <v>4</v>
      </c>
      <c r="U380" t="n">
        <v>3</v>
      </c>
      <c r="V380" t="n">
        <v>3</v>
      </c>
      <c r="W380" t="n">
        <v>4</v>
      </c>
      <c r="X380" t="n">
        <v>3</v>
      </c>
      <c r="Y380" t="n">
        <v>3</v>
      </c>
      <c r="Z380" t="n">
        <v>4</v>
      </c>
      <c r="AA380" t="n">
        <v>2</v>
      </c>
      <c r="AB380" t="n">
        <v>3</v>
      </c>
      <c r="AC380" t="n">
        <v>4</v>
      </c>
      <c r="AD380" t="n">
        <v>5</v>
      </c>
      <c r="AE380" t="n">
        <v>3</v>
      </c>
      <c r="AF380" t="n">
        <v>2</v>
      </c>
      <c r="AG380" t="n">
        <v>3</v>
      </c>
      <c r="AH380" t="n">
        <v>2</v>
      </c>
      <c r="AI380" t="n">
        <v>3</v>
      </c>
      <c r="AJ380" t="n">
        <v>2</v>
      </c>
      <c r="AK380" t="n">
        <v>3</v>
      </c>
      <c r="AL380" t="n">
        <v>2</v>
      </c>
      <c r="AM380" t="n">
        <v>2</v>
      </c>
      <c r="AN380" t="n">
        <v>4</v>
      </c>
      <c r="AO380" t="n">
        <v>2</v>
      </c>
      <c r="AP380" t="n">
        <v>2</v>
      </c>
      <c r="AQ380" t="n">
        <v>2</v>
      </c>
      <c r="AR380" t="n">
        <v>2</v>
      </c>
      <c r="AS380" t="n">
        <v>3</v>
      </c>
      <c r="AT380" t="n">
        <v>3</v>
      </c>
      <c r="AU380" t="n">
        <v>3</v>
      </c>
      <c r="AV380" t="n">
        <v>2</v>
      </c>
      <c r="AW380" t="n">
        <v>3</v>
      </c>
      <c r="AX380" t="n">
        <v>3</v>
      </c>
      <c r="AY380" t="n">
        <v>3</v>
      </c>
      <c r="AZ380" t="n">
        <v>2</v>
      </c>
      <c r="BA380" t="n">
        <v>3</v>
      </c>
      <c r="BB380" t="n">
        <v>3</v>
      </c>
      <c r="BC380" t="n">
        <v>3</v>
      </c>
      <c r="BD380" t="n">
        <v>3</v>
      </c>
      <c r="BE380" t="n">
        <v>3</v>
      </c>
      <c r="BF380" t="n">
        <v>4</v>
      </c>
      <c r="BG380" t="n">
        <v>2</v>
      </c>
      <c r="BH380" t="n">
        <v>3</v>
      </c>
      <c r="BI380" t="n">
        <v>3</v>
      </c>
      <c r="BJ380" t="n">
        <v>3</v>
      </c>
      <c r="BK380" t="n">
        <v>3</v>
      </c>
      <c r="BL380" t="n">
        <v>3</v>
      </c>
      <c r="BN380" t="n">
        <v>4</v>
      </c>
      <c r="BO380" t="n">
        <v>4</v>
      </c>
      <c r="BP380" t="n">
        <v>4</v>
      </c>
      <c r="BQ380" t="n">
        <v>5</v>
      </c>
      <c r="BR380" t="n">
        <v>3</v>
      </c>
      <c r="BS380" s="56">
        <f>IF(COUNT(N380:W380)&gt;=8,AVERAGE(N380:W380),"")</f>
        <v/>
      </c>
      <c r="BT380" s="56">
        <f>IF(COUNT(X380:AE380)&gt;=7,AVERAGE(X380:AE380),"")</f>
        <v/>
      </c>
      <c r="BU380" s="56">
        <f>IF(COUNT(AF380:AM380)&gt;=7,AVERAGE(AF380:AM380),"")</f>
        <v/>
      </c>
      <c r="BV380" s="56">
        <f>IF(COUNT(AN380:AV380)&gt;=8,AVERAGE(AN380:AV380),"")</f>
        <v/>
      </c>
      <c r="BW380" s="56">
        <f>IF(COUNT(AW380:BD380)&gt;=7,AVERAGE(AW380:BD380),"")</f>
        <v/>
      </c>
      <c r="BX380" s="56">
        <f>IF(COUNT(BE380:BJ380)&gt;=5,AVERAGE(BE380:BJ380),"")</f>
        <v/>
      </c>
      <c r="BY380" s="56">
        <f>IF(COUNT(BK380:BR380)&gt;=7,AVERAGE(BK380:BR380),"")</f>
        <v/>
      </c>
    </row>
    <row r="381">
      <c r="A381" t="inlineStr">
        <is>
          <t>R350</t>
        </is>
      </c>
      <c r="B381" t="inlineStr">
        <is>
          <t>Yes</t>
        </is>
      </c>
      <c r="C381" t="inlineStr">
        <is>
          <t>Yes</t>
        </is>
      </c>
      <c r="D381" t="inlineStr">
        <is>
          <t>Male</t>
        </is>
      </c>
      <c r="E381" t="inlineStr">
        <is>
          <t>45-54</t>
        </is>
      </c>
      <c r="F381" t="inlineStr">
        <is>
          <t>Master's</t>
        </is>
      </c>
      <c r="G381" t="inlineStr">
        <is>
          <t>Digital bank/neobank</t>
        </is>
      </c>
      <c r="H381" t="inlineStr">
        <is>
          <t>Risk/Compliance</t>
        </is>
      </c>
      <c r="I381" t="inlineStr">
        <is>
          <t>Less than 2</t>
        </is>
      </c>
      <c r="J381" t="inlineStr">
        <is>
          <t>Yes</t>
        </is>
      </c>
      <c r="K381" t="n">
        <v>1</v>
      </c>
      <c r="L381" t="inlineStr">
        <is>
          <t>No</t>
        </is>
      </c>
      <c r="M381" t="inlineStr">
        <is>
          <t>Yes</t>
        </is>
      </c>
      <c r="N381" t="n">
        <v>4</v>
      </c>
      <c r="O381" t="n">
        <v>5</v>
      </c>
      <c r="P381" t="n">
        <v>4</v>
      </c>
      <c r="Q381" t="n">
        <v>2</v>
      </c>
      <c r="R381" t="n">
        <v>3</v>
      </c>
      <c r="S381" t="n">
        <v>4</v>
      </c>
      <c r="T381" t="n">
        <v>3</v>
      </c>
      <c r="U381" t="n">
        <v>4</v>
      </c>
      <c r="V381" t="n">
        <v>4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2</v>
      </c>
      <c r="AC381" t="n">
        <v>4</v>
      </c>
      <c r="AD381" t="n">
        <v>3</v>
      </c>
      <c r="AE381" t="n">
        <v>2</v>
      </c>
      <c r="AF381" t="n">
        <v>1</v>
      </c>
      <c r="AG381" t="n">
        <v>2</v>
      </c>
      <c r="AH381" t="n">
        <v>2</v>
      </c>
      <c r="AI381" t="n">
        <v>2</v>
      </c>
      <c r="AJ381" t="n">
        <v>3</v>
      </c>
      <c r="AK381" t="n">
        <v>3</v>
      </c>
      <c r="AL381" t="n">
        <v>2</v>
      </c>
      <c r="AM381" t="n">
        <v>3</v>
      </c>
      <c r="AN381" t="n">
        <v>4</v>
      </c>
      <c r="AO381" t="n">
        <v>5</v>
      </c>
      <c r="AP381" t="n">
        <v>4</v>
      </c>
      <c r="AQ381" t="n">
        <v>3</v>
      </c>
      <c r="AR381" t="n">
        <v>3</v>
      </c>
      <c r="AS381" t="n">
        <v>4</v>
      </c>
      <c r="AU381" t="n">
        <v>4</v>
      </c>
      <c r="AV381" t="n">
        <v>4</v>
      </c>
      <c r="AW381" t="n">
        <v>4</v>
      </c>
      <c r="AX381" t="n">
        <v>3</v>
      </c>
      <c r="AY381" t="n">
        <v>4</v>
      </c>
      <c r="AZ381" t="n">
        <v>3</v>
      </c>
      <c r="BA381" t="n">
        <v>3</v>
      </c>
      <c r="BB381" t="n">
        <v>3</v>
      </c>
      <c r="BC381" t="n">
        <v>4</v>
      </c>
      <c r="BD381" t="n">
        <v>2</v>
      </c>
      <c r="BE381" t="n">
        <v>3</v>
      </c>
      <c r="BF381" t="n">
        <v>2</v>
      </c>
      <c r="BG381" t="n">
        <v>1</v>
      </c>
      <c r="BH381" t="n">
        <v>2</v>
      </c>
      <c r="BI381" t="n">
        <v>3</v>
      </c>
      <c r="BK381" t="n">
        <v>4</v>
      </c>
      <c r="BL381" t="n">
        <v>3</v>
      </c>
      <c r="BM381" t="n">
        <v>3</v>
      </c>
      <c r="BN381" t="n">
        <v>5</v>
      </c>
      <c r="BO381" t="n">
        <v>4</v>
      </c>
      <c r="BP381" t="n">
        <v>3</v>
      </c>
      <c r="BQ381" t="n">
        <v>4</v>
      </c>
      <c r="BR381" t="n">
        <v>3</v>
      </c>
      <c r="BS381" s="56">
        <f>IF(COUNT(N381:W381)&gt;=8,AVERAGE(N381:W381),"")</f>
        <v/>
      </c>
      <c r="BT381" s="56">
        <f>IF(COUNT(X381:AE381)&gt;=7,AVERAGE(X381:AE381),"")</f>
        <v/>
      </c>
      <c r="BU381" s="56">
        <f>IF(COUNT(AF381:AM381)&gt;=7,AVERAGE(AF381:AM381),"")</f>
        <v/>
      </c>
      <c r="BV381" s="56">
        <f>IF(COUNT(AN381:AV381)&gt;=8,AVERAGE(AN381:AV381),"")</f>
        <v/>
      </c>
      <c r="BW381" s="56">
        <f>IF(COUNT(AW381:BD381)&gt;=7,AVERAGE(AW381:BD381),"")</f>
        <v/>
      </c>
      <c r="BX381" s="56">
        <f>IF(COUNT(BE381:BJ381)&gt;=5,AVERAGE(BE381:BJ381),"")</f>
        <v/>
      </c>
      <c r="BY381" s="56">
        <f>IF(COUNT(BK381:BR381)&gt;=7,AVERAGE(BK381:BR381),"")</f>
        <v/>
      </c>
    </row>
    <row r="382">
      <c r="A382" t="inlineStr">
        <is>
          <t>R351</t>
        </is>
      </c>
      <c r="B382" t="inlineStr">
        <is>
          <t>Yes</t>
        </is>
      </c>
      <c r="C382" t="inlineStr">
        <is>
          <t>Yes</t>
        </is>
      </c>
      <c r="D382" t="inlineStr">
        <is>
          <t>Male</t>
        </is>
      </c>
      <c r="E382" t="inlineStr">
        <is>
          <t>25-34</t>
        </is>
      </c>
      <c r="F382" t="inlineStr">
        <is>
          <t>Doctorate</t>
        </is>
      </c>
      <c r="G382" t="inlineStr">
        <is>
          <t>Insurance/investment/other licensed financial institution</t>
        </is>
      </c>
      <c r="H382" t="inlineStr">
        <is>
          <t>Digital Banking/Product</t>
        </is>
      </c>
      <c r="I382" t="inlineStr">
        <is>
          <t>6-10</t>
        </is>
      </c>
      <c r="J382" t="inlineStr">
        <is>
          <t>Yes</t>
        </is>
      </c>
      <c r="K382" t="n">
        <v>2</v>
      </c>
      <c r="L382" t="inlineStr">
        <is>
          <t>No</t>
        </is>
      </c>
      <c r="M382" t="inlineStr">
        <is>
          <t>Yes</t>
        </is>
      </c>
      <c r="N382" t="n">
        <v>2</v>
      </c>
      <c r="O382" t="n">
        <v>3</v>
      </c>
      <c r="P382" t="n">
        <v>2</v>
      </c>
      <c r="Q382" t="n">
        <v>2</v>
      </c>
      <c r="R382" t="n">
        <v>2</v>
      </c>
      <c r="S382" t="n">
        <v>4</v>
      </c>
      <c r="T382" t="n">
        <v>2</v>
      </c>
      <c r="U382" t="n">
        <v>2</v>
      </c>
      <c r="V382" t="n">
        <v>3</v>
      </c>
      <c r="W382" t="n">
        <v>2</v>
      </c>
      <c r="X382" t="n">
        <v>2</v>
      </c>
      <c r="Y382" t="n">
        <v>1</v>
      </c>
      <c r="Z382" t="n">
        <v>4</v>
      </c>
      <c r="AA382" t="n">
        <v>2</v>
      </c>
      <c r="AB382" t="n">
        <v>3</v>
      </c>
      <c r="AC382" t="n">
        <v>4</v>
      </c>
      <c r="AD382" t="n">
        <v>3</v>
      </c>
      <c r="AE382" t="n">
        <v>3</v>
      </c>
      <c r="AF382" t="n">
        <v>3</v>
      </c>
      <c r="AG382" t="n">
        <v>2</v>
      </c>
      <c r="AH382" t="n">
        <v>3</v>
      </c>
      <c r="AI382" t="n">
        <v>3</v>
      </c>
      <c r="AJ382" t="n">
        <v>3</v>
      </c>
      <c r="AK382" t="n">
        <v>4</v>
      </c>
      <c r="AL382" t="n">
        <v>1</v>
      </c>
      <c r="AM382" t="n">
        <v>2</v>
      </c>
      <c r="AN382" t="n">
        <v>4</v>
      </c>
      <c r="AO382" t="n">
        <v>2</v>
      </c>
      <c r="AP382" t="n">
        <v>3</v>
      </c>
      <c r="AR382" t="n">
        <v>3</v>
      </c>
      <c r="AS382" t="n">
        <v>2</v>
      </c>
      <c r="AT382" t="n">
        <v>1</v>
      </c>
      <c r="AU382" t="n">
        <v>3</v>
      </c>
      <c r="AV382" t="n">
        <v>3</v>
      </c>
      <c r="AW382" t="n">
        <v>3</v>
      </c>
      <c r="AX382" t="n">
        <v>3</v>
      </c>
      <c r="AY382" t="n">
        <v>3</v>
      </c>
      <c r="AZ382" t="n">
        <v>3</v>
      </c>
      <c r="BA382" t="n">
        <v>3</v>
      </c>
      <c r="BB382" t="n">
        <v>2</v>
      </c>
      <c r="BC382" t="n">
        <v>4</v>
      </c>
      <c r="BD382" t="n">
        <v>2</v>
      </c>
      <c r="BE382" t="n">
        <v>3</v>
      </c>
      <c r="BF382" t="n">
        <v>3</v>
      </c>
      <c r="BG382" t="n">
        <v>3</v>
      </c>
      <c r="BH382" t="n">
        <v>2</v>
      </c>
      <c r="BI382" t="n">
        <v>3</v>
      </c>
      <c r="BJ382" t="n">
        <v>2</v>
      </c>
      <c r="BK382" t="n">
        <v>4</v>
      </c>
      <c r="BL382" t="n">
        <v>1</v>
      </c>
      <c r="BM382" t="n">
        <v>3</v>
      </c>
      <c r="BN382" t="n">
        <v>3</v>
      </c>
      <c r="BO382" t="n">
        <v>3</v>
      </c>
      <c r="BP382" t="n">
        <v>3</v>
      </c>
      <c r="BQ382" t="n">
        <v>2</v>
      </c>
      <c r="BR382" t="n">
        <v>2</v>
      </c>
      <c r="BS382" s="56">
        <f>IF(COUNT(N382:W382)&gt;=8,AVERAGE(N382:W382),"")</f>
        <v/>
      </c>
      <c r="BT382" s="56">
        <f>IF(COUNT(X382:AE382)&gt;=7,AVERAGE(X382:AE382),"")</f>
        <v/>
      </c>
      <c r="BU382" s="56">
        <f>IF(COUNT(AF382:AM382)&gt;=7,AVERAGE(AF382:AM382),"")</f>
        <v/>
      </c>
      <c r="BV382" s="56">
        <f>IF(COUNT(AN382:AV382)&gt;=8,AVERAGE(AN382:AV382),"")</f>
        <v/>
      </c>
      <c r="BW382" s="56">
        <f>IF(COUNT(AW382:BD382)&gt;=7,AVERAGE(AW382:BD382),"")</f>
        <v/>
      </c>
      <c r="BX382" s="56">
        <f>IF(COUNT(BE382:BJ382)&gt;=5,AVERAGE(BE382:BJ382),"")</f>
        <v/>
      </c>
      <c r="BY382" s="56">
        <f>IF(COUNT(BK382:BR382)&gt;=7,AVERAGE(BK382:BR382),"")</f>
        <v/>
      </c>
    </row>
    <row r="383">
      <c r="A383" t="inlineStr">
        <is>
          <t>R352</t>
        </is>
      </c>
      <c r="B383" t="inlineStr">
        <is>
          <t>Yes</t>
        </is>
      </c>
      <c r="C383" t="inlineStr">
        <is>
          <t>Yes</t>
        </is>
      </c>
      <c r="D383" t="inlineStr">
        <is>
          <t>Female</t>
        </is>
      </c>
      <c r="E383" t="inlineStr">
        <is>
          <t>45-54</t>
        </is>
      </c>
      <c r="F383" t="inlineStr">
        <is>
          <t>Master's</t>
        </is>
      </c>
      <c r="G383" t="inlineStr">
        <is>
          <t>Microfinance bank</t>
        </is>
      </c>
      <c r="H383" t="inlineStr">
        <is>
          <t>IT/Technology</t>
        </is>
      </c>
      <c r="I383" t="inlineStr">
        <is>
          <t>11-15</t>
        </is>
      </c>
      <c r="J383" t="inlineStr">
        <is>
          <t>Yes</t>
        </is>
      </c>
      <c r="K383" t="n">
        <v>1</v>
      </c>
      <c r="L383" t="inlineStr">
        <is>
          <t>Yes</t>
        </is>
      </c>
      <c r="M383" t="inlineStr">
        <is>
          <t>Yes</t>
        </is>
      </c>
      <c r="N383" t="n">
        <v>3</v>
      </c>
      <c r="O383" t="n">
        <v>4</v>
      </c>
      <c r="P383" t="n">
        <v>3</v>
      </c>
      <c r="Q383" t="n">
        <v>3</v>
      </c>
      <c r="R383" t="n">
        <v>3</v>
      </c>
      <c r="S383" t="n">
        <v>3</v>
      </c>
      <c r="T383" t="n">
        <v>3</v>
      </c>
      <c r="U383" t="n">
        <v>4</v>
      </c>
      <c r="V383" t="n">
        <v>5</v>
      </c>
      <c r="W383" t="n">
        <v>2</v>
      </c>
      <c r="X383" t="n">
        <v>3</v>
      </c>
      <c r="Y383" t="n">
        <v>1</v>
      </c>
      <c r="Z383" t="n">
        <v>2</v>
      </c>
      <c r="AA383" t="n">
        <v>1</v>
      </c>
      <c r="AB383" t="n">
        <v>2</v>
      </c>
      <c r="AC383" t="n">
        <v>1</v>
      </c>
      <c r="AD383" t="n">
        <v>2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3</v>
      </c>
      <c r="AK383" t="n">
        <v>1</v>
      </c>
      <c r="AL383" t="n">
        <v>2</v>
      </c>
      <c r="AM383" t="n">
        <v>1</v>
      </c>
      <c r="AN383" t="n">
        <v>3</v>
      </c>
      <c r="AO383" t="n">
        <v>1</v>
      </c>
      <c r="AP383" t="n">
        <v>2</v>
      </c>
      <c r="AQ383" t="n">
        <v>2</v>
      </c>
      <c r="AR383" t="n">
        <v>3</v>
      </c>
      <c r="AS383" t="n">
        <v>1</v>
      </c>
      <c r="AT383" t="n">
        <v>2</v>
      </c>
      <c r="AU383" t="n">
        <v>2</v>
      </c>
      <c r="AV383" t="n">
        <v>2</v>
      </c>
      <c r="AW383" t="n">
        <v>3</v>
      </c>
      <c r="AX383" t="n">
        <v>2</v>
      </c>
      <c r="AY383" t="n">
        <v>3</v>
      </c>
      <c r="AZ383" t="n">
        <v>2</v>
      </c>
      <c r="BA383" t="n">
        <v>3</v>
      </c>
      <c r="BB383" t="n">
        <v>2</v>
      </c>
      <c r="BC383" t="n">
        <v>4</v>
      </c>
      <c r="BD383" t="n">
        <v>2</v>
      </c>
      <c r="BE383" t="n">
        <v>3</v>
      </c>
      <c r="BF383" t="n">
        <v>2</v>
      </c>
      <c r="BG383" t="n">
        <v>2</v>
      </c>
      <c r="BH383" t="n">
        <v>3</v>
      </c>
      <c r="BI383" t="n">
        <v>2</v>
      </c>
      <c r="BJ383" t="n">
        <v>4</v>
      </c>
      <c r="BK383" t="n">
        <v>4</v>
      </c>
      <c r="BL383" t="n">
        <v>3</v>
      </c>
      <c r="BM383" t="n">
        <v>5</v>
      </c>
      <c r="BN383" t="n">
        <v>4</v>
      </c>
      <c r="BO383" t="n">
        <v>3</v>
      </c>
      <c r="BP383" t="n">
        <v>2</v>
      </c>
      <c r="BQ383" t="n">
        <v>3</v>
      </c>
      <c r="BR383" t="n">
        <v>4</v>
      </c>
      <c r="BS383" s="56">
        <f>IF(COUNT(N383:W383)&gt;=8,AVERAGE(N383:W383),"")</f>
        <v/>
      </c>
      <c r="BT383" s="56">
        <f>IF(COUNT(X383:AE383)&gt;=7,AVERAGE(X383:AE383),"")</f>
        <v/>
      </c>
      <c r="BU383" s="56">
        <f>IF(COUNT(AF383:AM383)&gt;=7,AVERAGE(AF383:AM383),"")</f>
        <v/>
      </c>
      <c r="BV383" s="56">
        <f>IF(COUNT(AN383:AV383)&gt;=8,AVERAGE(AN383:AV383),"")</f>
        <v/>
      </c>
      <c r="BW383" s="56">
        <f>IF(COUNT(AW383:BD383)&gt;=7,AVERAGE(AW383:BD383),"")</f>
        <v/>
      </c>
      <c r="BX383" s="56">
        <f>IF(COUNT(BE383:BJ383)&gt;=5,AVERAGE(BE383:BJ383),"")</f>
        <v/>
      </c>
      <c r="BY383" s="56">
        <f>IF(COUNT(BK383:BR383)&gt;=7,AVERAGE(BK383:BR383),"")</f>
        <v/>
      </c>
    </row>
    <row r="384">
      <c r="A384" t="inlineStr">
        <is>
          <t>R353</t>
        </is>
      </c>
      <c r="B384" t="inlineStr">
        <is>
          <t>Yes</t>
        </is>
      </c>
      <c r="C384" t="inlineStr">
        <is>
          <t>Yes</t>
        </is>
      </c>
      <c r="D384" t="inlineStr">
        <is>
          <t>Female</t>
        </is>
      </c>
      <c r="E384" t="inlineStr">
        <is>
          <t>55 or above</t>
        </is>
      </c>
      <c r="F384" t="inlineStr">
        <is>
          <t>Bachelor/HND</t>
        </is>
      </c>
      <c r="G384" t="inlineStr">
        <is>
          <t>Commercial bank</t>
        </is>
      </c>
      <c r="H384" t="inlineStr">
        <is>
          <t>Data/Analytics/AI</t>
        </is>
      </c>
      <c r="I384" t="inlineStr">
        <is>
          <t>16 or more</t>
        </is>
      </c>
      <c r="J384" t="inlineStr">
        <is>
          <t>Yes</t>
        </is>
      </c>
      <c r="K384" t="n">
        <v>0</v>
      </c>
      <c r="L384" t="inlineStr">
        <is>
          <t>No</t>
        </is>
      </c>
      <c r="M384" t="inlineStr">
        <is>
          <t>Yes</t>
        </is>
      </c>
      <c r="N384" t="n">
        <v>2</v>
      </c>
      <c r="O384" t="n">
        <v>1</v>
      </c>
      <c r="P384" t="n">
        <v>3</v>
      </c>
      <c r="Q384" t="n">
        <v>2</v>
      </c>
      <c r="R384" t="n">
        <v>3</v>
      </c>
      <c r="S384" t="n">
        <v>3</v>
      </c>
      <c r="T384" t="n">
        <v>1</v>
      </c>
      <c r="U384" t="n">
        <v>2</v>
      </c>
      <c r="V384" t="n">
        <v>3</v>
      </c>
      <c r="W384" t="n">
        <v>2</v>
      </c>
      <c r="X384" t="n">
        <v>2</v>
      </c>
      <c r="Y384" t="n">
        <v>4</v>
      </c>
      <c r="Z384" t="n">
        <v>2</v>
      </c>
      <c r="AA384" t="n">
        <v>2</v>
      </c>
      <c r="AB384" t="n">
        <v>2</v>
      </c>
      <c r="AC384" t="n">
        <v>1</v>
      </c>
      <c r="AD384" t="n">
        <v>2</v>
      </c>
      <c r="AE384" t="n">
        <v>2</v>
      </c>
      <c r="AF384" t="n">
        <v>3</v>
      </c>
      <c r="AG384" t="n">
        <v>4</v>
      </c>
      <c r="AH384" t="n">
        <v>2</v>
      </c>
      <c r="AI384" t="n">
        <v>4</v>
      </c>
      <c r="AJ384" t="n">
        <v>3</v>
      </c>
      <c r="AK384" t="n">
        <v>4</v>
      </c>
      <c r="AL384" t="n">
        <v>3</v>
      </c>
      <c r="AM384" t="n">
        <v>3</v>
      </c>
      <c r="AN384" t="n">
        <v>3</v>
      </c>
      <c r="AO384" t="n">
        <v>2</v>
      </c>
      <c r="AP384" t="n">
        <v>2</v>
      </c>
      <c r="AQ384" t="n">
        <v>2</v>
      </c>
      <c r="AR384" t="n">
        <v>4</v>
      </c>
      <c r="AS384" t="n">
        <v>2</v>
      </c>
      <c r="AT384" t="n">
        <v>2</v>
      </c>
      <c r="AU384" t="n">
        <v>1</v>
      </c>
      <c r="AV384" t="n">
        <v>3</v>
      </c>
      <c r="AW384" t="n">
        <v>4</v>
      </c>
      <c r="AX384" t="n">
        <v>2</v>
      </c>
      <c r="AY384" t="n">
        <v>3</v>
      </c>
      <c r="AZ384" t="n">
        <v>3</v>
      </c>
      <c r="BB384" t="n">
        <v>2</v>
      </c>
      <c r="BC384" t="n">
        <v>4</v>
      </c>
      <c r="BD384" t="n">
        <v>3</v>
      </c>
      <c r="BE384" t="n">
        <v>3</v>
      </c>
      <c r="BF384" t="n">
        <v>3</v>
      </c>
      <c r="BG384" t="n">
        <v>2</v>
      </c>
      <c r="BI384" t="n">
        <v>3</v>
      </c>
      <c r="BJ384" t="n">
        <v>2</v>
      </c>
      <c r="BK384" t="n">
        <v>5</v>
      </c>
      <c r="BL384" t="n">
        <v>4</v>
      </c>
      <c r="BM384" t="n">
        <v>4</v>
      </c>
      <c r="BN384" t="n">
        <v>4</v>
      </c>
      <c r="BO384" t="n">
        <v>3</v>
      </c>
      <c r="BP384" t="n">
        <v>4</v>
      </c>
      <c r="BQ384" t="n">
        <v>5</v>
      </c>
      <c r="BR384" t="n">
        <v>5</v>
      </c>
      <c r="BS384" s="56">
        <f>IF(COUNT(N384:W384)&gt;=8,AVERAGE(N384:W384),"")</f>
        <v/>
      </c>
      <c r="BT384" s="56">
        <f>IF(COUNT(X384:AE384)&gt;=7,AVERAGE(X384:AE384),"")</f>
        <v/>
      </c>
      <c r="BU384" s="56">
        <f>IF(COUNT(AF384:AM384)&gt;=7,AVERAGE(AF384:AM384),"")</f>
        <v/>
      </c>
      <c r="BV384" s="56">
        <f>IF(COUNT(AN384:AV384)&gt;=8,AVERAGE(AN384:AV384),"")</f>
        <v/>
      </c>
      <c r="BW384" s="56">
        <f>IF(COUNT(AW384:BD384)&gt;=7,AVERAGE(AW384:BD384),"")</f>
        <v/>
      </c>
      <c r="BX384" s="56">
        <f>IF(COUNT(BE384:BJ384)&gt;=5,AVERAGE(BE384:BJ384),"")</f>
        <v/>
      </c>
      <c r="BY384" s="56">
        <f>IF(COUNT(BK384:BR384)&gt;=7,AVERAGE(BK384:BR384),"")</f>
        <v/>
      </c>
    </row>
    <row r="385">
      <c r="A385" t="inlineStr">
        <is>
          <t>R354</t>
        </is>
      </c>
      <c r="B385" t="inlineStr">
        <is>
          <t>Yes</t>
        </is>
      </c>
      <c r="C385" t="inlineStr">
        <is>
          <t>Yes</t>
        </is>
      </c>
      <c r="D385" t="inlineStr">
        <is>
          <t>Female</t>
        </is>
      </c>
      <c r="E385" t="inlineStr">
        <is>
          <t>45-54</t>
        </is>
      </c>
      <c r="F385" t="inlineStr">
        <is>
          <t>Bachelor/HND</t>
        </is>
      </c>
      <c r="G385" t="inlineStr">
        <is>
          <t>Merchant bank</t>
        </is>
      </c>
      <c r="H385" t="inlineStr">
        <is>
          <t>Digital Banking/Product</t>
        </is>
      </c>
      <c r="I385" t="inlineStr">
        <is>
          <t>Less than 2</t>
        </is>
      </c>
      <c r="J385" t="inlineStr">
        <is>
          <t>Yes</t>
        </is>
      </c>
      <c r="K385" t="n">
        <v>2</v>
      </c>
      <c r="L385" t="inlineStr">
        <is>
          <t>Yes</t>
        </is>
      </c>
      <c r="M385" t="inlineStr">
        <is>
          <t>Yes</t>
        </is>
      </c>
      <c r="N385" t="n">
        <v>2</v>
      </c>
      <c r="O385" t="n">
        <v>1</v>
      </c>
      <c r="P385" t="n">
        <v>3</v>
      </c>
      <c r="Q385" t="n">
        <v>1</v>
      </c>
      <c r="R385" t="n">
        <v>2</v>
      </c>
      <c r="S385" t="n">
        <v>2</v>
      </c>
      <c r="T385" t="n">
        <v>2</v>
      </c>
      <c r="U385" t="n">
        <v>1</v>
      </c>
      <c r="V385" t="n">
        <v>1</v>
      </c>
      <c r="W385" t="n">
        <v>2</v>
      </c>
      <c r="X385" t="n">
        <v>3</v>
      </c>
      <c r="Y385" t="n">
        <v>1</v>
      </c>
      <c r="Z385" t="n">
        <v>1</v>
      </c>
      <c r="AA385" t="n">
        <v>2</v>
      </c>
      <c r="AB385" t="n">
        <v>1</v>
      </c>
      <c r="AC385" t="n">
        <v>3</v>
      </c>
      <c r="AD385" t="n">
        <v>2</v>
      </c>
      <c r="AE385" t="n">
        <v>1</v>
      </c>
      <c r="AF385" t="n">
        <v>2</v>
      </c>
      <c r="AG385" t="n">
        <v>2</v>
      </c>
      <c r="AH385" t="n">
        <v>2</v>
      </c>
      <c r="AI385" t="n">
        <v>3</v>
      </c>
      <c r="AJ385" t="n">
        <v>3</v>
      </c>
      <c r="AK385" t="n">
        <v>2</v>
      </c>
      <c r="AL385" t="n">
        <v>3</v>
      </c>
      <c r="AM385" t="n">
        <v>2</v>
      </c>
      <c r="AN385" t="n">
        <v>1</v>
      </c>
      <c r="AO385" t="n">
        <v>3</v>
      </c>
      <c r="AP385" t="n">
        <v>2</v>
      </c>
      <c r="AQ385" t="n">
        <v>1</v>
      </c>
      <c r="AR385" t="n">
        <v>2</v>
      </c>
      <c r="AS385" t="n">
        <v>1</v>
      </c>
      <c r="AT385" t="n">
        <v>3</v>
      </c>
      <c r="AU385" t="n">
        <v>2</v>
      </c>
      <c r="AV385" t="n">
        <v>2</v>
      </c>
      <c r="AW385" t="n">
        <v>3</v>
      </c>
      <c r="AX385" t="n">
        <v>3</v>
      </c>
      <c r="AY385" t="n">
        <v>1</v>
      </c>
      <c r="AZ385" t="n">
        <v>2</v>
      </c>
      <c r="BA385" t="n">
        <v>3</v>
      </c>
      <c r="BB385" t="n">
        <v>2</v>
      </c>
      <c r="BC385" t="n">
        <v>2</v>
      </c>
      <c r="BD385" t="n">
        <v>2</v>
      </c>
      <c r="BF385" t="n">
        <v>4</v>
      </c>
      <c r="BG385" t="n">
        <v>3</v>
      </c>
      <c r="BH385" t="n">
        <v>4</v>
      </c>
      <c r="BI385" t="n">
        <v>3</v>
      </c>
      <c r="BJ385" t="n">
        <v>4</v>
      </c>
      <c r="BK385" t="n">
        <v>2</v>
      </c>
      <c r="BL385" t="n">
        <v>2</v>
      </c>
      <c r="BM385" t="n">
        <v>4</v>
      </c>
      <c r="BN385" t="n">
        <v>3</v>
      </c>
      <c r="BO385" t="n">
        <v>4</v>
      </c>
      <c r="BP385" t="n">
        <v>2</v>
      </c>
      <c r="BQ385" t="n">
        <v>3</v>
      </c>
      <c r="BR385" t="n">
        <v>2</v>
      </c>
      <c r="BS385" s="56">
        <f>IF(COUNT(N385:W385)&gt;=8,AVERAGE(N385:W385),"")</f>
        <v/>
      </c>
      <c r="BT385" s="56">
        <f>IF(COUNT(X385:AE385)&gt;=7,AVERAGE(X385:AE385),"")</f>
        <v/>
      </c>
      <c r="BU385" s="56">
        <f>IF(COUNT(AF385:AM385)&gt;=7,AVERAGE(AF385:AM385),"")</f>
        <v/>
      </c>
      <c r="BV385" s="56">
        <f>IF(COUNT(AN385:AV385)&gt;=8,AVERAGE(AN385:AV385),"")</f>
        <v/>
      </c>
      <c r="BW385" s="56">
        <f>IF(COUNT(AW385:BD385)&gt;=7,AVERAGE(AW385:BD385),"")</f>
        <v/>
      </c>
      <c r="BX385" s="56">
        <f>IF(COUNT(BE385:BJ385)&gt;=5,AVERAGE(BE385:BJ385),"")</f>
        <v/>
      </c>
      <c r="BY385" s="56">
        <f>IF(COUNT(BK385:BR385)&gt;=7,AVERAGE(BK385:BR385),"")</f>
        <v/>
      </c>
    </row>
    <row r="386">
      <c r="A386" t="inlineStr">
        <is>
          <t>R355</t>
        </is>
      </c>
      <c r="B386" t="inlineStr">
        <is>
          <t>Yes</t>
        </is>
      </c>
      <c r="C386" t="inlineStr">
        <is>
          <t>Yes</t>
        </is>
      </c>
      <c r="D386" t="inlineStr">
        <is>
          <t>Female</t>
        </is>
      </c>
      <c r="E386" t="inlineStr">
        <is>
          <t>18-24</t>
        </is>
      </c>
      <c r="F386" t="inlineStr">
        <is>
          <t>Doctorate</t>
        </is>
      </c>
      <c r="G386" t="inlineStr">
        <is>
          <t>Fintech/payment provider</t>
        </is>
      </c>
      <c r="H386" t="inlineStr">
        <is>
          <t>IT/Technology</t>
        </is>
      </c>
      <c r="I386" t="inlineStr">
        <is>
          <t>2-5</t>
        </is>
      </c>
      <c r="J386" t="inlineStr">
        <is>
          <t>Yes</t>
        </is>
      </c>
      <c r="K386" t="n">
        <v>2</v>
      </c>
      <c r="L386" t="inlineStr">
        <is>
          <t>Yes</t>
        </is>
      </c>
      <c r="M386" t="inlineStr">
        <is>
          <t>Yes</t>
        </is>
      </c>
      <c r="N386" t="n">
        <v>3</v>
      </c>
      <c r="O386" t="n">
        <v>3</v>
      </c>
      <c r="P386" t="n">
        <v>4</v>
      </c>
      <c r="Q386" t="n">
        <v>3</v>
      </c>
      <c r="R386" t="n">
        <v>2</v>
      </c>
      <c r="S386" t="n">
        <v>4</v>
      </c>
      <c r="T386" t="n">
        <v>3</v>
      </c>
      <c r="U386" t="n">
        <v>2</v>
      </c>
      <c r="V386" t="n">
        <v>4</v>
      </c>
      <c r="W386" t="n">
        <v>3</v>
      </c>
      <c r="X386" t="n">
        <v>4</v>
      </c>
      <c r="Y386" t="n">
        <v>3</v>
      </c>
      <c r="Z386" t="n">
        <v>4</v>
      </c>
      <c r="AA386" t="n">
        <v>3</v>
      </c>
      <c r="AB386" t="n">
        <v>3</v>
      </c>
      <c r="AC386" t="n">
        <v>3</v>
      </c>
      <c r="AD386" t="n">
        <v>4</v>
      </c>
      <c r="AE386" t="n">
        <v>3</v>
      </c>
      <c r="AF386" t="n">
        <v>2</v>
      </c>
      <c r="AG386" t="n">
        <v>3</v>
      </c>
      <c r="AH386" t="n">
        <v>2</v>
      </c>
      <c r="AI386" t="n">
        <v>3</v>
      </c>
      <c r="AJ386" t="n">
        <v>4</v>
      </c>
      <c r="AK386" t="n">
        <v>3</v>
      </c>
      <c r="AL386" t="n">
        <v>3</v>
      </c>
      <c r="AM386" t="n">
        <v>3</v>
      </c>
      <c r="AN386" t="n">
        <v>2</v>
      </c>
      <c r="AO386" t="n">
        <v>3</v>
      </c>
      <c r="AP386" t="n">
        <v>2</v>
      </c>
      <c r="AQ386" t="n">
        <v>1</v>
      </c>
      <c r="AR386" t="n">
        <v>3</v>
      </c>
      <c r="AS386" t="n">
        <v>1</v>
      </c>
      <c r="AT386" t="n">
        <v>2</v>
      </c>
      <c r="AU386" t="n">
        <v>2</v>
      </c>
      <c r="AV386" t="n">
        <v>2</v>
      </c>
      <c r="AW386" t="n">
        <v>3</v>
      </c>
      <c r="AX386" t="n">
        <v>2</v>
      </c>
      <c r="AY386" t="n">
        <v>2</v>
      </c>
      <c r="AZ386" t="n">
        <v>1</v>
      </c>
      <c r="BB386" t="n">
        <v>2</v>
      </c>
      <c r="BC386" t="n">
        <v>1</v>
      </c>
      <c r="BD386" t="n">
        <v>1</v>
      </c>
      <c r="BE386" t="n">
        <v>2</v>
      </c>
      <c r="BF386" t="n">
        <v>3</v>
      </c>
      <c r="BG386" t="n">
        <v>2</v>
      </c>
      <c r="BH386" t="n">
        <v>3</v>
      </c>
      <c r="BI386" t="n">
        <v>3</v>
      </c>
      <c r="BJ386" t="n">
        <v>2</v>
      </c>
      <c r="BK386" t="n">
        <v>3</v>
      </c>
      <c r="BL386" t="n">
        <v>3</v>
      </c>
      <c r="BM386" t="n">
        <v>3</v>
      </c>
      <c r="BN386" t="n">
        <v>3</v>
      </c>
      <c r="BO386" t="n">
        <v>4</v>
      </c>
      <c r="BP386" t="n">
        <v>4</v>
      </c>
      <c r="BQ386" t="n">
        <v>4</v>
      </c>
      <c r="BR386" t="n">
        <v>3</v>
      </c>
      <c r="BS386" s="56">
        <f>IF(COUNT(N386:W386)&gt;=8,AVERAGE(N386:W386),"")</f>
        <v/>
      </c>
      <c r="BT386" s="56">
        <f>IF(COUNT(X386:AE386)&gt;=7,AVERAGE(X386:AE386),"")</f>
        <v/>
      </c>
      <c r="BU386" s="56">
        <f>IF(COUNT(AF386:AM386)&gt;=7,AVERAGE(AF386:AM386),"")</f>
        <v/>
      </c>
      <c r="BV386" s="56">
        <f>IF(COUNT(AN386:AV386)&gt;=8,AVERAGE(AN386:AV386),"")</f>
        <v/>
      </c>
      <c r="BW386" s="56">
        <f>IF(COUNT(AW386:BD386)&gt;=7,AVERAGE(AW386:BD386),"")</f>
        <v/>
      </c>
      <c r="BX386" s="56">
        <f>IF(COUNT(BE386:BJ386)&gt;=5,AVERAGE(BE386:BJ386),"")</f>
        <v/>
      </c>
      <c r="BY386" s="56">
        <f>IF(COUNT(BK386:BR386)&gt;=7,AVERAGE(BK386:BR386),"")</f>
        <v/>
      </c>
    </row>
    <row r="387">
      <c r="A387" t="inlineStr">
        <is>
          <t>R356</t>
        </is>
      </c>
      <c r="B387" t="inlineStr">
        <is>
          <t>Yes</t>
        </is>
      </c>
      <c r="C387" t="inlineStr">
        <is>
          <t>Yes</t>
        </is>
      </c>
      <c r="D387" t="inlineStr">
        <is>
          <t>Female</t>
        </is>
      </c>
      <c r="E387" t="inlineStr">
        <is>
          <t>45-54</t>
        </is>
      </c>
      <c r="F387" t="inlineStr">
        <is>
          <t>Other</t>
        </is>
      </c>
      <c r="G387" t="inlineStr">
        <is>
          <t>Digital bank/neobank</t>
        </is>
      </c>
      <c r="H387" t="inlineStr">
        <is>
          <t>Digital Banking/Product</t>
        </is>
      </c>
      <c r="I387" t="inlineStr">
        <is>
          <t>11-15</t>
        </is>
      </c>
      <c r="J387" t="inlineStr">
        <is>
          <t>Yes</t>
        </is>
      </c>
      <c r="K387" t="n">
        <v>4</v>
      </c>
      <c r="L387" t="inlineStr">
        <is>
          <t>No</t>
        </is>
      </c>
      <c r="M387" t="inlineStr">
        <is>
          <t>Yes</t>
        </is>
      </c>
      <c r="N387" t="n">
        <v>4</v>
      </c>
      <c r="O387" t="n">
        <v>3</v>
      </c>
      <c r="P387" t="n">
        <v>3</v>
      </c>
      <c r="Q387" t="n">
        <v>3</v>
      </c>
      <c r="S387" t="n">
        <v>2</v>
      </c>
      <c r="T387" t="n">
        <v>2</v>
      </c>
      <c r="U387" t="n">
        <v>3</v>
      </c>
      <c r="V387" t="n">
        <v>3</v>
      </c>
      <c r="W387" t="n">
        <v>2</v>
      </c>
      <c r="X387" t="n">
        <v>4</v>
      </c>
      <c r="Y387" t="n">
        <v>3</v>
      </c>
      <c r="Z387" t="n">
        <v>4</v>
      </c>
      <c r="AA387" t="n">
        <v>3</v>
      </c>
      <c r="AB387" t="n">
        <v>4</v>
      </c>
      <c r="AC387" t="n">
        <v>3</v>
      </c>
      <c r="AD387" t="n">
        <v>4</v>
      </c>
      <c r="AE387" t="n">
        <v>4</v>
      </c>
      <c r="AF387" t="n">
        <v>2</v>
      </c>
      <c r="AG387" t="n">
        <v>4</v>
      </c>
      <c r="AH387" t="n">
        <v>3</v>
      </c>
      <c r="AI387" t="n">
        <v>3</v>
      </c>
      <c r="AJ387" t="n">
        <v>3</v>
      </c>
      <c r="AK387" t="n">
        <v>3</v>
      </c>
      <c r="AL387" t="n">
        <v>3</v>
      </c>
      <c r="AM387" t="n">
        <v>3</v>
      </c>
      <c r="AN387" t="n">
        <v>4</v>
      </c>
      <c r="AO387" t="n">
        <v>2</v>
      </c>
      <c r="AP387" t="n">
        <v>3</v>
      </c>
      <c r="AQ387" t="n">
        <v>3</v>
      </c>
      <c r="AR387" t="n">
        <v>4</v>
      </c>
      <c r="AS387" t="n">
        <v>3</v>
      </c>
      <c r="AT387" t="n">
        <v>3</v>
      </c>
      <c r="AU387" t="n">
        <v>3</v>
      </c>
      <c r="AV387" t="n">
        <v>4</v>
      </c>
      <c r="AW387" t="n">
        <v>4</v>
      </c>
      <c r="AX387" t="n">
        <v>3</v>
      </c>
      <c r="AY387" t="n">
        <v>3</v>
      </c>
      <c r="AZ387" t="n">
        <v>3</v>
      </c>
      <c r="BA387" t="n">
        <v>3</v>
      </c>
      <c r="BB387" t="n">
        <v>4</v>
      </c>
      <c r="BC387" t="n">
        <v>4</v>
      </c>
      <c r="BD387" t="n">
        <v>3</v>
      </c>
      <c r="BE387" t="n">
        <v>5</v>
      </c>
      <c r="BG387" t="n">
        <v>4</v>
      </c>
      <c r="BH387" t="n">
        <v>5</v>
      </c>
      <c r="BI387" t="n">
        <v>5</v>
      </c>
      <c r="BJ387" t="n">
        <v>3</v>
      </c>
      <c r="BK387" t="n">
        <v>3</v>
      </c>
      <c r="BL387" t="n">
        <v>4</v>
      </c>
      <c r="BN387" t="n">
        <v>3</v>
      </c>
      <c r="BO387" t="n">
        <v>4</v>
      </c>
      <c r="BP387" t="n">
        <v>4</v>
      </c>
      <c r="BQ387" t="n">
        <v>4</v>
      </c>
      <c r="BR387" t="n">
        <v>4</v>
      </c>
      <c r="BS387" s="56">
        <f>IF(COUNT(N387:W387)&gt;=8,AVERAGE(N387:W387),"")</f>
        <v/>
      </c>
      <c r="BT387" s="56">
        <f>IF(COUNT(X387:AE387)&gt;=7,AVERAGE(X387:AE387),"")</f>
        <v/>
      </c>
      <c r="BU387" s="56">
        <f>IF(COUNT(AF387:AM387)&gt;=7,AVERAGE(AF387:AM387),"")</f>
        <v/>
      </c>
      <c r="BV387" s="56">
        <f>IF(COUNT(AN387:AV387)&gt;=8,AVERAGE(AN387:AV387),"")</f>
        <v/>
      </c>
      <c r="BW387" s="56">
        <f>IF(COUNT(AW387:BD387)&gt;=7,AVERAGE(AW387:BD387),"")</f>
        <v/>
      </c>
      <c r="BX387" s="56">
        <f>IF(COUNT(BE387:BJ387)&gt;=5,AVERAGE(BE387:BJ387),"")</f>
        <v/>
      </c>
      <c r="BY387" s="56">
        <f>IF(COUNT(BK387:BR387)&gt;=7,AVERAGE(BK387:BR387),"")</f>
        <v/>
      </c>
    </row>
    <row r="388">
      <c r="A388" t="inlineStr">
        <is>
          <t>R357</t>
        </is>
      </c>
      <c r="B388" t="inlineStr">
        <is>
          <t>Yes</t>
        </is>
      </c>
      <c r="C388" t="inlineStr">
        <is>
          <t>Yes</t>
        </is>
      </c>
      <c r="D388" t="inlineStr">
        <is>
          <t>Female</t>
        </is>
      </c>
      <c r="E388" t="inlineStr">
        <is>
          <t>35-44</t>
        </is>
      </c>
      <c r="F388" t="inlineStr">
        <is>
          <t>Bachelor/HND</t>
        </is>
      </c>
      <c r="G388" t="inlineStr">
        <is>
          <t>Microfinance bank</t>
        </is>
      </c>
      <c r="H388" t="inlineStr">
        <is>
          <t>Risk/Compliance</t>
        </is>
      </c>
      <c r="I388" t="inlineStr">
        <is>
          <t>6-10</t>
        </is>
      </c>
      <c r="J388" t="inlineStr">
        <is>
          <t>Yes</t>
        </is>
      </c>
      <c r="K388" t="n">
        <v>1</v>
      </c>
      <c r="L388" t="inlineStr">
        <is>
          <t>Yes</t>
        </is>
      </c>
      <c r="M388" t="inlineStr">
        <is>
          <t>Yes</t>
        </is>
      </c>
      <c r="N388" t="n">
        <v>2</v>
      </c>
      <c r="O388" t="n">
        <v>3</v>
      </c>
      <c r="P388" t="n">
        <v>3</v>
      </c>
      <c r="Q388" t="n">
        <v>2</v>
      </c>
      <c r="R388" t="n">
        <v>3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3</v>
      </c>
      <c r="Y388" t="n">
        <v>2</v>
      </c>
      <c r="Z388" t="n">
        <v>4</v>
      </c>
      <c r="AA388" t="n">
        <v>3</v>
      </c>
      <c r="AB388" t="n">
        <v>2</v>
      </c>
      <c r="AC388" t="n">
        <v>3</v>
      </c>
      <c r="AD388" t="n">
        <v>3</v>
      </c>
      <c r="AE388" t="n">
        <v>2</v>
      </c>
      <c r="AF388" t="n">
        <v>3</v>
      </c>
      <c r="AG388" t="n">
        <v>3</v>
      </c>
      <c r="AH388" t="n">
        <v>2</v>
      </c>
      <c r="AI388" t="n">
        <v>4</v>
      </c>
      <c r="AJ388" t="n">
        <v>2</v>
      </c>
      <c r="AK388" t="n">
        <v>2</v>
      </c>
      <c r="AL388" t="n">
        <v>3</v>
      </c>
      <c r="AM388" t="n">
        <v>3</v>
      </c>
      <c r="AN388" t="n">
        <v>4</v>
      </c>
      <c r="AO388" t="n">
        <v>3</v>
      </c>
      <c r="AP388" t="n">
        <v>4</v>
      </c>
      <c r="AQ388" t="n">
        <v>3</v>
      </c>
      <c r="AR388" t="n">
        <v>3</v>
      </c>
      <c r="AS388" t="n">
        <v>2</v>
      </c>
      <c r="AT388" t="n">
        <v>4</v>
      </c>
      <c r="AU388" t="n">
        <v>4</v>
      </c>
      <c r="AV388" t="n">
        <v>4</v>
      </c>
      <c r="AW388" t="n">
        <v>4</v>
      </c>
      <c r="AX388" t="n">
        <v>4</v>
      </c>
      <c r="AY388" t="n">
        <v>4</v>
      </c>
      <c r="AZ388" t="n">
        <v>4</v>
      </c>
      <c r="BA388" t="n">
        <v>5</v>
      </c>
      <c r="BB388" t="n">
        <v>4</v>
      </c>
      <c r="BC388" t="n">
        <v>5</v>
      </c>
      <c r="BD388" t="n">
        <v>3</v>
      </c>
      <c r="BE388" t="n">
        <v>2</v>
      </c>
      <c r="BF388" t="n">
        <v>4</v>
      </c>
      <c r="BG388" t="n">
        <v>3</v>
      </c>
      <c r="BH388" t="n">
        <v>4</v>
      </c>
      <c r="BI388" t="n">
        <v>3</v>
      </c>
      <c r="BJ388" t="n">
        <v>3</v>
      </c>
      <c r="BK388" t="n">
        <v>4</v>
      </c>
      <c r="BL388" t="n">
        <v>3</v>
      </c>
      <c r="BM388" t="n">
        <v>4</v>
      </c>
      <c r="BN388" t="n">
        <v>3</v>
      </c>
      <c r="BO388" t="n">
        <v>4</v>
      </c>
      <c r="BP388" t="n">
        <v>3</v>
      </c>
      <c r="BQ388" t="n">
        <v>5</v>
      </c>
      <c r="BR388" t="n">
        <v>3</v>
      </c>
      <c r="BS388" s="56">
        <f>IF(COUNT(N388:W388)&gt;=8,AVERAGE(N388:W388),"")</f>
        <v/>
      </c>
      <c r="BT388" s="56">
        <f>IF(COUNT(X388:AE388)&gt;=7,AVERAGE(X388:AE388),"")</f>
        <v/>
      </c>
      <c r="BU388" s="56">
        <f>IF(COUNT(AF388:AM388)&gt;=7,AVERAGE(AF388:AM388),"")</f>
        <v/>
      </c>
      <c r="BV388" s="56">
        <f>IF(COUNT(AN388:AV388)&gt;=8,AVERAGE(AN388:AV388),"")</f>
        <v/>
      </c>
      <c r="BW388" s="56">
        <f>IF(COUNT(AW388:BD388)&gt;=7,AVERAGE(AW388:BD388),"")</f>
        <v/>
      </c>
      <c r="BX388" s="56">
        <f>IF(COUNT(BE388:BJ388)&gt;=5,AVERAGE(BE388:BJ388),"")</f>
        <v/>
      </c>
      <c r="BY388" s="56">
        <f>IF(COUNT(BK388:BR388)&gt;=7,AVERAGE(BK388:BR388),"")</f>
        <v/>
      </c>
    </row>
    <row r="389">
      <c r="A389" t="inlineStr">
        <is>
          <t>R358</t>
        </is>
      </c>
      <c r="B389" t="inlineStr">
        <is>
          <t>Yes</t>
        </is>
      </c>
      <c r="C389" t="inlineStr">
        <is>
          <t>Yes</t>
        </is>
      </c>
      <c r="D389" t="inlineStr">
        <is>
          <t>Female</t>
        </is>
      </c>
      <c r="E389" t="inlineStr">
        <is>
          <t>35-44</t>
        </is>
      </c>
      <c r="F389" t="inlineStr">
        <is>
          <t>Bachelor/HND</t>
        </is>
      </c>
      <c r="G389" t="inlineStr">
        <is>
          <t>Commercial bank</t>
        </is>
      </c>
      <c r="H389" t="inlineStr">
        <is>
          <t>Risk/Compliance</t>
        </is>
      </c>
      <c r="I389" t="inlineStr">
        <is>
          <t>2-5</t>
        </is>
      </c>
      <c r="J389" t="inlineStr">
        <is>
          <t>Yes</t>
        </is>
      </c>
      <c r="K389" t="n">
        <v>3</v>
      </c>
      <c r="L389" t="inlineStr">
        <is>
          <t>No</t>
        </is>
      </c>
      <c r="M389" t="inlineStr">
        <is>
          <t>Yes</t>
        </is>
      </c>
      <c r="N389" t="n">
        <v>3</v>
      </c>
      <c r="O389" t="n">
        <v>2</v>
      </c>
      <c r="P389" t="n">
        <v>3</v>
      </c>
      <c r="Q389" t="n">
        <v>3</v>
      </c>
      <c r="R389" t="n">
        <v>2</v>
      </c>
      <c r="S389" t="n">
        <v>2</v>
      </c>
      <c r="T389" t="n">
        <v>2</v>
      </c>
      <c r="U389" t="n">
        <v>2</v>
      </c>
      <c r="W389" t="n">
        <v>3</v>
      </c>
      <c r="X389" t="n">
        <v>4</v>
      </c>
      <c r="Y389" t="n">
        <v>3</v>
      </c>
      <c r="Z389" t="n">
        <v>5</v>
      </c>
      <c r="AA389" t="n">
        <v>5</v>
      </c>
      <c r="AB389" t="n">
        <v>4</v>
      </c>
      <c r="AC389" t="n">
        <v>3</v>
      </c>
      <c r="AD389" t="n">
        <v>4</v>
      </c>
      <c r="AE389" t="n">
        <v>4</v>
      </c>
      <c r="AF389" t="n">
        <v>3</v>
      </c>
      <c r="AG389" t="n">
        <v>4</v>
      </c>
      <c r="AH389" t="n">
        <v>2</v>
      </c>
      <c r="AI389" t="n">
        <v>4</v>
      </c>
      <c r="AJ389" t="n">
        <v>3</v>
      </c>
      <c r="AK389" t="n">
        <v>4</v>
      </c>
      <c r="AL389" t="n">
        <v>4</v>
      </c>
      <c r="AM389" t="n">
        <v>3</v>
      </c>
      <c r="AN389" t="n">
        <v>3</v>
      </c>
      <c r="AO389" t="n">
        <v>4</v>
      </c>
      <c r="AP389" t="n">
        <v>4</v>
      </c>
      <c r="AQ389" t="n">
        <v>3</v>
      </c>
      <c r="AR389" t="n">
        <v>5</v>
      </c>
      <c r="AS389" t="n">
        <v>3</v>
      </c>
      <c r="AT389" t="n">
        <v>4</v>
      </c>
      <c r="AU389" t="n">
        <v>4</v>
      </c>
      <c r="AV389" t="n">
        <v>3</v>
      </c>
      <c r="AW389" t="n">
        <v>3</v>
      </c>
      <c r="AX389" t="n">
        <v>4</v>
      </c>
      <c r="AY389" t="n">
        <v>3</v>
      </c>
      <c r="AZ389" t="n">
        <v>3</v>
      </c>
      <c r="BA389" t="n">
        <v>5</v>
      </c>
      <c r="BB389" t="n">
        <v>3</v>
      </c>
      <c r="BC389" t="n">
        <v>4</v>
      </c>
      <c r="BD389" t="n">
        <v>3</v>
      </c>
      <c r="BE389" t="n">
        <v>3</v>
      </c>
      <c r="BF389" t="n">
        <v>5</v>
      </c>
      <c r="BG389" t="n">
        <v>3</v>
      </c>
      <c r="BH389" t="n">
        <v>4</v>
      </c>
      <c r="BI389" t="n">
        <v>3</v>
      </c>
      <c r="BJ389" t="n">
        <v>3</v>
      </c>
      <c r="BK389" t="n">
        <v>4</v>
      </c>
      <c r="BL389" t="n">
        <v>2</v>
      </c>
      <c r="BM389" t="n">
        <v>3</v>
      </c>
      <c r="BN389" t="n">
        <v>4</v>
      </c>
      <c r="BO389" t="n">
        <v>3</v>
      </c>
      <c r="BP389" t="n">
        <v>3</v>
      </c>
      <c r="BQ389" t="n">
        <v>3</v>
      </c>
      <c r="BR389" t="n">
        <v>2</v>
      </c>
      <c r="BS389" s="56">
        <f>IF(COUNT(N389:W389)&gt;=8,AVERAGE(N389:W389),"")</f>
        <v/>
      </c>
      <c r="BT389" s="56">
        <f>IF(COUNT(X389:AE389)&gt;=7,AVERAGE(X389:AE389),"")</f>
        <v/>
      </c>
      <c r="BU389" s="56">
        <f>IF(COUNT(AF389:AM389)&gt;=7,AVERAGE(AF389:AM389),"")</f>
        <v/>
      </c>
      <c r="BV389" s="56">
        <f>IF(COUNT(AN389:AV389)&gt;=8,AVERAGE(AN389:AV389),"")</f>
        <v/>
      </c>
      <c r="BW389" s="56">
        <f>IF(COUNT(AW389:BD389)&gt;=7,AVERAGE(AW389:BD389),"")</f>
        <v/>
      </c>
      <c r="BX389" s="56">
        <f>IF(COUNT(BE389:BJ389)&gt;=5,AVERAGE(BE389:BJ389),"")</f>
        <v/>
      </c>
      <c r="BY389" s="56">
        <f>IF(COUNT(BK389:BR389)&gt;=7,AVERAGE(BK389:BR389),"")</f>
        <v/>
      </c>
    </row>
    <row r="390">
      <c r="A390" t="inlineStr">
        <is>
          <t>R359</t>
        </is>
      </c>
      <c r="B390" t="inlineStr">
        <is>
          <t>Yes</t>
        </is>
      </c>
      <c r="C390" t="inlineStr">
        <is>
          <t>Yes</t>
        </is>
      </c>
      <c r="D390" t="inlineStr">
        <is>
          <t>Male</t>
        </is>
      </c>
      <c r="E390" t="inlineStr">
        <is>
          <t>25-34</t>
        </is>
      </c>
      <c r="F390" t="inlineStr">
        <is>
          <t>Postgraduate Diploma</t>
        </is>
      </c>
      <c r="G390" t="inlineStr">
        <is>
          <t>Fintech/payment provider</t>
        </is>
      </c>
      <c r="H390" t="inlineStr">
        <is>
          <t>IT/Technology</t>
        </is>
      </c>
      <c r="I390" t="inlineStr">
        <is>
          <t>6-10</t>
        </is>
      </c>
      <c r="J390" t="inlineStr">
        <is>
          <t>Yes</t>
        </is>
      </c>
      <c r="K390" t="n">
        <v>4</v>
      </c>
      <c r="L390" t="inlineStr">
        <is>
          <t>Yes</t>
        </is>
      </c>
      <c r="M390" t="inlineStr">
        <is>
          <t>Yes</t>
        </is>
      </c>
      <c r="O390" t="n">
        <v>4</v>
      </c>
      <c r="P390" t="n">
        <v>4</v>
      </c>
      <c r="Q390" t="n">
        <v>4</v>
      </c>
      <c r="R390" t="n">
        <v>3</v>
      </c>
      <c r="S390" t="n">
        <v>4</v>
      </c>
      <c r="T390" t="n">
        <v>3</v>
      </c>
      <c r="U390" t="n">
        <v>3</v>
      </c>
      <c r="V390" t="n">
        <v>4</v>
      </c>
      <c r="W390" t="n">
        <v>3</v>
      </c>
      <c r="Y390" t="n">
        <v>5</v>
      </c>
      <c r="AA390" t="n">
        <v>4</v>
      </c>
      <c r="AB390" t="n">
        <v>4</v>
      </c>
      <c r="AC390" t="n">
        <v>3</v>
      </c>
      <c r="AD390" t="n">
        <v>4</v>
      </c>
      <c r="AF390" t="n">
        <v>3</v>
      </c>
      <c r="AG390" t="n">
        <v>3</v>
      </c>
      <c r="AH390" t="n">
        <v>4</v>
      </c>
      <c r="AI390" t="n">
        <v>4</v>
      </c>
      <c r="AJ390" t="n">
        <v>4</v>
      </c>
      <c r="AK390" t="n">
        <v>3</v>
      </c>
      <c r="AM390" t="n">
        <v>3</v>
      </c>
      <c r="AN390" t="n">
        <v>3</v>
      </c>
      <c r="AO390" t="n">
        <v>4</v>
      </c>
      <c r="AP390" t="n">
        <v>4</v>
      </c>
      <c r="AQ390" t="n">
        <v>4</v>
      </c>
      <c r="AR390" t="n">
        <v>4</v>
      </c>
      <c r="AS390" t="n">
        <v>3</v>
      </c>
      <c r="AT390" t="n">
        <v>3</v>
      </c>
      <c r="AU390" t="n">
        <v>3</v>
      </c>
      <c r="AV390" t="n">
        <v>4</v>
      </c>
      <c r="AW390" t="n">
        <v>4</v>
      </c>
      <c r="AX390" t="n">
        <v>3</v>
      </c>
      <c r="AY390" t="n">
        <v>3</v>
      </c>
      <c r="BA390" t="n">
        <v>4</v>
      </c>
      <c r="BB390" t="n">
        <v>3</v>
      </c>
      <c r="BC390" t="n">
        <v>3</v>
      </c>
      <c r="BD390" t="n">
        <v>2</v>
      </c>
      <c r="BE390" t="n">
        <v>3</v>
      </c>
      <c r="BF390" t="n">
        <v>2</v>
      </c>
      <c r="BG390" t="n">
        <v>2</v>
      </c>
      <c r="BH390" t="n">
        <v>2</v>
      </c>
      <c r="BJ390" t="n">
        <v>3</v>
      </c>
      <c r="BK390" t="n">
        <v>3</v>
      </c>
      <c r="BL390" t="n">
        <v>1</v>
      </c>
      <c r="BM390" t="n">
        <v>3</v>
      </c>
      <c r="BN390" t="n">
        <v>3</v>
      </c>
      <c r="BO390" t="n">
        <v>2</v>
      </c>
      <c r="BP390" t="n">
        <v>2</v>
      </c>
      <c r="BQ390" t="n">
        <v>1</v>
      </c>
      <c r="BS390" s="56">
        <f>IF(COUNT(N390:W390)&gt;=8,AVERAGE(N390:W390),"")</f>
        <v/>
      </c>
      <c r="BT390" s="56">
        <f>IF(COUNT(X390:AE390)&gt;=7,AVERAGE(X390:AE390),"")</f>
        <v/>
      </c>
      <c r="BU390" s="56">
        <f>IF(COUNT(AF390:AM390)&gt;=7,AVERAGE(AF390:AM390),"")</f>
        <v/>
      </c>
      <c r="BV390" s="56">
        <f>IF(COUNT(AN390:AV390)&gt;=8,AVERAGE(AN390:AV390),"")</f>
        <v/>
      </c>
      <c r="BW390" s="56">
        <f>IF(COUNT(AW390:BD390)&gt;=7,AVERAGE(AW390:BD390),"")</f>
        <v/>
      </c>
      <c r="BX390" s="56">
        <f>IF(COUNT(BE390:BJ390)&gt;=5,AVERAGE(BE390:BJ390),"")</f>
        <v/>
      </c>
      <c r="BY390" s="56">
        <f>IF(COUNT(BK390:BR390)&gt;=7,AVERAGE(BK390:BR390),"")</f>
        <v/>
      </c>
    </row>
    <row r="391">
      <c r="A391" t="inlineStr">
        <is>
          <t>R360</t>
        </is>
      </c>
      <c r="B391" t="inlineStr">
        <is>
          <t>Yes</t>
        </is>
      </c>
      <c r="C391" t="inlineStr">
        <is>
          <t>Yes</t>
        </is>
      </c>
      <c r="D391" t="inlineStr">
        <is>
          <t>Female</t>
        </is>
      </c>
      <c r="E391" t="inlineStr">
        <is>
          <t>35-44</t>
        </is>
      </c>
      <c r="F391" t="inlineStr">
        <is>
          <t>Master's</t>
        </is>
      </c>
      <c r="G391" t="inlineStr">
        <is>
          <t>Insurance/investment/other licensed financial institution</t>
        </is>
      </c>
      <c r="H391" t="inlineStr">
        <is>
          <t>IT/Technology</t>
        </is>
      </c>
      <c r="I391" t="inlineStr">
        <is>
          <t>6-10</t>
        </is>
      </c>
      <c r="J391" t="inlineStr">
        <is>
          <t>Yes</t>
        </is>
      </c>
      <c r="K391" t="n">
        <v>4</v>
      </c>
      <c r="L391" t="inlineStr">
        <is>
          <t>Yes</t>
        </is>
      </c>
      <c r="M391" t="inlineStr">
        <is>
          <t>Yes</t>
        </is>
      </c>
      <c r="N391" t="n">
        <v>3</v>
      </c>
      <c r="O391" t="n">
        <v>3</v>
      </c>
      <c r="P391" t="n">
        <v>3</v>
      </c>
      <c r="Q391" t="n">
        <v>2</v>
      </c>
      <c r="R391" t="n">
        <v>1</v>
      </c>
      <c r="S391" t="n">
        <v>2</v>
      </c>
      <c r="T391" t="n">
        <v>3</v>
      </c>
      <c r="U391" t="n">
        <v>2</v>
      </c>
      <c r="V391" t="n">
        <v>3</v>
      </c>
      <c r="W391" t="n">
        <v>1</v>
      </c>
      <c r="X391" t="n">
        <v>3</v>
      </c>
      <c r="Y391" t="n">
        <v>3</v>
      </c>
      <c r="Z391" t="n">
        <v>4</v>
      </c>
      <c r="AA391" t="n">
        <v>3</v>
      </c>
      <c r="AB391" t="n">
        <v>2</v>
      </c>
      <c r="AC391" t="n">
        <v>3</v>
      </c>
      <c r="AD391" t="n">
        <v>3</v>
      </c>
      <c r="AE391" t="n">
        <v>3</v>
      </c>
      <c r="AF391" t="n">
        <v>3</v>
      </c>
      <c r="AG391" t="n">
        <v>3</v>
      </c>
      <c r="AH391" t="n">
        <v>3</v>
      </c>
      <c r="AI391" t="n">
        <v>3</v>
      </c>
      <c r="AJ391" t="n">
        <v>3</v>
      </c>
      <c r="AK391" t="n">
        <v>2</v>
      </c>
      <c r="AL391" t="n">
        <v>3</v>
      </c>
      <c r="AM391" t="n">
        <v>2</v>
      </c>
      <c r="AN391" t="n">
        <v>4</v>
      </c>
      <c r="AO391" t="n">
        <v>4</v>
      </c>
      <c r="AP391" t="n">
        <v>4</v>
      </c>
      <c r="AQ391" t="n">
        <v>4</v>
      </c>
      <c r="AR391" t="n">
        <v>4</v>
      </c>
      <c r="AS391" t="n">
        <v>4</v>
      </c>
      <c r="AT391" t="n">
        <v>4</v>
      </c>
      <c r="AU391" t="n">
        <v>3</v>
      </c>
      <c r="AV391" t="n">
        <v>5</v>
      </c>
      <c r="AW391" t="n">
        <v>3</v>
      </c>
      <c r="AX391" t="n">
        <v>4</v>
      </c>
      <c r="AY391" t="n">
        <v>3</v>
      </c>
      <c r="AZ391" t="n">
        <v>2</v>
      </c>
      <c r="BA391" t="n">
        <v>4</v>
      </c>
      <c r="BB391" t="n">
        <v>4</v>
      </c>
      <c r="BC391" t="n">
        <v>3</v>
      </c>
      <c r="BD391" t="n">
        <v>3</v>
      </c>
      <c r="BE391" t="n">
        <v>4</v>
      </c>
      <c r="BF391" t="n">
        <v>3</v>
      </c>
      <c r="BG391" t="n">
        <v>3</v>
      </c>
      <c r="BH391" t="n">
        <v>4</v>
      </c>
      <c r="BI391" t="n">
        <v>4</v>
      </c>
      <c r="BJ391" t="n">
        <v>3</v>
      </c>
      <c r="BK391" t="n">
        <v>5</v>
      </c>
      <c r="BL391" t="n">
        <v>3</v>
      </c>
      <c r="BM391" t="n">
        <v>4</v>
      </c>
      <c r="BN391" t="n">
        <v>5</v>
      </c>
      <c r="BO391" t="n">
        <v>4</v>
      </c>
      <c r="BP391" t="n">
        <v>4</v>
      </c>
      <c r="BQ391" t="n">
        <v>5</v>
      </c>
      <c r="BR391" t="n">
        <v>5</v>
      </c>
      <c r="BS391" s="56">
        <f>IF(COUNT(N391:W391)&gt;=8,AVERAGE(N391:W391),"")</f>
        <v/>
      </c>
      <c r="BT391" s="56">
        <f>IF(COUNT(X391:AE391)&gt;=7,AVERAGE(X391:AE391),"")</f>
        <v/>
      </c>
      <c r="BU391" s="56">
        <f>IF(COUNT(AF391:AM391)&gt;=7,AVERAGE(AF391:AM391),"")</f>
        <v/>
      </c>
      <c r="BV391" s="56">
        <f>IF(COUNT(AN391:AV391)&gt;=8,AVERAGE(AN391:AV391),"")</f>
        <v/>
      </c>
      <c r="BW391" s="56">
        <f>IF(COUNT(AW391:BD391)&gt;=7,AVERAGE(AW391:BD391),"")</f>
        <v/>
      </c>
      <c r="BX391" s="56">
        <f>IF(COUNT(BE391:BJ391)&gt;=5,AVERAGE(BE391:BJ391),"")</f>
        <v/>
      </c>
      <c r="BY391" s="56">
        <f>IF(COUNT(BK391:BR391)&gt;=7,AVERAGE(BK391:BR391),"")</f>
        <v/>
      </c>
    </row>
    <row r="392">
      <c r="A392" t="inlineStr">
        <is>
          <t>R361</t>
        </is>
      </c>
      <c r="B392" t="inlineStr">
        <is>
          <t>Yes</t>
        </is>
      </c>
      <c r="C392" t="inlineStr">
        <is>
          <t>Yes</t>
        </is>
      </c>
      <c r="D392" t="inlineStr">
        <is>
          <t>Female</t>
        </is>
      </c>
      <c r="E392" t="inlineStr">
        <is>
          <t>35-44</t>
        </is>
      </c>
      <c r="F392" t="inlineStr">
        <is>
          <t>Bachelor/HND</t>
        </is>
      </c>
      <c r="G392" t="inlineStr">
        <is>
          <t>Microfinance bank</t>
        </is>
      </c>
      <c r="H392" t="inlineStr">
        <is>
          <t>Data/Analytics/AI</t>
        </is>
      </c>
      <c r="I392" t="inlineStr">
        <is>
          <t>2-5</t>
        </is>
      </c>
      <c r="J392" t="inlineStr">
        <is>
          <t>Yes</t>
        </is>
      </c>
      <c r="K392" t="n">
        <v>3</v>
      </c>
      <c r="L392" t="inlineStr">
        <is>
          <t>Yes</t>
        </is>
      </c>
      <c r="M392" t="inlineStr">
        <is>
          <t>Yes</t>
        </is>
      </c>
      <c r="N392" t="n">
        <v>3</v>
      </c>
      <c r="O392" t="n">
        <v>3</v>
      </c>
      <c r="P392" t="n">
        <v>2</v>
      </c>
      <c r="Q392" t="n">
        <v>2</v>
      </c>
      <c r="R392" t="n">
        <v>2</v>
      </c>
      <c r="S392" t="n">
        <v>3</v>
      </c>
      <c r="T392" t="n">
        <v>1</v>
      </c>
      <c r="U392" t="n">
        <v>2</v>
      </c>
      <c r="V392" t="n">
        <v>2</v>
      </c>
      <c r="W392" t="n">
        <v>2</v>
      </c>
      <c r="X392" t="n">
        <v>3</v>
      </c>
      <c r="Y392" t="n">
        <v>3</v>
      </c>
      <c r="Z392" t="n">
        <v>3</v>
      </c>
      <c r="AA392" t="n">
        <v>2</v>
      </c>
      <c r="AB392" t="n">
        <v>3</v>
      </c>
      <c r="AC392" t="n">
        <v>3</v>
      </c>
      <c r="AD392" t="n">
        <v>3</v>
      </c>
      <c r="AE392" t="n">
        <v>3</v>
      </c>
      <c r="AF392" t="n">
        <v>1</v>
      </c>
      <c r="AG392" t="n">
        <v>3</v>
      </c>
      <c r="AH392" t="n">
        <v>2</v>
      </c>
      <c r="AI392" t="n">
        <v>2</v>
      </c>
      <c r="AJ392" t="n">
        <v>3</v>
      </c>
      <c r="AK392" t="n">
        <v>2</v>
      </c>
      <c r="AL392" t="n">
        <v>2</v>
      </c>
      <c r="AM392" t="n">
        <v>2</v>
      </c>
      <c r="AN392" t="n">
        <v>5</v>
      </c>
      <c r="AO392" t="n">
        <v>4</v>
      </c>
      <c r="AP392" t="n">
        <v>3</v>
      </c>
      <c r="AQ392" t="n">
        <v>4</v>
      </c>
      <c r="AR392" t="n">
        <v>4</v>
      </c>
      <c r="AS392" t="n">
        <v>3</v>
      </c>
      <c r="AT392" t="n">
        <v>4</v>
      </c>
      <c r="AU392" t="n">
        <v>4</v>
      </c>
      <c r="AV392" t="n">
        <v>3</v>
      </c>
      <c r="AW392" t="n">
        <v>3</v>
      </c>
      <c r="AX392" t="n">
        <v>3</v>
      </c>
      <c r="AY392" t="n">
        <v>2</v>
      </c>
      <c r="AZ392" t="n">
        <v>3</v>
      </c>
      <c r="BA392" t="n">
        <v>4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2</v>
      </c>
      <c r="BH392" t="n">
        <v>3</v>
      </c>
      <c r="BI392" t="n">
        <v>2</v>
      </c>
      <c r="BJ392" t="n">
        <v>2</v>
      </c>
      <c r="BK392" t="n">
        <v>3</v>
      </c>
      <c r="BL392" t="n">
        <v>3</v>
      </c>
      <c r="BM392" t="n">
        <v>4</v>
      </c>
      <c r="BN392" t="n">
        <v>2</v>
      </c>
      <c r="BO392" t="n">
        <v>4</v>
      </c>
      <c r="BP392" t="n">
        <v>4</v>
      </c>
      <c r="BQ392" t="n">
        <v>4</v>
      </c>
      <c r="BR392" t="n">
        <v>3</v>
      </c>
      <c r="BS392" s="56">
        <f>IF(COUNT(N392:W392)&gt;=8,AVERAGE(N392:W392),"")</f>
        <v/>
      </c>
      <c r="BT392" s="56">
        <f>IF(COUNT(X392:AE392)&gt;=7,AVERAGE(X392:AE392),"")</f>
        <v/>
      </c>
      <c r="BU392" s="56">
        <f>IF(COUNT(AF392:AM392)&gt;=7,AVERAGE(AF392:AM392),"")</f>
        <v/>
      </c>
      <c r="BV392" s="56">
        <f>IF(COUNT(AN392:AV392)&gt;=8,AVERAGE(AN392:AV392),"")</f>
        <v/>
      </c>
      <c r="BW392" s="56">
        <f>IF(COUNT(AW392:BD392)&gt;=7,AVERAGE(AW392:BD392),"")</f>
        <v/>
      </c>
      <c r="BX392" s="56">
        <f>IF(COUNT(BE392:BJ392)&gt;=5,AVERAGE(BE392:BJ392),"")</f>
        <v/>
      </c>
      <c r="BY392" s="56">
        <f>IF(COUNT(BK392:BR392)&gt;=7,AVERAGE(BK392:BR392),"")</f>
        <v/>
      </c>
    </row>
    <row r="393">
      <c r="A393" t="inlineStr">
        <is>
          <t>R362</t>
        </is>
      </c>
      <c r="B393" t="inlineStr">
        <is>
          <t>Yes</t>
        </is>
      </c>
      <c r="C393" t="inlineStr">
        <is>
          <t>Yes</t>
        </is>
      </c>
      <c r="D393" t="inlineStr">
        <is>
          <t>Male</t>
        </is>
      </c>
      <c r="E393" t="inlineStr">
        <is>
          <t>35-44</t>
        </is>
      </c>
      <c r="F393" t="inlineStr">
        <is>
          <t>Bachelor/HND</t>
        </is>
      </c>
      <c r="G393" t="inlineStr">
        <is>
          <t>Commercial bank</t>
        </is>
      </c>
      <c r="H393" t="inlineStr">
        <is>
          <t>Relationship/Marketing</t>
        </is>
      </c>
      <c r="I393" t="inlineStr">
        <is>
          <t>16 or more</t>
        </is>
      </c>
      <c r="J393" t="inlineStr">
        <is>
          <t>Yes</t>
        </is>
      </c>
      <c r="K393" t="n">
        <v>0</v>
      </c>
      <c r="L393" t="inlineStr">
        <is>
          <t>No</t>
        </is>
      </c>
      <c r="M393" t="inlineStr">
        <is>
          <t>Yes</t>
        </is>
      </c>
      <c r="N393" t="n">
        <v>3</v>
      </c>
      <c r="O393" t="n">
        <v>3</v>
      </c>
      <c r="P393" t="n">
        <v>4</v>
      </c>
      <c r="Q393" t="n">
        <v>3</v>
      </c>
      <c r="R393" t="n">
        <v>3</v>
      </c>
      <c r="S393" t="n">
        <v>4</v>
      </c>
      <c r="T393" t="n">
        <v>2</v>
      </c>
      <c r="U393" t="n">
        <v>4</v>
      </c>
      <c r="V393" t="n">
        <v>4</v>
      </c>
      <c r="W393" t="n">
        <v>2</v>
      </c>
      <c r="X393" t="n">
        <v>2</v>
      </c>
      <c r="Y393" t="n">
        <v>1</v>
      </c>
      <c r="Z393" t="n">
        <v>4</v>
      </c>
      <c r="AA393" t="n">
        <v>1</v>
      </c>
      <c r="AB393" t="n">
        <v>3</v>
      </c>
      <c r="AC393" t="n">
        <v>2</v>
      </c>
      <c r="AE393" t="n">
        <v>2</v>
      </c>
      <c r="AF393" t="n">
        <v>3</v>
      </c>
      <c r="AG393" t="n">
        <v>3</v>
      </c>
      <c r="AH393" t="n">
        <v>2</v>
      </c>
      <c r="AI393" t="n">
        <v>4</v>
      </c>
      <c r="AJ393" t="n">
        <v>4</v>
      </c>
      <c r="AK393" t="n">
        <v>4</v>
      </c>
      <c r="AL393" t="n">
        <v>3</v>
      </c>
      <c r="AM393" t="n">
        <v>2</v>
      </c>
      <c r="AN393" t="n">
        <v>4</v>
      </c>
      <c r="AO393" t="n">
        <v>3</v>
      </c>
      <c r="AP393" t="n">
        <v>3</v>
      </c>
      <c r="AQ393" t="n">
        <v>3</v>
      </c>
      <c r="AR393" t="n">
        <v>3</v>
      </c>
      <c r="AS393" t="n">
        <v>4</v>
      </c>
      <c r="AT393" t="n">
        <v>3</v>
      </c>
      <c r="AU393" t="n">
        <v>4</v>
      </c>
      <c r="AV393" t="n">
        <v>3</v>
      </c>
      <c r="AW393" t="n">
        <v>2</v>
      </c>
      <c r="AX393" t="n">
        <v>3</v>
      </c>
      <c r="AY393" t="n">
        <v>3</v>
      </c>
      <c r="AZ393" t="n">
        <v>3</v>
      </c>
      <c r="BA393" t="n">
        <v>2</v>
      </c>
      <c r="BB393" t="n">
        <v>2</v>
      </c>
      <c r="BC393" t="n">
        <v>3</v>
      </c>
      <c r="BD393" t="n">
        <v>3</v>
      </c>
      <c r="BE393" t="n">
        <v>2</v>
      </c>
      <c r="BF393" t="n">
        <v>3</v>
      </c>
      <c r="BG393" t="n">
        <v>3</v>
      </c>
      <c r="BH393" t="n">
        <v>3</v>
      </c>
      <c r="BI393" t="n">
        <v>3</v>
      </c>
      <c r="BJ393" t="n">
        <v>3</v>
      </c>
      <c r="BK393" t="n">
        <v>3</v>
      </c>
      <c r="BL393" t="n">
        <v>3</v>
      </c>
      <c r="BM393" t="n">
        <v>5</v>
      </c>
      <c r="BN393" t="n">
        <v>3</v>
      </c>
      <c r="BO393" t="n">
        <v>4</v>
      </c>
      <c r="BP393" t="n">
        <v>2</v>
      </c>
      <c r="BQ393" t="n">
        <v>3</v>
      </c>
      <c r="BR393" t="n">
        <v>2</v>
      </c>
      <c r="BS393" s="56">
        <f>IF(COUNT(N393:W393)&gt;=8,AVERAGE(N393:W393),"")</f>
        <v/>
      </c>
      <c r="BT393" s="56">
        <f>IF(COUNT(X393:AE393)&gt;=7,AVERAGE(X393:AE393),"")</f>
        <v/>
      </c>
      <c r="BU393" s="56">
        <f>IF(COUNT(AF393:AM393)&gt;=7,AVERAGE(AF393:AM393),"")</f>
        <v/>
      </c>
      <c r="BV393" s="56">
        <f>IF(COUNT(AN393:AV393)&gt;=8,AVERAGE(AN393:AV393),"")</f>
        <v/>
      </c>
      <c r="BW393" s="56">
        <f>IF(COUNT(AW393:BD393)&gt;=7,AVERAGE(AW393:BD393),"")</f>
        <v/>
      </c>
      <c r="BX393" s="56">
        <f>IF(COUNT(BE393:BJ393)&gt;=5,AVERAGE(BE393:BJ393),"")</f>
        <v/>
      </c>
      <c r="BY393" s="56">
        <f>IF(COUNT(BK393:BR393)&gt;=7,AVERAGE(BK393:BR393),"")</f>
        <v/>
      </c>
    </row>
    <row r="394">
      <c r="A394" t="inlineStr">
        <is>
          <t>R363</t>
        </is>
      </c>
      <c r="B394" t="inlineStr">
        <is>
          <t>Yes</t>
        </is>
      </c>
      <c r="C394" t="inlineStr">
        <is>
          <t>Yes</t>
        </is>
      </c>
      <c r="D394" t="inlineStr">
        <is>
          <t>Female</t>
        </is>
      </c>
      <c r="E394" t="inlineStr">
        <is>
          <t>35-44</t>
        </is>
      </c>
      <c r="F394" t="inlineStr">
        <is>
          <t>Bachelor/HND</t>
        </is>
      </c>
      <c r="G394" t="inlineStr">
        <is>
          <t>Commercial bank</t>
        </is>
      </c>
      <c r="H394" t="inlineStr">
        <is>
          <t>Risk/Compliance</t>
        </is>
      </c>
      <c r="I394" t="inlineStr">
        <is>
          <t>16 or more</t>
        </is>
      </c>
      <c r="J394" t="inlineStr">
        <is>
          <t>Yes</t>
        </is>
      </c>
      <c r="K394" t="n">
        <v>4</v>
      </c>
      <c r="L394" t="inlineStr">
        <is>
          <t>Yes</t>
        </is>
      </c>
      <c r="M394" t="inlineStr">
        <is>
          <t>Yes</t>
        </is>
      </c>
      <c r="N394" t="n">
        <v>3</v>
      </c>
      <c r="O394" t="n">
        <v>3</v>
      </c>
      <c r="P394" t="n">
        <v>2</v>
      </c>
      <c r="Q394" t="n">
        <v>2</v>
      </c>
      <c r="R394" t="n">
        <v>2</v>
      </c>
      <c r="S394" t="n">
        <v>3</v>
      </c>
      <c r="U394" t="n">
        <v>2</v>
      </c>
      <c r="V394" t="n">
        <v>3</v>
      </c>
      <c r="W394" t="n">
        <v>3</v>
      </c>
      <c r="Y394" t="n">
        <v>4</v>
      </c>
      <c r="Z394" t="n">
        <v>4</v>
      </c>
      <c r="AA394" t="n">
        <v>5</v>
      </c>
      <c r="AB394" t="n">
        <v>4</v>
      </c>
      <c r="AC394" t="n">
        <v>5</v>
      </c>
      <c r="AD394" t="n">
        <v>5</v>
      </c>
      <c r="AE394" t="n">
        <v>4</v>
      </c>
      <c r="AF394" t="n">
        <v>3</v>
      </c>
      <c r="AG394" t="n">
        <v>4</v>
      </c>
      <c r="AH394" t="n">
        <v>5</v>
      </c>
      <c r="AJ394" t="n">
        <v>4</v>
      </c>
      <c r="AK394" t="n">
        <v>4</v>
      </c>
      <c r="AL394" t="n">
        <v>3</v>
      </c>
      <c r="AM394" t="n">
        <v>3</v>
      </c>
      <c r="AN394" t="n">
        <v>4</v>
      </c>
      <c r="AO394" t="n">
        <v>3</v>
      </c>
      <c r="AP394" t="n">
        <v>4</v>
      </c>
      <c r="AQ394" t="n">
        <v>4</v>
      </c>
      <c r="AR394" t="n">
        <v>4</v>
      </c>
      <c r="AS394" t="n">
        <v>4</v>
      </c>
      <c r="AT394" t="n">
        <v>3</v>
      </c>
      <c r="AU394" t="n">
        <v>3</v>
      </c>
      <c r="AV394" t="n">
        <v>3</v>
      </c>
      <c r="AW394" t="n">
        <v>3</v>
      </c>
      <c r="AX394" t="n">
        <v>2</v>
      </c>
      <c r="AY394" t="n">
        <v>2</v>
      </c>
      <c r="AZ394" t="n">
        <v>3</v>
      </c>
      <c r="BA394" t="n">
        <v>3</v>
      </c>
      <c r="BB394" t="n">
        <v>2</v>
      </c>
      <c r="BC394" t="n">
        <v>4</v>
      </c>
      <c r="BD394" t="n">
        <v>3</v>
      </c>
      <c r="BE394" t="n">
        <v>3</v>
      </c>
      <c r="BF394" t="n">
        <v>3</v>
      </c>
      <c r="BG394" t="n">
        <v>2</v>
      </c>
      <c r="BH394" t="n">
        <v>3</v>
      </c>
      <c r="BI394" t="n">
        <v>3</v>
      </c>
      <c r="BJ394" t="n">
        <v>4</v>
      </c>
      <c r="BK394" t="n">
        <v>2</v>
      </c>
      <c r="BL394" t="n">
        <v>1</v>
      </c>
      <c r="BM394" t="n">
        <v>3</v>
      </c>
      <c r="BN394" t="n">
        <v>2</v>
      </c>
      <c r="BO394" t="n">
        <v>3</v>
      </c>
      <c r="BP394" t="n">
        <v>2</v>
      </c>
      <c r="BQ394" t="n">
        <v>3</v>
      </c>
      <c r="BR394" t="n">
        <v>2</v>
      </c>
      <c r="BS394" s="56">
        <f>IF(COUNT(N394:W394)&gt;=8,AVERAGE(N394:W394),"")</f>
        <v/>
      </c>
      <c r="BT394" s="56">
        <f>IF(COUNT(X394:AE394)&gt;=7,AVERAGE(X394:AE394),"")</f>
        <v/>
      </c>
      <c r="BU394" s="56">
        <f>IF(COUNT(AF394:AM394)&gt;=7,AVERAGE(AF394:AM394),"")</f>
        <v/>
      </c>
      <c r="BV394" s="56">
        <f>IF(COUNT(AN394:AV394)&gt;=8,AVERAGE(AN394:AV394),"")</f>
        <v/>
      </c>
      <c r="BW394" s="56">
        <f>IF(COUNT(AW394:BD394)&gt;=7,AVERAGE(AW394:BD394),"")</f>
        <v/>
      </c>
      <c r="BX394" s="56">
        <f>IF(COUNT(BE394:BJ394)&gt;=5,AVERAGE(BE394:BJ394),"")</f>
        <v/>
      </c>
      <c r="BY394" s="56">
        <f>IF(COUNT(BK394:BR394)&gt;=7,AVERAGE(BK394:BR394),"")</f>
        <v/>
      </c>
    </row>
    <row r="395">
      <c r="A395" t="inlineStr">
        <is>
          <t>R364</t>
        </is>
      </c>
      <c r="B395" t="inlineStr">
        <is>
          <t>Yes</t>
        </is>
      </c>
      <c r="C395" t="inlineStr">
        <is>
          <t>Yes</t>
        </is>
      </c>
      <c r="D395" t="inlineStr">
        <is>
          <t>Female</t>
        </is>
      </c>
      <c r="E395" t="inlineStr">
        <is>
          <t>35-44</t>
        </is>
      </c>
      <c r="F395" t="inlineStr">
        <is>
          <t>Master's</t>
        </is>
      </c>
      <c r="G395" t="inlineStr">
        <is>
          <t>Commercial bank</t>
        </is>
      </c>
      <c r="H395" t="inlineStr">
        <is>
          <t>Digital Banking/Product</t>
        </is>
      </c>
      <c r="I395" t="inlineStr">
        <is>
          <t>2-5</t>
        </is>
      </c>
      <c r="J395" t="inlineStr">
        <is>
          <t>Yes</t>
        </is>
      </c>
      <c r="K395" t="n">
        <v>4</v>
      </c>
      <c r="L395" t="inlineStr">
        <is>
          <t>No</t>
        </is>
      </c>
      <c r="M395" t="inlineStr">
        <is>
          <t>Yes</t>
        </is>
      </c>
      <c r="N395" t="n">
        <v>3</v>
      </c>
      <c r="O395" t="n">
        <v>2</v>
      </c>
      <c r="P395" t="n">
        <v>2</v>
      </c>
      <c r="Q395" t="n">
        <v>1</v>
      </c>
      <c r="R395" t="n">
        <v>2</v>
      </c>
      <c r="S395" t="n">
        <v>3</v>
      </c>
      <c r="T395" t="n">
        <v>2</v>
      </c>
      <c r="U395" t="n">
        <v>2</v>
      </c>
      <c r="V395" t="n">
        <v>3</v>
      </c>
      <c r="W395" t="n">
        <v>2</v>
      </c>
      <c r="X395" t="n">
        <v>3</v>
      </c>
      <c r="Y395" t="n">
        <v>3</v>
      </c>
      <c r="Z395" t="n">
        <v>3</v>
      </c>
      <c r="AA395" t="n">
        <v>2</v>
      </c>
      <c r="AB395" t="n">
        <v>4</v>
      </c>
      <c r="AC395" t="n">
        <v>4</v>
      </c>
      <c r="AD395" t="n">
        <v>3</v>
      </c>
      <c r="AE395" t="n">
        <v>3</v>
      </c>
      <c r="AF395" t="n">
        <v>3</v>
      </c>
      <c r="AG395" t="n">
        <v>3</v>
      </c>
      <c r="AH395" t="n">
        <v>4</v>
      </c>
      <c r="AI395" t="n">
        <v>3</v>
      </c>
      <c r="AJ395" t="n">
        <v>4</v>
      </c>
      <c r="AK395" t="n">
        <v>4</v>
      </c>
      <c r="AL395" t="n">
        <v>4</v>
      </c>
      <c r="AM395" t="n">
        <v>5</v>
      </c>
      <c r="AN395" t="n">
        <v>4</v>
      </c>
      <c r="AO395" t="n">
        <v>3</v>
      </c>
      <c r="AP395" t="n">
        <v>2</v>
      </c>
      <c r="AQ395" t="n">
        <v>3</v>
      </c>
      <c r="AR395" t="n">
        <v>4</v>
      </c>
      <c r="AS395" t="n">
        <v>3</v>
      </c>
      <c r="AT395" t="n">
        <v>4</v>
      </c>
      <c r="AU395" t="n">
        <v>3</v>
      </c>
      <c r="AV395" t="n">
        <v>3</v>
      </c>
      <c r="AW395" t="n">
        <v>4</v>
      </c>
      <c r="AX395" t="n">
        <v>4</v>
      </c>
      <c r="AY395" t="n">
        <v>4</v>
      </c>
      <c r="AZ395" t="n">
        <v>2</v>
      </c>
      <c r="BA395" t="n">
        <v>3</v>
      </c>
      <c r="BB395" t="n">
        <v>3</v>
      </c>
      <c r="BC395" t="n">
        <v>4</v>
      </c>
      <c r="BD395" t="n">
        <v>3</v>
      </c>
      <c r="BE395" t="n">
        <v>4</v>
      </c>
      <c r="BF395" t="n">
        <v>4</v>
      </c>
      <c r="BG395" t="n">
        <v>3</v>
      </c>
      <c r="BH395" t="n">
        <v>5</v>
      </c>
      <c r="BI395" t="n">
        <v>5</v>
      </c>
      <c r="BJ395" t="n">
        <v>3</v>
      </c>
      <c r="BK395" t="n">
        <v>1</v>
      </c>
      <c r="BL395" t="n">
        <v>3</v>
      </c>
      <c r="BM395" t="n">
        <v>3</v>
      </c>
      <c r="BN395" t="n">
        <v>2</v>
      </c>
      <c r="BO395" t="n">
        <v>2</v>
      </c>
      <c r="BP395" t="n">
        <v>3</v>
      </c>
      <c r="BQ395" t="n">
        <v>3</v>
      </c>
      <c r="BR395" t="n">
        <v>1</v>
      </c>
      <c r="BS395" s="56">
        <f>IF(COUNT(N395:W395)&gt;=8,AVERAGE(N395:W395),"")</f>
        <v/>
      </c>
      <c r="BT395" s="56">
        <f>IF(COUNT(X395:AE395)&gt;=7,AVERAGE(X395:AE395),"")</f>
        <v/>
      </c>
      <c r="BU395" s="56">
        <f>IF(COUNT(AF395:AM395)&gt;=7,AVERAGE(AF395:AM395),"")</f>
        <v/>
      </c>
      <c r="BV395" s="56">
        <f>IF(COUNT(AN395:AV395)&gt;=8,AVERAGE(AN395:AV395),"")</f>
        <v/>
      </c>
      <c r="BW395" s="56">
        <f>IF(COUNT(AW395:BD395)&gt;=7,AVERAGE(AW395:BD395),"")</f>
        <v/>
      </c>
      <c r="BX395" s="56">
        <f>IF(COUNT(BE395:BJ395)&gt;=5,AVERAGE(BE395:BJ395),"")</f>
        <v/>
      </c>
      <c r="BY395" s="56">
        <f>IF(COUNT(BK395:BR395)&gt;=7,AVERAGE(BK395:BR395),"")</f>
        <v/>
      </c>
    </row>
    <row r="396">
      <c r="A396" t="inlineStr">
        <is>
          <t>R365</t>
        </is>
      </c>
      <c r="B396" t="inlineStr">
        <is>
          <t>Yes</t>
        </is>
      </c>
      <c r="C396" t="inlineStr">
        <is>
          <t>Yes</t>
        </is>
      </c>
      <c r="D396" t="inlineStr">
        <is>
          <t>Male</t>
        </is>
      </c>
      <c r="E396" t="inlineStr">
        <is>
          <t>45-54</t>
        </is>
      </c>
      <c r="F396" t="inlineStr">
        <is>
          <t>Bachelor/HND</t>
        </is>
      </c>
      <c r="G396" t="inlineStr">
        <is>
          <t>Fintech/payment provider</t>
        </is>
      </c>
      <c r="H396" t="inlineStr">
        <is>
          <t>IT/Technology</t>
        </is>
      </c>
      <c r="I396" t="inlineStr">
        <is>
          <t>2-5</t>
        </is>
      </c>
      <c r="J396" t="inlineStr">
        <is>
          <t>Yes</t>
        </is>
      </c>
      <c r="K396" t="n">
        <v>1</v>
      </c>
      <c r="L396" t="inlineStr">
        <is>
          <t>Do not know</t>
        </is>
      </c>
      <c r="M396" t="inlineStr">
        <is>
          <t>Yes</t>
        </is>
      </c>
      <c r="N396" t="n">
        <v>5</v>
      </c>
      <c r="O396" t="n">
        <v>3</v>
      </c>
      <c r="P396" t="n">
        <v>4</v>
      </c>
      <c r="Q396" t="n">
        <v>4</v>
      </c>
      <c r="R396" t="n">
        <v>4</v>
      </c>
      <c r="S396" t="n">
        <v>4</v>
      </c>
      <c r="T396" t="n">
        <v>5</v>
      </c>
      <c r="U396" t="n">
        <v>4</v>
      </c>
      <c r="V396" t="n">
        <v>4</v>
      </c>
      <c r="W396" t="n">
        <v>3</v>
      </c>
      <c r="X396" t="n">
        <v>3</v>
      </c>
      <c r="Y396" t="n">
        <v>2</v>
      </c>
      <c r="Z396" t="n">
        <v>3</v>
      </c>
      <c r="AA396" t="n">
        <v>2</v>
      </c>
      <c r="AB396" t="n">
        <v>3</v>
      </c>
      <c r="AC396" t="n">
        <v>4</v>
      </c>
      <c r="AD396" t="n">
        <v>3</v>
      </c>
      <c r="AE396" t="n">
        <v>2</v>
      </c>
      <c r="AF396" t="n">
        <v>2</v>
      </c>
      <c r="AG396" t="n">
        <v>3</v>
      </c>
      <c r="AH396" t="n">
        <v>2</v>
      </c>
      <c r="AI396" t="n">
        <v>3</v>
      </c>
      <c r="AJ396" t="n">
        <v>2</v>
      </c>
      <c r="AK396" t="n">
        <v>4</v>
      </c>
      <c r="AL396" t="n">
        <v>3</v>
      </c>
      <c r="AM396" t="n">
        <v>3</v>
      </c>
      <c r="AN396" t="n">
        <v>3</v>
      </c>
      <c r="AO396" t="n">
        <v>3</v>
      </c>
      <c r="AP396" t="n">
        <v>4</v>
      </c>
      <c r="AQ396" t="n">
        <v>3</v>
      </c>
      <c r="AR396" t="n">
        <v>3</v>
      </c>
      <c r="AS396" t="n">
        <v>4</v>
      </c>
      <c r="AT396" t="n">
        <v>3</v>
      </c>
      <c r="AU396" t="n">
        <v>3</v>
      </c>
      <c r="AV396" t="n">
        <v>3</v>
      </c>
      <c r="AW396" t="n">
        <v>3</v>
      </c>
      <c r="AX396" t="n">
        <v>3</v>
      </c>
      <c r="AZ396" t="n">
        <v>3</v>
      </c>
      <c r="BA396" t="n">
        <v>3</v>
      </c>
      <c r="BB396" t="n">
        <v>3</v>
      </c>
      <c r="BC396" t="n">
        <v>4</v>
      </c>
      <c r="BD396" t="n">
        <v>3</v>
      </c>
      <c r="BE396" t="n">
        <v>4</v>
      </c>
      <c r="BF396" t="n">
        <v>2</v>
      </c>
      <c r="BG396" t="n">
        <v>2</v>
      </c>
      <c r="BH396" t="n">
        <v>4</v>
      </c>
      <c r="BI396" t="n">
        <v>2</v>
      </c>
      <c r="BJ396" t="n">
        <v>3</v>
      </c>
      <c r="BK396" t="n">
        <v>2</v>
      </c>
      <c r="BL396" t="n">
        <v>2</v>
      </c>
      <c r="BM396" t="n">
        <v>3</v>
      </c>
      <c r="BN396" t="n">
        <v>3</v>
      </c>
      <c r="BO396" t="n">
        <v>4</v>
      </c>
      <c r="BP396" t="n">
        <v>2</v>
      </c>
      <c r="BQ396" t="n">
        <v>2</v>
      </c>
      <c r="BR396" t="n">
        <v>3</v>
      </c>
      <c r="BS396" s="56">
        <f>IF(COUNT(N396:W396)&gt;=8,AVERAGE(N396:W396),"")</f>
        <v/>
      </c>
      <c r="BT396" s="56">
        <f>IF(COUNT(X396:AE396)&gt;=7,AVERAGE(X396:AE396),"")</f>
        <v/>
      </c>
      <c r="BU396" s="56">
        <f>IF(COUNT(AF396:AM396)&gt;=7,AVERAGE(AF396:AM396),"")</f>
        <v/>
      </c>
      <c r="BV396" s="56">
        <f>IF(COUNT(AN396:AV396)&gt;=8,AVERAGE(AN396:AV396),"")</f>
        <v/>
      </c>
      <c r="BW396" s="56">
        <f>IF(COUNT(AW396:BD396)&gt;=7,AVERAGE(AW396:BD396),"")</f>
        <v/>
      </c>
      <c r="BX396" s="56">
        <f>IF(COUNT(BE396:BJ396)&gt;=5,AVERAGE(BE396:BJ396),"")</f>
        <v/>
      </c>
      <c r="BY396" s="56">
        <f>IF(COUNT(BK396:BR396)&gt;=7,AVERAGE(BK396:BR396),"")</f>
        <v/>
      </c>
    </row>
    <row r="397">
      <c r="A397" t="inlineStr">
        <is>
          <t>R366</t>
        </is>
      </c>
      <c r="B397" t="inlineStr">
        <is>
          <t>Yes</t>
        </is>
      </c>
      <c r="C397" t="inlineStr">
        <is>
          <t>Yes</t>
        </is>
      </c>
      <c r="D397" t="inlineStr">
        <is>
          <t>Male</t>
        </is>
      </c>
      <c r="E397" t="inlineStr">
        <is>
          <t>35-44</t>
        </is>
      </c>
      <c r="F397" t="inlineStr">
        <is>
          <t>Master's</t>
        </is>
      </c>
      <c r="G397" t="inlineStr">
        <is>
          <t>Commercial bank</t>
        </is>
      </c>
      <c r="H397" t="inlineStr">
        <is>
          <t>Digital Banking/Product</t>
        </is>
      </c>
      <c r="I397" t="inlineStr">
        <is>
          <t>6-10</t>
        </is>
      </c>
      <c r="J397" t="inlineStr">
        <is>
          <t>Yes</t>
        </is>
      </c>
      <c r="K397" t="n">
        <v>3</v>
      </c>
      <c r="L397" t="inlineStr">
        <is>
          <t>Yes</t>
        </is>
      </c>
      <c r="M397" t="inlineStr">
        <is>
          <t>Yes</t>
        </is>
      </c>
      <c r="N397" t="n">
        <v>3</v>
      </c>
      <c r="O397" t="n">
        <v>3</v>
      </c>
      <c r="P397" t="n">
        <v>3</v>
      </c>
      <c r="Q397" t="n">
        <v>2</v>
      </c>
      <c r="R397" t="n">
        <v>4</v>
      </c>
      <c r="S397" t="n">
        <v>2</v>
      </c>
      <c r="T397" t="n">
        <v>4</v>
      </c>
      <c r="U397" t="n">
        <v>2</v>
      </c>
      <c r="V397" t="n">
        <v>4</v>
      </c>
      <c r="W397" t="n">
        <v>3</v>
      </c>
      <c r="X397" t="n">
        <v>4</v>
      </c>
      <c r="Y397" t="n">
        <v>3</v>
      </c>
      <c r="Z397" t="n">
        <v>4</v>
      </c>
      <c r="AA397" t="n">
        <v>3</v>
      </c>
      <c r="AB397" t="n">
        <v>4</v>
      </c>
      <c r="AC397" t="n">
        <v>4</v>
      </c>
      <c r="AD397" t="n">
        <v>4</v>
      </c>
      <c r="AE397" t="n">
        <v>3</v>
      </c>
      <c r="AF397" t="n">
        <v>4</v>
      </c>
      <c r="AG397" t="n">
        <v>3</v>
      </c>
      <c r="AH397" t="n">
        <v>2</v>
      </c>
      <c r="AI397" t="n">
        <v>4</v>
      </c>
      <c r="AJ397" t="n">
        <v>2</v>
      </c>
      <c r="AK397" t="n">
        <v>3</v>
      </c>
      <c r="AL397" t="n">
        <v>3</v>
      </c>
      <c r="AM397" t="n">
        <v>4</v>
      </c>
      <c r="AN397" t="n">
        <v>2</v>
      </c>
      <c r="AO397" t="n">
        <v>3</v>
      </c>
      <c r="AP397" t="n">
        <v>2</v>
      </c>
      <c r="AQ397" t="n">
        <v>2</v>
      </c>
      <c r="AR397" t="n">
        <v>1</v>
      </c>
      <c r="AS397" t="n">
        <v>2</v>
      </c>
      <c r="AT397" t="n">
        <v>2</v>
      </c>
      <c r="AU397" t="n">
        <v>3</v>
      </c>
      <c r="AV397" t="n">
        <v>3</v>
      </c>
      <c r="AW397" t="n">
        <v>3</v>
      </c>
      <c r="AX397" t="n">
        <v>2</v>
      </c>
      <c r="AY397" t="n">
        <v>2</v>
      </c>
      <c r="AZ397" t="n">
        <v>2</v>
      </c>
      <c r="BA397" t="n">
        <v>4</v>
      </c>
      <c r="BB397" t="n">
        <v>3</v>
      </c>
      <c r="BC397" t="n">
        <v>4</v>
      </c>
      <c r="BD397" t="n">
        <v>2</v>
      </c>
      <c r="BE397" t="n">
        <v>3</v>
      </c>
      <c r="BF397" t="n">
        <v>3</v>
      </c>
      <c r="BG397" t="n">
        <v>3</v>
      </c>
      <c r="BH397" t="n">
        <v>3</v>
      </c>
      <c r="BJ397" t="n">
        <v>3</v>
      </c>
      <c r="BK397" t="n">
        <v>3</v>
      </c>
      <c r="BL397" t="n">
        <v>2</v>
      </c>
      <c r="BM397" t="n">
        <v>3</v>
      </c>
      <c r="BN397" t="n">
        <v>3</v>
      </c>
      <c r="BO397" t="n">
        <v>2</v>
      </c>
      <c r="BP397" t="n">
        <v>3</v>
      </c>
      <c r="BQ397" t="n">
        <v>3</v>
      </c>
      <c r="BR397" t="n">
        <v>3</v>
      </c>
      <c r="BS397" s="56">
        <f>IF(COUNT(N397:W397)&gt;=8,AVERAGE(N397:W397),"")</f>
        <v/>
      </c>
      <c r="BT397" s="56">
        <f>IF(COUNT(X397:AE397)&gt;=7,AVERAGE(X397:AE397),"")</f>
        <v/>
      </c>
      <c r="BU397" s="56">
        <f>IF(COUNT(AF397:AM397)&gt;=7,AVERAGE(AF397:AM397),"")</f>
        <v/>
      </c>
      <c r="BV397" s="56">
        <f>IF(COUNT(AN397:AV397)&gt;=8,AVERAGE(AN397:AV397),"")</f>
        <v/>
      </c>
      <c r="BW397" s="56">
        <f>IF(COUNT(AW397:BD397)&gt;=7,AVERAGE(AW397:BD397),"")</f>
        <v/>
      </c>
      <c r="BX397" s="56">
        <f>IF(COUNT(BE397:BJ397)&gt;=5,AVERAGE(BE397:BJ397),"")</f>
        <v/>
      </c>
      <c r="BY397" s="56">
        <f>IF(COUNT(BK397:BR397)&gt;=7,AVERAGE(BK397:BR397),"")</f>
        <v/>
      </c>
    </row>
    <row r="398">
      <c r="A398" t="inlineStr">
        <is>
          <t>R367</t>
        </is>
      </c>
      <c r="B398" t="inlineStr">
        <is>
          <t>Yes</t>
        </is>
      </c>
      <c r="C398" t="inlineStr">
        <is>
          <t>Yes</t>
        </is>
      </c>
      <c r="D398" t="inlineStr">
        <is>
          <t>Female</t>
        </is>
      </c>
      <c r="E398" t="inlineStr">
        <is>
          <t>25-34</t>
        </is>
      </c>
      <c r="F398" t="inlineStr">
        <is>
          <t>Bachelor/HND</t>
        </is>
      </c>
      <c r="G398" t="inlineStr">
        <is>
          <t>Commercial bank</t>
        </is>
      </c>
      <c r="H398" t="inlineStr">
        <is>
          <t>IT/Technology</t>
        </is>
      </c>
      <c r="I398" t="inlineStr">
        <is>
          <t>2-5</t>
        </is>
      </c>
      <c r="J398" t="inlineStr">
        <is>
          <t>Yes</t>
        </is>
      </c>
      <c r="K398" t="n">
        <v>0</v>
      </c>
      <c r="L398" t="inlineStr">
        <is>
          <t>No</t>
        </is>
      </c>
      <c r="M398" t="inlineStr">
        <is>
          <t>Yes</t>
        </is>
      </c>
      <c r="N398" t="n">
        <v>4</v>
      </c>
      <c r="O398" t="n">
        <v>2</v>
      </c>
      <c r="P398" t="n">
        <v>3</v>
      </c>
      <c r="Q398" t="n">
        <v>3</v>
      </c>
      <c r="R398" t="n">
        <v>5</v>
      </c>
      <c r="S398" t="n">
        <v>3</v>
      </c>
      <c r="T398" t="n">
        <v>3</v>
      </c>
      <c r="U398" t="n">
        <v>3</v>
      </c>
      <c r="V398" t="n">
        <v>4</v>
      </c>
      <c r="W398" t="n">
        <v>3</v>
      </c>
      <c r="X398" t="n">
        <v>2</v>
      </c>
      <c r="Y398" t="n">
        <v>2</v>
      </c>
      <c r="Z398" t="n">
        <v>3</v>
      </c>
      <c r="AA398" t="n">
        <v>3</v>
      </c>
      <c r="AB398" t="n">
        <v>3</v>
      </c>
      <c r="AC398" t="n">
        <v>4</v>
      </c>
      <c r="AE398" t="n">
        <v>4</v>
      </c>
      <c r="AF398" t="n">
        <v>2</v>
      </c>
      <c r="AG398" t="n">
        <v>4</v>
      </c>
      <c r="AH398" t="n">
        <v>3</v>
      </c>
      <c r="AI398" t="n">
        <v>4</v>
      </c>
      <c r="AJ398" t="n">
        <v>4</v>
      </c>
      <c r="AL398" t="n">
        <v>4</v>
      </c>
      <c r="AM398" t="n">
        <v>4</v>
      </c>
      <c r="AN398" t="n">
        <v>3</v>
      </c>
      <c r="AO398" t="n">
        <v>1</v>
      </c>
      <c r="AP398" t="n">
        <v>1</v>
      </c>
      <c r="AQ398" t="n">
        <v>3</v>
      </c>
      <c r="AR398" t="n">
        <v>2</v>
      </c>
      <c r="AS398" t="n">
        <v>3</v>
      </c>
      <c r="AT398" t="n">
        <v>3</v>
      </c>
      <c r="AU398" t="n">
        <v>2</v>
      </c>
      <c r="AV398" t="n">
        <v>3</v>
      </c>
      <c r="AW398" t="n">
        <v>5</v>
      </c>
      <c r="AX398" t="n">
        <v>3</v>
      </c>
      <c r="AY398" t="n">
        <v>3</v>
      </c>
      <c r="AZ398" t="n">
        <v>3</v>
      </c>
      <c r="BA398" t="n">
        <v>3</v>
      </c>
      <c r="BB398" t="n">
        <v>4</v>
      </c>
      <c r="BD398" t="n">
        <v>4</v>
      </c>
      <c r="BE398" t="n">
        <v>3</v>
      </c>
      <c r="BF398" t="n">
        <v>3</v>
      </c>
      <c r="BG398" t="n">
        <v>3</v>
      </c>
      <c r="BH398" t="n">
        <v>2</v>
      </c>
      <c r="BI398" t="n">
        <v>4</v>
      </c>
      <c r="BJ398" t="n">
        <v>3</v>
      </c>
      <c r="BK398" t="n">
        <v>1</v>
      </c>
      <c r="BL398" t="n">
        <v>3</v>
      </c>
      <c r="BM398" t="n">
        <v>3</v>
      </c>
      <c r="BN398" t="n">
        <v>1</v>
      </c>
      <c r="BO398" t="n">
        <v>2</v>
      </c>
      <c r="BP398" t="n">
        <v>2</v>
      </c>
      <c r="BQ398" t="n">
        <v>2</v>
      </c>
      <c r="BR398" t="n">
        <v>1</v>
      </c>
      <c r="BS398" s="56">
        <f>IF(COUNT(N398:W398)&gt;=8,AVERAGE(N398:W398),"")</f>
        <v/>
      </c>
      <c r="BT398" s="56">
        <f>IF(COUNT(X398:AE398)&gt;=7,AVERAGE(X398:AE398),"")</f>
        <v/>
      </c>
      <c r="BU398" s="56">
        <f>IF(COUNT(AF398:AM398)&gt;=7,AVERAGE(AF398:AM398),"")</f>
        <v/>
      </c>
      <c r="BV398" s="56">
        <f>IF(COUNT(AN398:AV398)&gt;=8,AVERAGE(AN398:AV398),"")</f>
        <v/>
      </c>
      <c r="BW398" s="56">
        <f>IF(COUNT(AW398:BD398)&gt;=7,AVERAGE(AW398:BD398),"")</f>
        <v/>
      </c>
      <c r="BX398" s="56">
        <f>IF(COUNT(BE398:BJ398)&gt;=5,AVERAGE(BE398:BJ398),"")</f>
        <v/>
      </c>
      <c r="BY398" s="56">
        <f>IF(COUNT(BK398:BR398)&gt;=7,AVERAGE(BK398:BR398),"")</f>
        <v/>
      </c>
    </row>
    <row r="399">
      <c r="A399" t="inlineStr">
        <is>
          <t>R368</t>
        </is>
      </c>
      <c r="B399" t="inlineStr">
        <is>
          <t>Yes</t>
        </is>
      </c>
      <c r="C399" t="inlineStr">
        <is>
          <t>Yes</t>
        </is>
      </c>
      <c r="D399" t="inlineStr">
        <is>
          <t>Male</t>
        </is>
      </c>
      <c r="E399" t="inlineStr">
        <is>
          <t>45-54</t>
        </is>
      </c>
      <c r="F399" t="inlineStr">
        <is>
          <t>Bachelor/HND</t>
        </is>
      </c>
      <c r="G399" t="inlineStr">
        <is>
          <t>Commercial bank</t>
        </is>
      </c>
      <c r="H399" t="inlineStr">
        <is>
          <t>IT/Technology</t>
        </is>
      </c>
      <c r="I399" t="inlineStr">
        <is>
          <t>2-5</t>
        </is>
      </c>
      <c r="J399" t="inlineStr">
        <is>
          <t>Yes</t>
        </is>
      </c>
      <c r="K399" t="n">
        <v>3</v>
      </c>
      <c r="L399" t="inlineStr">
        <is>
          <t>Yes</t>
        </is>
      </c>
      <c r="M399" t="inlineStr">
        <is>
          <t>Yes</t>
        </is>
      </c>
      <c r="N399" t="n">
        <v>1</v>
      </c>
      <c r="O399" t="n">
        <v>3</v>
      </c>
      <c r="P399" t="n">
        <v>3</v>
      </c>
      <c r="Q399" t="n">
        <v>2</v>
      </c>
      <c r="R399" t="n">
        <v>3</v>
      </c>
      <c r="S399" t="n">
        <v>2</v>
      </c>
      <c r="T399" t="n">
        <v>2</v>
      </c>
      <c r="U399" t="n">
        <v>3</v>
      </c>
      <c r="V399" t="n">
        <v>2</v>
      </c>
      <c r="W399" t="n">
        <v>2</v>
      </c>
      <c r="X399" t="n">
        <v>4</v>
      </c>
      <c r="Y399" t="n">
        <v>3</v>
      </c>
      <c r="Z399" t="n">
        <v>4</v>
      </c>
      <c r="AA399" t="n">
        <v>3</v>
      </c>
      <c r="AB399" t="n">
        <v>4</v>
      </c>
      <c r="AC399" t="n">
        <v>3</v>
      </c>
      <c r="AD399" t="n">
        <v>3</v>
      </c>
      <c r="AE399" t="n">
        <v>3</v>
      </c>
      <c r="AF399" t="n">
        <v>4</v>
      </c>
      <c r="AG399" t="n">
        <v>3</v>
      </c>
      <c r="AH399" t="n">
        <v>5</v>
      </c>
      <c r="AI399" t="n">
        <v>5</v>
      </c>
      <c r="AJ399" t="n">
        <v>4</v>
      </c>
      <c r="AK399" t="n">
        <v>5</v>
      </c>
      <c r="AL399" t="n">
        <v>5</v>
      </c>
      <c r="AM399" t="n">
        <v>4</v>
      </c>
      <c r="AN399" t="n">
        <v>2</v>
      </c>
      <c r="AO399" t="n">
        <v>2</v>
      </c>
      <c r="AP399" t="n">
        <v>2</v>
      </c>
      <c r="AQ399" t="n">
        <v>2</v>
      </c>
      <c r="AR399" t="n">
        <v>2</v>
      </c>
      <c r="AS399" t="n">
        <v>2</v>
      </c>
      <c r="AT399" t="n">
        <v>2</v>
      </c>
      <c r="AU399" t="n">
        <v>1</v>
      </c>
      <c r="AV399" t="n">
        <v>2</v>
      </c>
      <c r="AW399" t="n">
        <v>5</v>
      </c>
      <c r="AX399" t="n">
        <v>4</v>
      </c>
      <c r="AY399" t="n">
        <v>4</v>
      </c>
      <c r="AZ399" t="n">
        <v>4</v>
      </c>
      <c r="BA399" t="n">
        <v>4</v>
      </c>
      <c r="BB399" t="n">
        <v>4</v>
      </c>
      <c r="BC399" t="n">
        <v>4</v>
      </c>
      <c r="BD399" t="n">
        <v>4</v>
      </c>
      <c r="BE399" t="n">
        <v>3</v>
      </c>
      <c r="BF399" t="n">
        <v>4</v>
      </c>
      <c r="BG399" t="n">
        <v>3</v>
      </c>
      <c r="BH399" t="n">
        <v>4</v>
      </c>
      <c r="BI399" t="n">
        <v>4</v>
      </c>
      <c r="BJ399" t="n">
        <v>4</v>
      </c>
      <c r="BK399" t="n">
        <v>3</v>
      </c>
      <c r="BL399" t="n">
        <v>2</v>
      </c>
      <c r="BM399" t="n">
        <v>3</v>
      </c>
      <c r="BN399" t="n">
        <v>3</v>
      </c>
      <c r="BO399" t="n">
        <v>4</v>
      </c>
      <c r="BP399" t="n">
        <v>4</v>
      </c>
      <c r="BQ399" t="n">
        <v>4</v>
      </c>
      <c r="BR399" t="n">
        <v>3</v>
      </c>
      <c r="BS399" s="56">
        <f>IF(COUNT(N399:W399)&gt;=8,AVERAGE(N399:W399),"")</f>
        <v/>
      </c>
      <c r="BT399" s="56">
        <f>IF(COUNT(X399:AE399)&gt;=7,AVERAGE(X399:AE399),"")</f>
        <v/>
      </c>
      <c r="BU399" s="56">
        <f>IF(COUNT(AF399:AM399)&gt;=7,AVERAGE(AF399:AM399),"")</f>
        <v/>
      </c>
      <c r="BV399" s="56">
        <f>IF(COUNT(AN399:AV399)&gt;=8,AVERAGE(AN399:AV399),"")</f>
        <v/>
      </c>
      <c r="BW399" s="56">
        <f>IF(COUNT(AW399:BD399)&gt;=7,AVERAGE(AW399:BD399),"")</f>
        <v/>
      </c>
      <c r="BX399" s="56">
        <f>IF(COUNT(BE399:BJ399)&gt;=5,AVERAGE(BE399:BJ399),"")</f>
        <v/>
      </c>
      <c r="BY399" s="56">
        <f>IF(COUNT(BK399:BR399)&gt;=7,AVERAGE(BK399:BR399),"")</f>
        <v/>
      </c>
    </row>
    <row r="400">
      <c r="A400" t="inlineStr">
        <is>
          <t>R369</t>
        </is>
      </c>
      <c r="B400" t="inlineStr">
        <is>
          <t>Yes</t>
        </is>
      </c>
      <c r="C400" t="inlineStr">
        <is>
          <t>Yes</t>
        </is>
      </c>
      <c r="D400" t="inlineStr">
        <is>
          <t>Female</t>
        </is>
      </c>
      <c r="E400" t="inlineStr">
        <is>
          <t>18-24</t>
        </is>
      </c>
      <c r="F400" t="inlineStr">
        <is>
          <t>Diploma/OND/NCE</t>
        </is>
      </c>
      <c r="G400" t="inlineStr">
        <is>
          <t>Microfinance bank</t>
        </is>
      </c>
      <c r="H400" t="inlineStr">
        <is>
          <t>Digital Banking/Product</t>
        </is>
      </c>
      <c r="I400" t="inlineStr">
        <is>
          <t>Less than 2</t>
        </is>
      </c>
      <c r="J400" t="inlineStr">
        <is>
          <t>Yes</t>
        </is>
      </c>
      <c r="K400" t="n">
        <v>2</v>
      </c>
      <c r="L400" t="inlineStr">
        <is>
          <t>Yes</t>
        </is>
      </c>
      <c r="M400" t="inlineStr">
        <is>
          <t>Yes</t>
        </is>
      </c>
      <c r="N400" t="n">
        <v>2</v>
      </c>
      <c r="O400" t="n">
        <v>1</v>
      </c>
      <c r="P400" t="n">
        <v>3</v>
      </c>
      <c r="Q400" t="n">
        <v>1</v>
      </c>
      <c r="R400" t="n">
        <v>2</v>
      </c>
      <c r="S400" t="n">
        <v>2</v>
      </c>
      <c r="T400" t="n">
        <v>2</v>
      </c>
      <c r="U400" t="n">
        <v>1</v>
      </c>
      <c r="V400" t="n">
        <v>2</v>
      </c>
      <c r="W400" t="n">
        <v>1</v>
      </c>
      <c r="X400" t="n">
        <v>2</v>
      </c>
      <c r="Y400" t="n">
        <v>1</v>
      </c>
      <c r="Z400" t="n">
        <v>2</v>
      </c>
      <c r="AA400" t="n">
        <v>2</v>
      </c>
      <c r="AB400" t="n">
        <v>4</v>
      </c>
      <c r="AC400" t="n">
        <v>2</v>
      </c>
      <c r="AD400" t="n">
        <v>1</v>
      </c>
      <c r="AE400" t="n">
        <v>2</v>
      </c>
      <c r="AF400" t="n">
        <v>4</v>
      </c>
      <c r="AG400" t="n">
        <v>4</v>
      </c>
      <c r="AH400" t="n">
        <v>3</v>
      </c>
      <c r="AI400" t="n">
        <v>4</v>
      </c>
      <c r="AJ400" t="n">
        <v>3</v>
      </c>
      <c r="AK400" t="n">
        <v>3</v>
      </c>
      <c r="AL400" t="n">
        <v>3</v>
      </c>
      <c r="AM400" t="n">
        <v>3</v>
      </c>
      <c r="AN400" t="n">
        <v>2</v>
      </c>
      <c r="AO400" t="n">
        <v>2</v>
      </c>
      <c r="AQ400" t="n">
        <v>1</v>
      </c>
      <c r="AR400" t="n">
        <v>3</v>
      </c>
      <c r="AS400" t="n">
        <v>1</v>
      </c>
      <c r="AT400" t="n">
        <v>1</v>
      </c>
      <c r="AU400" t="n">
        <v>1</v>
      </c>
      <c r="AV400" t="n">
        <v>2</v>
      </c>
      <c r="AW400" t="n">
        <v>4</v>
      </c>
      <c r="AX400" t="n">
        <v>2</v>
      </c>
      <c r="AY400" t="n">
        <v>4</v>
      </c>
      <c r="AZ400" t="n">
        <v>3</v>
      </c>
      <c r="BA400" t="n">
        <v>5</v>
      </c>
      <c r="BB400" t="n">
        <v>4</v>
      </c>
      <c r="BC400" t="n">
        <v>3</v>
      </c>
      <c r="BD400" t="n">
        <v>3</v>
      </c>
      <c r="BE400" t="n">
        <v>2</v>
      </c>
      <c r="BF400" t="n">
        <v>3</v>
      </c>
      <c r="BG400" t="n">
        <v>2</v>
      </c>
      <c r="BH400" t="n">
        <v>3</v>
      </c>
      <c r="BI400" t="n">
        <v>4</v>
      </c>
      <c r="BJ400" t="n">
        <v>1</v>
      </c>
      <c r="BK400" t="n">
        <v>4</v>
      </c>
      <c r="BL400" t="n">
        <v>3</v>
      </c>
      <c r="BM400" t="n">
        <v>3</v>
      </c>
      <c r="BN400" t="n">
        <v>2</v>
      </c>
      <c r="BO400" t="n">
        <v>4</v>
      </c>
      <c r="BP400" t="n">
        <v>2</v>
      </c>
      <c r="BQ400" t="n">
        <v>3</v>
      </c>
      <c r="BR400" t="n">
        <v>2</v>
      </c>
      <c r="BS400" s="56">
        <f>IF(COUNT(N400:W400)&gt;=8,AVERAGE(N400:W400),"")</f>
        <v/>
      </c>
      <c r="BT400" s="56">
        <f>IF(COUNT(X400:AE400)&gt;=7,AVERAGE(X400:AE400),"")</f>
        <v/>
      </c>
      <c r="BU400" s="56">
        <f>IF(COUNT(AF400:AM400)&gt;=7,AVERAGE(AF400:AM400),"")</f>
        <v/>
      </c>
      <c r="BV400" s="56">
        <f>IF(COUNT(AN400:AV400)&gt;=8,AVERAGE(AN400:AV400),"")</f>
        <v/>
      </c>
      <c r="BW400" s="56">
        <f>IF(COUNT(AW400:BD400)&gt;=7,AVERAGE(AW400:BD400),"")</f>
        <v/>
      </c>
      <c r="BX400" s="56">
        <f>IF(COUNT(BE400:BJ400)&gt;=5,AVERAGE(BE400:BJ400),"")</f>
        <v/>
      </c>
      <c r="BY400" s="56">
        <f>IF(COUNT(BK400:BR400)&gt;=7,AVERAGE(BK400:BR400),"")</f>
        <v/>
      </c>
    </row>
    <row r="401">
      <c r="A401" t="inlineStr">
        <is>
          <t>R370</t>
        </is>
      </c>
      <c r="B401" t="inlineStr">
        <is>
          <t>Yes</t>
        </is>
      </c>
      <c r="C401" t="inlineStr">
        <is>
          <t>Yes</t>
        </is>
      </c>
      <c r="D401" t="inlineStr">
        <is>
          <t>Female</t>
        </is>
      </c>
      <c r="E401" t="inlineStr">
        <is>
          <t>35-44</t>
        </is>
      </c>
      <c r="F401" t="inlineStr">
        <is>
          <t>Master's</t>
        </is>
      </c>
      <c r="G401" t="inlineStr">
        <is>
          <t>Merchant bank</t>
        </is>
      </c>
      <c r="H401" t="inlineStr">
        <is>
          <t>Customer Experience/Service</t>
        </is>
      </c>
      <c r="I401" t="inlineStr">
        <is>
          <t>2-5</t>
        </is>
      </c>
      <c r="J401" t="inlineStr">
        <is>
          <t>Yes</t>
        </is>
      </c>
      <c r="K401" t="n">
        <v>2</v>
      </c>
      <c r="L401" t="inlineStr">
        <is>
          <t>Yes</t>
        </is>
      </c>
      <c r="M401" t="inlineStr">
        <is>
          <t>Yes</t>
        </is>
      </c>
      <c r="N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1</v>
      </c>
      <c r="U401" t="n">
        <v>2</v>
      </c>
      <c r="V401" t="n">
        <v>4</v>
      </c>
      <c r="W401" t="n">
        <v>3</v>
      </c>
      <c r="X401" t="n">
        <v>3</v>
      </c>
      <c r="Y401" t="n">
        <v>2</v>
      </c>
      <c r="Z401" t="n">
        <v>4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2</v>
      </c>
      <c r="AG401" t="n">
        <v>4</v>
      </c>
      <c r="AH401" t="n">
        <v>1</v>
      </c>
      <c r="AI401" t="n">
        <v>3</v>
      </c>
      <c r="AJ401" t="n">
        <v>4</v>
      </c>
      <c r="AK401" t="n">
        <v>2</v>
      </c>
      <c r="AL401" t="n">
        <v>2</v>
      </c>
      <c r="AM401" t="n">
        <v>3</v>
      </c>
      <c r="AN401" t="n">
        <v>5</v>
      </c>
      <c r="AO401" t="n">
        <v>3</v>
      </c>
      <c r="AP401" t="n">
        <v>3</v>
      </c>
      <c r="AQ401" t="n">
        <v>2</v>
      </c>
      <c r="AR401" t="n">
        <v>3</v>
      </c>
      <c r="AS401" t="n">
        <v>4</v>
      </c>
      <c r="AT401" t="n">
        <v>4</v>
      </c>
      <c r="AU401" t="n">
        <v>2</v>
      </c>
      <c r="AV401" t="n">
        <v>3</v>
      </c>
      <c r="AW401" t="n">
        <v>3</v>
      </c>
      <c r="AX401" t="n">
        <v>3</v>
      </c>
      <c r="AY401" t="n">
        <v>4</v>
      </c>
      <c r="AZ401" t="n">
        <v>3</v>
      </c>
      <c r="BA401" t="n">
        <v>4</v>
      </c>
      <c r="BB401" t="n">
        <v>3</v>
      </c>
      <c r="BC401" t="n">
        <v>3</v>
      </c>
      <c r="BD401" t="n">
        <v>3</v>
      </c>
      <c r="BE401" t="n">
        <v>2</v>
      </c>
      <c r="BF401" t="n">
        <v>2</v>
      </c>
      <c r="BG401" t="n">
        <v>2</v>
      </c>
      <c r="BH401" t="n">
        <v>2</v>
      </c>
      <c r="BI401" t="n">
        <v>3</v>
      </c>
      <c r="BJ401" t="n">
        <v>3</v>
      </c>
      <c r="BK401" t="n">
        <v>4</v>
      </c>
      <c r="BL401" t="n">
        <v>4</v>
      </c>
      <c r="BM401" t="n">
        <v>5</v>
      </c>
      <c r="BN401" t="n">
        <v>3</v>
      </c>
      <c r="BO401" t="n">
        <v>4</v>
      </c>
      <c r="BP401" t="n">
        <v>4</v>
      </c>
      <c r="BQ401" t="n">
        <v>5</v>
      </c>
      <c r="BR401" t="n">
        <v>3</v>
      </c>
      <c r="BS401" s="56">
        <f>IF(COUNT(N401:W401)&gt;=8,AVERAGE(N401:W401),"")</f>
        <v/>
      </c>
      <c r="BT401" s="56">
        <f>IF(COUNT(X401:AE401)&gt;=7,AVERAGE(X401:AE401),"")</f>
        <v/>
      </c>
      <c r="BU401" s="56">
        <f>IF(COUNT(AF401:AM401)&gt;=7,AVERAGE(AF401:AM401),"")</f>
        <v/>
      </c>
      <c r="BV401" s="56">
        <f>IF(COUNT(AN401:AV401)&gt;=8,AVERAGE(AN401:AV401),"")</f>
        <v/>
      </c>
      <c r="BW401" s="56">
        <f>IF(COUNT(AW401:BD401)&gt;=7,AVERAGE(AW401:BD401),"")</f>
        <v/>
      </c>
      <c r="BX401" s="56">
        <f>IF(COUNT(BE401:BJ401)&gt;=5,AVERAGE(BE401:BJ401),"")</f>
        <v/>
      </c>
      <c r="BY401" s="56">
        <f>IF(COUNT(BK401:BR401)&gt;=7,AVERAGE(BK401:BR401),"")</f>
        <v/>
      </c>
    </row>
    <row r="402">
      <c r="A402" t="inlineStr">
        <is>
          <t>R371</t>
        </is>
      </c>
      <c r="B402" t="inlineStr">
        <is>
          <t>Yes</t>
        </is>
      </c>
      <c r="C402" t="inlineStr">
        <is>
          <t>Yes</t>
        </is>
      </c>
      <c r="D402" t="inlineStr">
        <is>
          <t>Female</t>
        </is>
      </c>
      <c r="E402" t="inlineStr">
        <is>
          <t>35-44</t>
        </is>
      </c>
      <c r="F402" t="inlineStr">
        <is>
          <t>Master's</t>
        </is>
      </c>
      <c r="G402" t="inlineStr">
        <is>
          <t>Fintech/payment provider</t>
        </is>
      </c>
      <c r="H402" t="inlineStr">
        <is>
          <t>Customer Experience/Service</t>
        </is>
      </c>
      <c r="I402" t="inlineStr">
        <is>
          <t>Less than 2</t>
        </is>
      </c>
      <c r="J402" t="inlineStr">
        <is>
          <t>Yes</t>
        </is>
      </c>
      <c r="K402" t="n">
        <v>2</v>
      </c>
      <c r="L402" t="inlineStr">
        <is>
          <t>Do not know</t>
        </is>
      </c>
      <c r="M402" t="inlineStr">
        <is>
          <t>Yes</t>
        </is>
      </c>
      <c r="N402" t="n">
        <v>2</v>
      </c>
      <c r="O402" t="n">
        <v>2</v>
      </c>
      <c r="P402" t="n">
        <v>3</v>
      </c>
      <c r="Q402" t="n">
        <v>3</v>
      </c>
      <c r="R402" t="n">
        <v>3</v>
      </c>
      <c r="S402" t="n">
        <v>3</v>
      </c>
      <c r="T402" t="n">
        <v>2</v>
      </c>
      <c r="U402" t="n">
        <v>3</v>
      </c>
      <c r="W402" t="n">
        <v>2</v>
      </c>
      <c r="X402" t="n">
        <v>3</v>
      </c>
      <c r="Y402" t="n">
        <v>3</v>
      </c>
      <c r="Z402" t="n">
        <v>3</v>
      </c>
      <c r="AA402" t="n">
        <v>3</v>
      </c>
      <c r="AB402" t="n">
        <v>4</v>
      </c>
      <c r="AC402" t="n">
        <v>4</v>
      </c>
      <c r="AD402" t="n">
        <v>3</v>
      </c>
      <c r="AE402" t="n">
        <v>3</v>
      </c>
      <c r="AF402" t="n">
        <v>3</v>
      </c>
      <c r="AG402" t="n">
        <v>4</v>
      </c>
      <c r="AH402" t="n">
        <v>3</v>
      </c>
      <c r="AI402" t="n">
        <v>3</v>
      </c>
      <c r="AJ402" t="n">
        <v>3</v>
      </c>
      <c r="AK402" t="n">
        <v>2</v>
      </c>
      <c r="AL402" t="n">
        <v>4</v>
      </c>
      <c r="AM402" t="n">
        <v>2</v>
      </c>
      <c r="AN402" t="n">
        <v>3</v>
      </c>
      <c r="AO402" t="n">
        <v>2</v>
      </c>
      <c r="AP402" t="n">
        <v>3</v>
      </c>
      <c r="AQ402" t="n">
        <v>1</v>
      </c>
      <c r="AR402" t="n">
        <v>2</v>
      </c>
      <c r="AS402" t="n">
        <v>2</v>
      </c>
      <c r="AT402" t="n">
        <v>2</v>
      </c>
      <c r="AU402" t="n">
        <v>2</v>
      </c>
      <c r="AV402" t="n">
        <v>2</v>
      </c>
      <c r="AW402" t="n">
        <v>2</v>
      </c>
      <c r="AX402" t="n">
        <v>1</v>
      </c>
      <c r="AY402" t="n">
        <v>2</v>
      </c>
      <c r="AZ402" t="n">
        <v>2</v>
      </c>
      <c r="BA402" t="n">
        <v>2</v>
      </c>
      <c r="BB402" t="n">
        <v>2</v>
      </c>
      <c r="BC402" t="n">
        <v>2</v>
      </c>
      <c r="BD402" t="n">
        <v>2</v>
      </c>
      <c r="BE402" t="n">
        <v>3</v>
      </c>
      <c r="BF402" t="n">
        <v>3</v>
      </c>
      <c r="BG402" t="n">
        <v>3</v>
      </c>
      <c r="BH402" t="n">
        <v>4</v>
      </c>
      <c r="BI402" t="n">
        <v>3</v>
      </c>
      <c r="BJ402" t="n">
        <v>2</v>
      </c>
      <c r="BK402" t="n">
        <v>4</v>
      </c>
      <c r="BL402" t="n">
        <v>4</v>
      </c>
      <c r="BM402" t="n">
        <v>3</v>
      </c>
      <c r="BN402" t="n">
        <v>4</v>
      </c>
      <c r="BO402" t="n">
        <v>4</v>
      </c>
      <c r="BP402" t="n">
        <v>4</v>
      </c>
      <c r="BQ402" t="n">
        <v>5</v>
      </c>
      <c r="BR402" t="n">
        <v>5</v>
      </c>
      <c r="BS402" s="56">
        <f>IF(COUNT(N402:W402)&gt;=8,AVERAGE(N402:W402),"")</f>
        <v/>
      </c>
      <c r="BT402" s="56">
        <f>IF(COUNT(X402:AE402)&gt;=7,AVERAGE(X402:AE402),"")</f>
        <v/>
      </c>
      <c r="BU402" s="56">
        <f>IF(COUNT(AF402:AM402)&gt;=7,AVERAGE(AF402:AM402),"")</f>
        <v/>
      </c>
      <c r="BV402" s="56">
        <f>IF(COUNT(AN402:AV402)&gt;=8,AVERAGE(AN402:AV402),"")</f>
        <v/>
      </c>
      <c r="BW402" s="56">
        <f>IF(COUNT(AW402:BD402)&gt;=7,AVERAGE(AW402:BD402),"")</f>
        <v/>
      </c>
      <c r="BX402" s="56">
        <f>IF(COUNT(BE402:BJ402)&gt;=5,AVERAGE(BE402:BJ402),"")</f>
        <v/>
      </c>
      <c r="BY402" s="56">
        <f>IF(COUNT(BK402:BR402)&gt;=7,AVERAGE(BK402:BR402),"")</f>
        <v/>
      </c>
    </row>
    <row r="403">
      <c r="A403" t="inlineStr">
        <is>
          <t>R372</t>
        </is>
      </c>
      <c r="B403" t="inlineStr">
        <is>
          <t>Yes</t>
        </is>
      </c>
      <c r="C403" t="inlineStr">
        <is>
          <t>Yes</t>
        </is>
      </c>
      <c r="D403" t="inlineStr">
        <is>
          <t>Male</t>
        </is>
      </c>
      <c r="E403" t="inlineStr">
        <is>
          <t>25-34</t>
        </is>
      </c>
      <c r="F403" t="inlineStr">
        <is>
          <t>Bachelor/HND</t>
        </is>
      </c>
      <c r="G403" t="inlineStr">
        <is>
          <t>Fintech/payment provider</t>
        </is>
      </c>
      <c r="H403" t="inlineStr">
        <is>
          <t>Data/Analytics/AI</t>
        </is>
      </c>
      <c r="I403" t="inlineStr">
        <is>
          <t>2-5</t>
        </is>
      </c>
      <c r="J403" t="inlineStr">
        <is>
          <t>Yes</t>
        </is>
      </c>
      <c r="K403" t="n">
        <v>4</v>
      </c>
      <c r="L403" t="inlineStr">
        <is>
          <t>Yes</t>
        </is>
      </c>
      <c r="M403" t="inlineStr">
        <is>
          <t>Yes</t>
        </is>
      </c>
      <c r="N403" t="n">
        <v>2</v>
      </c>
      <c r="O403" t="n">
        <v>2</v>
      </c>
      <c r="P403" t="n">
        <v>4</v>
      </c>
      <c r="Q403" t="n">
        <v>2</v>
      </c>
      <c r="R403" t="n">
        <v>3</v>
      </c>
      <c r="S403" t="n">
        <v>3</v>
      </c>
      <c r="T403" t="n">
        <v>2</v>
      </c>
      <c r="U403" t="n">
        <v>4</v>
      </c>
      <c r="V403" t="n">
        <v>4</v>
      </c>
      <c r="W403" t="n">
        <v>3</v>
      </c>
      <c r="X403" t="n">
        <v>4</v>
      </c>
      <c r="Y403" t="n">
        <v>4</v>
      </c>
      <c r="Z403" t="n">
        <v>4</v>
      </c>
      <c r="AA403" t="n">
        <v>4</v>
      </c>
      <c r="AB403" t="n">
        <v>4</v>
      </c>
      <c r="AC403" t="n">
        <v>5</v>
      </c>
      <c r="AD403" t="n">
        <v>4</v>
      </c>
      <c r="AF403" t="n">
        <v>3</v>
      </c>
      <c r="AG403" t="n">
        <v>4</v>
      </c>
      <c r="AH403" t="n">
        <v>3</v>
      </c>
      <c r="AI403" t="n">
        <v>4</v>
      </c>
      <c r="AJ403" t="n">
        <v>3</v>
      </c>
      <c r="AK403" t="n">
        <v>2</v>
      </c>
      <c r="AL403" t="n">
        <v>3</v>
      </c>
      <c r="AM403" t="n">
        <v>3</v>
      </c>
      <c r="AN403" t="n">
        <v>2</v>
      </c>
      <c r="AO403" t="n">
        <v>2</v>
      </c>
      <c r="AP403" t="n">
        <v>3</v>
      </c>
      <c r="AQ403" t="n">
        <v>2</v>
      </c>
      <c r="AS403" t="n">
        <v>2</v>
      </c>
      <c r="AT403" t="n">
        <v>3</v>
      </c>
      <c r="AU403" t="n">
        <v>2</v>
      </c>
      <c r="AV403" t="n">
        <v>2</v>
      </c>
      <c r="AW403" t="n">
        <v>2</v>
      </c>
      <c r="AX403" t="n">
        <v>2</v>
      </c>
      <c r="AY403" t="n">
        <v>3</v>
      </c>
      <c r="AZ403" t="n">
        <v>2</v>
      </c>
      <c r="BA403" t="n">
        <v>3</v>
      </c>
      <c r="BB403" t="n">
        <v>3</v>
      </c>
      <c r="BC403" t="n">
        <v>4</v>
      </c>
      <c r="BD403" t="n">
        <v>3</v>
      </c>
      <c r="BE403" t="n">
        <v>5</v>
      </c>
      <c r="BF403" t="n">
        <v>4</v>
      </c>
      <c r="BG403" t="n">
        <v>3</v>
      </c>
      <c r="BH403" t="n">
        <v>4</v>
      </c>
      <c r="BI403" t="n">
        <v>5</v>
      </c>
      <c r="BJ403" t="n">
        <v>3</v>
      </c>
      <c r="BK403" t="n">
        <v>4</v>
      </c>
      <c r="BL403" t="n">
        <v>4</v>
      </c>
      <c r="BM403" t="n">
        <v>5</v>
      </c>
      <c r="BN403" t="n">
        <v>4</v>
      </c>
      <c r="BO403" t="n">
        <v>4</v>
      </c>
      <c r="BP403" t="n">
        <v>3</v>
      </c>
      <c r="BQ403" t="n">
        <v>4</v>
      </c>
      <c r="BR403" t="n">
        <v>4</v>
      </c>
      <c r="BS403" s="56">
        <f>IF(COUNT(N403:W403)&gt;=8,AVERAGE(N403:W403),"")</f>
        <v/>
      </c>
      <c r="BT403" s="56">
        <f>IF(COUNT(X403:AE403)&gt;=7,AVERAGE(X403:AE403),"")</f>
        <v/>
      </c>
      <c r="BU403" s="56">
        <f>IF(COUNT(AF403:AM403)&gt;=7,AVERAGE(AF403:AM403),"")</f>
        <v/>
      </c>
      <c r="BV403" s="56">
        <f>IF(COUNT(AN403:AV403)&gt;=8,AVERAGE(AN403:AV403),"")</f>
        <v/>
      </c>
      <c r="BW403" s="56">
        <f>IF(COUNT(AW403:BD403)&gt;=7,AVERAGE(AW403:BD403),"")</f>
        <v/>
      </c>
      <c r="BX403" s="56">
        <f>IF(COUNT(BE403:BJ403)&gt;=5,AVERAGE(BE403:BJ403),"")</f>
        <v/>
      </c>
      <c r="BY403" s="56">
        <f>IF(COUNT(BK403:BR403)&gt;=7,AVERAGE(BK403:BR403),"")</f>
        <v/>
      </c>
    </row>
    <row r="404">
      <c r="A404" t="inlineStr">
        <is>
          <t>R373</t>
        </is>
      </c>
      <c r="B404" t="inlineStr">
        <is>
          <t>Yes</t>
        </is>
      </c>
      <c r="C404" t="inlineStr">
        <is>
          <t>Yes</t>
        </is>
      </c>
      <c r="D404" t="inlineStr">
        <is>
          <t>Prefer not to say</t>
        </is>
      </c>
      <c r="E404" t="inlineStr">
        <is>
          <t>18-24</t>
        </is>
      </c>
      <c r="F404" t="inlineStr">
        <is>
          <t>Master's</t>
        </is>
      </c>
      <c r="G404" t="inlineStr">
        <is>
          <t>Commercial bank</t>
        </is>
      </c>
      <c r="H404" t="inlineStr">
        <is>
          <t>Management/Strategy</t>
        </is>
      </c>
      <c r="I404" t="inlineStr">
        <is>
          <t>2-5</t>
        </is>
      </c>
      <c r="J404" t="inlineStr">
        <is>
          <t>Yes</t>
        </is>
      </c>
      <c r="K404" t="n">
        <v>4</v>
      </c>
      <c r="L404" t="inlineStr">
        <is>
          <t>Yes</t>
        </is>
      </c>
      <c r="M404" t="inlineStr">
        <is>
          <t>Yes</t>
        </is>
      </c>
      <c r="N404" t="n">
        <v>4</v>
      </c>
      <c r="O404" t="n">
        <v>2</v>
      </c>
      <c r="P404" t="n">
        <v>1</v>
      </c>
      <c r="Q404" t="n">
        <v>2</v>
      </c>
      <c r="R404" t="n">
        <v>3</v>
      </c>
      <c r="S404" t="n">
        <v>2</v>
      </c>
      <c r="T404" t="n">
        <v>1</v>
      </c>
      <c r="U404" t="n">
        <v>2</v>
      </c>
      <c r="V404" t="n">
        <v>3</v>
      </c>
      <c r="W404" t="n">
        <v>2</v>
      </c>
      <c r="X404" t="n">
        <v>4</v>
      </c>
      <c r="Y404" t="n">
        <v>4</v>
      </c>
      <c r="Z404" t="n">
        <v>4</v>
      </c>
      <c r="AA404" t="n">
        <v>3</v>
      </c>
      <c r="AB404" t="n">
        <v>4</v>
      </c>
      <c r="AC404" t="n">
        <v>4</v>
      </c>
      <c r="AD404" t="n">
        <v>3</v>
      </c>
      <c r="AE404" t="n">
        <v>4</v>
      </c>
      <c r="AF404" t="n">
        <v>3</v>
      </c>
      <c r="AG404" t="n">
        <v>1</v>
      </c>
      <c r="AH404" t="n">
        <v>1</v>
      </c>
      <c r="AI404" t="n">
        <v>3</v>
      </c>
      <c r="AJ404" t="n">
        <v>3</v>
      </c>
      <c r="AK404" t="n">
        <v>3</v>
      </c>
      <c r="AL404" t="n">
        <v>3</v>
      </c>
      <c r="AM404" t="n">
        <v>2</v>
      </c>
      <c r="AN404" t="n">
        <v>4</v>
      </c>
      <c r="AO404" t="n">
        <v>4</v>
      </c>
      <c r="AP404" t="n">
        <v>4</v>
      </c>
      <c r="AQ404" t="n">
        <v>3</v>
      </c>
      <c r="AR404" t="n">
        <v>3</v>
      </c>
      <c r="AS404" t="n">
        <v>4</v>
      </c>
      <c r="AT404" t="n">
        <v>3</v>
      </c>
      <c r="AU404" t="n">
        <v>3</v>
      </c>
      <c r="AV404" t="n">
        <v>4</v>
      </c>
      <c r="AW404" t="n">
        <v>2</v>
      </c>
      <c r="AX404" t="n">
        <v>3</v>
      </c>
      <c r="AY404" t="n">
        <v>4</v>
      </c>
      <c r="AZ404" t="n">
        <v>2</v>
      </c>
      <c r="BA404" t="n">
        <v>3</v>
      </c>
      <c r="BB404" t="n">
        <v>4</v>
      </c>
      <c r="BC404" t="n">
        <v>3</v>
      </c>
      <c r="BD404" t="n">
        <v>3</v>
      </c>
      <c r="BE404" t="n">
        <v>3</v>
      </c>
      <c r="BF404" t="n">
        <v>3</v>
      </c>
      <c r="BG404" t="n">
        <v>3</v>
      </c>
      <c r="BH404" t="n">
        <v>4</v>
      </c>
      <c r="BI404" t="n">
        <v>4</v>
      </c>
      <c r="BJ404" t="n">
        <v>3</v>
      </c>
      <c r="BK404" t="n">
        <v>3</v>
      </c>
      <c r="BL404" t="n">
        <v>3</v>
      </c>
      <c r="BM404" t="n">
        <v>3</v>
      </c>
      <c r="BN404" t="n">
        <v>2</v>
      </c>
      <c r="BO404" t="n">
        <v>2</v>
      </c>
      <c r="BP404" t="n">
        <v>3</v>
      </c>
      <c r="BQ404" t="n">
        <v>3</v>
      </c>
      <c r="BR404" t="n">
        <v>2</v>
      </c>
      <c r="BS404" s="56">
        <f>IF(COUNT(N404:W404)&gt;=8,AVERAGE(N404:W404),"")</f>
        <v/>
      </c>
      <c r="BT404" s="56">
        <f>IF(COUNT(X404:AE404)&gt;=7,AVERAGE(X404:AE404),"")</f>
        <v/>
      </c>
      <c r="BU404" s="56">
        <f>IF(COUNT(AF404:AM404)&gt;=7,AVERAGE(AF404:AM404),"")</f>
        <v/>
      </c>
      <c r="BV404" s="56">
        <f>IF(COUNT(AN404:AV404)&gt;=8,AVERAGE(AN404:AV404),"")</f>
        <v/>
      </c>
      <c r="BW404" s="56">
        <f>IF(COUNT(AW404:BD404)&gt;=7,AVERAGE(AW404:BD404),"")</f>
        <v/>
      </c>
      <c r="BX404" s="56">
        <f>IF(COUNT(BE404:BJ404)&gt;=5,AVERAGE(BE404:BJ404),"")</f>
        <v/>
      </c>
      <c r="BY404" s="56">
        <f>IF(COUNT(BK404:BR404)&gt;=7,AVERAGE(BK404:BR404),"")</f>
        <v/>
      </c>
    </row>
    <row r="405">
      <c r="A405" t="inlineStr">
        <is>
          <t>R374</t>
        </is>
      </c>
      <c r="B405" t="inlineStr">
        <is>
          <t>Yes</t>
        </is>
      </c>
      <c r="C405" t="inlineStr">
        <is>
          <t>Yes</t>
        </is>
      </c>
      <c r="D405" t="inlineStr">
        <is>
          <t>Male</t>
        </is>
      </c>
      <c r="E405" t="inlineStr">
        <is>
          <t>35-44</t>
        </is>
      </c>
      <c r="F405" t="inlineStr">
        <is>
          <t>Other</t>
        </is>
      </c>
      <c r="G405" t="inlineStr">
        <is>
          <t>Microfinance bank</t>
        </is>
      </c>
      <c r="H405" t="inlineStr">
        <is>
          <t>Digital Banking/Product</t>
        </is>
      </c>
      <c r="I405" t="inlineStr">
        <is>
          <t>16 or more</t>
        </is>
      </c>
      <c r="J405" t="inlineStr">
        <is>
          <t>Yes</t>
        </is>
      </c>
      <c r="K405" t="n">
        <v>1</v>
      </c>
      <c r="L405" t="inlineStr">
        <is>
          <t>No</t>
        </is>
      </c>
      <c r="M405" t="inlineStr">
        <is>
          <t>Yes</t>
        </is>
      </c>
      <c r="N405" t="n">
        <v>4</v>
      </c>
      <c r="O405" t="n">
        <v>4</v>
      </c>
      <c r="P405" t="n">
        <v>5</v>
      </c>
      <c r="Q405" t="n">
        <v>4</v>
      </c>
      <c r="R405" t="n">
        <v>5</v>
      </c>
      <c r="S405" t="n">
        <v>5</v>
      </c>
      <c r="T405" t="n">
        <v>4</v>
      </c>
      <c r="U405" t="n">
        <v>4</v>
      </c>
      <c r="V405" t="n">
        <v>4</v>
      </c>
      <c r="W405" t="n">
        <v>3</v>
      </c>
      <c r="X405" t="n">
        <v>2</v>
      </c>
      <c r="Y405" t="n">
        <v>2</v>
      </c>
      <c r="Z405" t="n">
        <v>3</v>
      </c>
      <c r="AA405" t="n">
        <v>2</v>
      </c>
      <c r="AB405" t="n">
        <v>2</v>
      </c>
      <c r="AC405" t="n">
        <v>3</v>
      </c>
      <c r="AD405" t="n">
        <v>2</v>
      </c>
      <c r="AE405" t="n">
        <v>3</v>
      </c>
      <c r="AG405" t="n">
        <v>3</v>
      </c>
      <c r="AH405" t="n">
        <v>3</v>
      </c>
      <c r="AI405" t="n">
        <v>3</v>
      </c>
      <c r="AJ405" t="n">
        <v>3</v>
      </c>
      <c r="AK405" t="n">
        <v>3</v>
      </c>
      <c r="AL405" t="n">
        <v>3</v>
      </c>
      <c r="AM405" t="n">
        <v>3</v>
      </c>
      <c r="AN405" t="n">
        <v>2</v>
      </c>
      <c r="AO405" t="n">
        <v>3</v>
      </c>
      <c r="AP405" t="n">
        <v>3</v>
      </c>
      <c r="AQ405" t="n">
        <v>2</v>
      </c>
      <c r="AR405" t="n">
        <v>3</v>
      </c>
      <c r="AS405" t="n">
        <v>3</v>
      </c>
      <c r="AT405" t="n">
        <v>2</v>
      </c>
      <c r="AU405" t="n">
        <v>3</v>
      </c>
      <c r="AV405" t="n">
        <v>2</v>
      </c>
      <c r="AW405" t="n">
        <v>3</v>
      </c>
      <c r="AX405" t="n">
        <v>2</v>
      </c>
      <c r="AY405" t="n">
        <v>4</v>
      </c>
      <c r="AZ405" t="n">
        <v>4</v>
      </c>
      <c r="BA405" t="n">
        <v>3</v>
      </c>
      <c r="BB405" t="n">
        <v>2</v>
      </c>
      <c r="BC405" t="n">
        <v>2</v>
      </c>
      <c r="BD405" t="n">
        <v>2</v>
      </c>
      <c r="BE405" t="n">
        <v>4</v>
      </c>
      <c r="BF405" t="n">
        <v>2</v>
      </c>
      <c r="BG405" t="n">
        <v>2</v>
      </c>
      <c r="BH405" t="n">
        <v>3</v>
      </c>
      <c r="BI405" t="n">
        <v>3</v>
      </c>
      <c r="BJ405" t="n">
        <v>3</v>
      </c>
      <c r="BK405" t="n">
        <v>3</v>
      </c>
      <c r="BL405" t="n">
        <v>3</v>
      </c>
      <c r="BM405" t="n">
        <v>4</v>
      </c>
      <c r="BN405" t="n">
        <v>4</v>
      </c>
      <c r="BO405" t="n">
        <v>2</v>
      </c>
      <c r="BP405" t="n">
        <v>2</v>
      </c>
      <c r="BQ405" t="n">
        <v>4</v>
      </c>
      <c r="BR405" t="n">
        <v>2</v>
      </c>
      <c r="BS405" s="56">
        <f>IF(COUNT(N405:W405)&gt;=8,AVERAGE(N405:W405),"")</f>
        <v/>
      </c>
      <c r="BT405" s="56">
        <f>IF(COUNT(X405:AE405)&gt;=7,AVERAGE(X405:AE405),"")</f>
        <v/>
      </c>
      <c r="BU405" s="56">
        <f>IF(COUNT(AF405:AM405)&gt;=7,AVERAGE(AF405:AM405),"")</f>
        <v/>
      </c>
      <c r="BV405" s="56">
        <f>IF(COUNT(AN405:AV405)&gt;=8,AVERAGE(AN405:AV405),"")</f>
        <v/>
      </c>
      <c r="BW405" s="56">
        <f>IF(COUNT(AW405:BD405)&gt;=7,AVERAGE(AW405:BD405),"")</f>
        <v/>
      </c>
      <c r="BX405" s="56">
        <f>IF(COUNT(BE405:BJ405)&gt;=5,AVERAGE(BE405:BJ405),"")</f>
        <v/>
      </c>
      <c r="BY405" s="56">
        <f>IF(COUNT(BK405:BR405)&gt;=7,AVERAGE(BK405:BR405),"")</f>
        <v/>
      </c>
    </row>
    <row r="406">
      <c r="A406" t="inlineStr">
        <is>
          <t>R375</t>
        </is>
      </c>
      <c r="B406" t="inlineStr">
        <is>
          <t>Yes</t>
        </is>
      </c>
      <c r="C406" t="inlineStr">
        <is>
          <t>Yes</t>
        </is>
      </c>
      <c r="D406" t="inlineStr">
        <is>
          <t>Female</t>
        </is>
      </c>
      <c r="E406" t="inlineStr">
        <is>
          <t>35-44</t>
        </is>
      </c>
      <c r="F406" t="inlineStr">
        <is>
          <t>Bachelor/HND</t>
        </is>
      </c>
      <c r="G406" t="inlineStr">
        <is>
          <t>Commercial bank</t>
        </is>
      </c>
      <c r="H406" t="inlineStr">
        <is>
          <t>Customer Experience/Service</t>
        </is>
      </c>
      <c r="I406" t="inlineStr">
        <is>
          <t>2-5</t>
        </is>
      </c>
      <c r="J406" t="inlineStr">
        <is>
          <t>Yes</t>
        </is>
      </c>
      <c r="K406" t="n">
        <v>1</v>
      </c>
      <c r="L406" t="inlineStr">
        <is>
          <t>Do not know</t>
        </is>
      </c>
      <c r="M406" t="inlineStr">
        <is>
          <t>Yes</t>
        </is>
      </c>
      <c r="N406" t="n">
        <v>1</v>
      </c>
      <c r="O406" t="n">
        <v>3</v>
      </c>
      <c r="P406" t="n">
        <v>2</v>
      </c>
      <c r="Q406" t="n">
        <v>2</v>
      </c>
      <c r="R406" t="n">
        <v>2</v>
      </c>
      <c r="S406" t="n">
        <v>3</v>
      </c>
      <c r="T406" t="n">
        <v>1</v>
      </c>
      <c r="U406" t="n">
        <v>1</v>
      </c>
      <c r="V406" t="n">
        <v>3</v>
      </c>
      <c r="W406" t="n">
        <v>1</v>
      </c>
      <c r="X406" t="n">
        <v>4</v>
      </c>
      <c r="Y406" t="n">
        <v>3</v>
      </c>
      <c r="Z406" t="n">
        <v>3</v>
      </c>
      <c r="AA406" t="n">
        <v>4</v>
      </c>
      <c r="AB406" t="n">
        <v>2</v>
      </c>
      <c r="AC406" t="n">
        <v>3</v>
      </c>
      <c r="AD406" t="n">
        <v>4</v>
      </c>
      <c r="AE406" t="n">
        <v>3</v>
      </c>
      <c r="AF406" t="n">
        <v>4</v>
      </c>
      <c r="AG406" t="n">
        <v>4</v>
      </c>
      <c r="AH406" t="n">
        <v>3</v>
      </c>
      <c r="AI406" t="n">
        <v>4</v>
      </c>
      <c r="AJ406" t="n">
        <v>4</v>
      </c>
      <c r="AK406" t="n">
        <v>4</v>
      </c>
      <c r="AL406" t="n">
        <v>4</v>
      </c>
      <c r="AM406" t="n">
        <v>4</v>
      </c>
      <c r="AN406" t="n">
        <v>3</v>
      </c>
      <c r="AO406" t="n">
        <v>4</v>
      </c>
      <c r="AP406" t="n">
        <v>3</v>
      </c>
      <c r="AQ406" t="n">
        <v>3</v>
      </c>
      <c r="AR406" t="n">
        <v>3</v>
      </c>
      <c r="AS406" t="n">
        <v>4</v>
      </c>
      <c r="AT406" t="n">
        <v>3</v>
      </c>
      <c r="AV406" t="n">
        <v>4</v>
      </c>
      <c r="AW406" t="n">
        <v>4</v>
      </c>
      <c r="AX406" t="n">
        <v>3</v>
      </c>
      <c r="AY406" t="n">
        <v>4</v>
      </c>
      <c r="AZ406" t="n">
        <v>4</v>
      </c>
      <c r="BA406" t="n">
        <v>4</v>
      </c>
      <c r="BB406" t="n">
        <v>4</v>
      </c>
      <c r="BC406" t="n">
        <v>4</v>
      </c>
      <c r="BD406" t="n">
        <v>5</v>
      </c>
      <c r="BE406" t="n">
        <v>2</v>
      </c>
      <c r="BF406" t="n">
        <v>3</v>
      </c>
      <c r="BG406" t="n">
        <v>2</v>
      </c>
      <c r="BH406" t="n">
        <v>3</v>
      </c>
      <c r="BI406" t="n">
        <v>2</v>
      </c>
      <c r="BJ406" t="n">
        <v>2</v>
      </c>
      <c r="BK406" t="n">
        <v>4</v>
      </c>
      <c r="BL406" t="n">
        <v>3</v>
      </c>
      <c r="BM406" t="n">
        <v>4</v>
      </c>
      <c r="BN406" t="n">
        <v>4</v>
      </c>
      <c r="BO406" t="n">
        <v>5</v>
      </c>
      <c r="BP406" t="n">
        <v>3</v>
      </c>
      <c r="BQ406" t="n">
        <v>4</v>
      </c>
      <c r="BR406" t="n">
        <v>4</v>
      </c>
      <c r="BS406" s="56">
        <f>IF(COUNT(N406:W406)&gt;=8,AVERAGE(N406:W406),"")</f>
        <v/>
      </c>
      <c r="BT406" s="56">
        <f>IF(COUNT(X406:AE406)&gt;=7,AVERAGE(X406:AE406),"")</f>
        <v/>
      </c>
      <c r="BU406" s="56">
        <f>IF(COUNT(AF406:AM406)&gt;=7,AVERAGE(AF406:AM406),"")</f>
        <v/>
      </c>
      <c r="BV406" s="56">
        <f>IF(COUNT(AN406:AV406)&gt;=8,AVERAGE(AN406:AV406),"")</f>
        <v/>
      </c>
      <c r="BW406" s="56">
        <f>IF(COUNT(AW406:BD406)&gt;=7,AVERAGE(AW406:BD406),"")</f>
        <v/>
      </c>
      <c r="BX406" s="56">
        <f>IF(COUNT(BE406:BJ406)&gt;=5,AVERAGE(BE406:BJ406),"")</f>
        <v/>
      </c>
      <c r="BY406" s="56">
        <f>IF(COUNT(BK406:BR406)&gt;=7,AVERAGE(BK406:BR406),"")</f>
        <v/>
      </c>
    </row>
    <row r="407">
      <c r="A407" t="inlineStr">
        <is>
          <t>R376</t>
        </is>
      </c>
      <c r="B407" t="inlineStr">
        <is>
          <t>Yes</t>
        </is>
      </c>
      <c r="C407" t="inlineStr">
        <is>
          <t>Yes</t>
        </is>
      </c>
      <c r="D407" t="inlineStr">
        <is>
          <t>Male</t>
        </is>
      </c>
      <c r="E407" t="inlineStr">
        <is>
          <t>55 or above</t>
        </is>
      </c>
      <c r="F407" t="inlineStr">
        <is>
          <t>Diploma/OND/NCE</t>
        </is>
      </c>
      <c r="G407" t="inlineStr">
        <is>
          <t>Digital bank/neobank</t>
        </is>
      </c>
      <c r="H407" t="inlineStr">
        <is>
          <t>Data/Analytics/AI</t>
        </is>
      </c>
      <c r="I407" t="inlineStr">
        <is>
          <t>2-5</t>
        </is>
      </c>
      <c r="J407" t="inlineStr">
        <is>
          <t>Yes</t>
        </is>
      </c>
      <c r="K407" t="n">
        <v>2</v>
      </c>
      <c r="L407" t="inlineStr">
        <is>
          <t>Yes</t>
        </is>
      </c>
      <c r="M407" t="inlineStr">
        <is>
          <t>Yes</t>
        </is>
      </c>
      <c r="N407" t="n">
        <v>3</v>
      </c>
      <c r="O407" t="n">
        <v>3</v>
      </c>
      <c r="P407" t="n">
        <v>3</v>
      </c>
      <c r="Q407" t="n">
        <v>3</v>
      </c>
      <c r="R407" t="n">
        <v>2</v>
      </c>
      <c r="S407" t="n">
        <v>3</v>
      </c>
      <c r="U407" t="n">
        <v>2</v>
      </c>
      <c r="V407" t="n">
        <v>4</v>
      </c>
      <c r="W407" t="n">
        <v>3</v>
      </c>
      <c r="X407" t="n">
        <v>4</v>
      </c>
      <c r="Y407" t="n">
        <v>2</v>
      </c>
      <c r="Z407" t="n">
        <v>3</v>
      </c>
      <c r="AA407" t="n">
        <v>1</v>
      </c>
      <c r="AB407" t="n">
        <v>2</v>
      </c>
      <c r="AC407" t="n">
        <v>3</v>
      </c>
      <c r="AD407" t="n">
        <v>3</v>
      </c>
      <c r="AE407" t="n">
        <v>2</v>
      </c>
      <c r="AF407" t="n">
        <v>4</v>
      </c>
      <c r="AG407" t="n">
        <v>4</v>
      </c>
      <c r="AH407" t="n">
        <v>2</v>
      </c>
      <c r="AI407" t="n">
        <v>5</v>
      </c>
      <c r="AJ407" t="n">
        <v>3</v>
      </c>
      <c r="AK407" t="n">
        <v>3</v>
      </c>
      <c r="AL407" t="n">
        <v>3</v>
      </c>
      <c r="AM407" t="n">
        <v>3</v>
      </c>
      <c r="AN407" t="n">
        <v>4</v>
      </c>
      <c r="AO407" t="n">
        <v>4</v>
      </c>
      <c r="AP407" t="n">
        <v>5</v>
      </c>
      <c r="AQ407" t="n">
        <v>3</v>
      </c>
      <c r="AR407" t="n">
        <v>5</v>
      </c>
      <c r="AS407" t="n">
        <v>4</v>
      </c>
      <c r="AT407" t="n">
        <v>3</v>
      </c>
      <c r="AU407" t="n">
        <v>4</v>
      </c>
      <c r="AV407" t="n">
        <v>4</v>
      </c>
      <c r="AW407" t="n">
        <v>3</v>
      </c>
      <c r="AX407" t="n">
        <v>4</v>
      </c>
      <c r="AY407" t="n">
        <v>3</v>
      </c>
      <c r="AZ407" t="n">
        <v>3</v>
      </c>
      <c r="BA407" t="n">
        <v>3</v>
      </c>
      <c r="BB407" t="n">
        <v>3</v>
      </c>
      <c r="BC407" t="n">
        <v>4</v>
      </c>
      <c r="BD407" t="n">
        <v>2</v>
      </c>
      <c r="BE407" t="n">
        <v>4</v>
      </c>
      <c r="BF407" t="n">
        <v>3</v>
      </c>
      <c r="BG407" t="n">
        <v>2</v>
      </c>
      <c r="BH407" t="n">
        <v>2</v>
      </c>
      <c r="BI407" t="n">
        <v>3</v>
      </c>
      <c r="BJ407" t="n">
        <v>4</v>
      </c>
      <c r="BK407" t="n">
        <v>3</v>
      </c>
      <c r="BL407" t="n">
        <v>4</v>
      </c>
      <c r="BM407" t="n">
        <v>3</v>
      </c>
      <c r="BN407" t="n">
        <v>3</v>
      </c>
      <c r="BP407" t="n">
        <v>3</v>
      </c>
      <c r="BQ407" t="n">
        <v>3</v>
      </c>
      <c r="BR407" t="n">
        <v>3</v>
      </c>
      <c r="BS407" s="56">
        <f>IF(COUNT(N407:W407)&gt;=8,AVERAGE(N407:W407),"")</f>
        <v/>
      </c>
      <c r="BT407" s="56">
        <f>IF(COUNT(X407:AE407)&gt;=7,AVERAGE(X407:AE407),"")</f>
        <v/>
      </c>
      <c r="BU407" s="56">
        <f>IF(COUNT(AF407:AM407)&gt;=7,AVERAGE(AF407:AM407),"")</f>
        <v/>
      </c>
      <c r="BV407" s="56">
        <f>IF(COUNT(AN407:AV407)&gt;=8,AVERAGE(AN407:AV407),"")</f>
        <v/>
      </c>
      <c r="BW407" s="56">
        <f>IF(COUNT(AW407:BD407)&gt;=7,AVERAGE(AW407:BD407),"")</f>
        <v/>
      </c>
      <c r="BX407" s="56">
        <f>IF(COUNT(BE407:BJ407)&gt;=5,AVERAGE(BE407:BJ407),"")</f>
        <v/>
      </c>
      <c r="BY407" s="56">
        <f>IF(COUNT(BK407:BR407)&gt;=7,AVERAGE(BK407:BR407),"")</f>
        <v/>
      </c>
    </row>
    <row r="408">
      <c r="A408" t="inlineStr">
        <is>
          <t>R377</t>
        </is>
      </c>
      <c r="B408" t="inlineStr">
        <is>
          <t>Yes</t>
        </is>
      </c>
      <c r="C408" t="inlineStr">
        <is>
          <t>Yes</t>
        </is>
      </c>
      <c r="D408" t="inlineStr">
        <is>
          <t>Male</t>
        </is>
      </c>
      <c r="E408" t="inlineStr">
        <is>
          <t>25-34</t>
        </is>
      </c>
      <c r="F408" t="inlineStr">
        <is>
          <t>Bachelor/HND</t>
        </is>
      </c>
      <c r="G408" t="inlineStr">
        <is>
          <t>Commercial bank</t>
        </is>
      </c>
      <c r="H408" t="inlineStr">
        <is>
          <t>Customer Experience/Service</t>
        </is>
      </c>
      <c r="I408" t="inlineStr">
        <is>
          <t>2-5</t>
        </is>
      </c>
      <c r="J408" t="inlineStr">
        <is>
          <t>Yes</t>
        </is>
      </c>
      <c r="K408" t="n">
        <v>2</v>
      </c>
      <c r="L408" t="inlineStr">
        <is>
          <t>No</t>
        </is>
      </c>
      <c r="M408" t="inlineStr">
        <is>
          <t>Yes</t>
        </is>
      </c>
      <c r="O408" t="n">
        <v>4</v>
      </c>
      <c r="P408" t="n">
        <v>4</v>
      </c>
      <c r="Q408" t="n">
        <v>3</v>
      </c>
      <c r="R408" t="n">
        <v>3</v>
      </c>
      <c r="S408" t="n">
        <v>3</v>
      </c>
      <c r="T408" t="n">
        <v>2</v>
      </c>
      <c r="U408" t="n">
        <v>4</v>
      </c>
      <c r="V408" t="n">
        <v>3</v>
      </c>
      <c r="W408" t="n">
        <v>3</v>
      </c>
      <c r="X408" t="n">
        <v>3</v>
      </c>
      <c r="Y408" t="n">
        <v>1</v>
      </c>
      <c r="Z408" t="n">
        <v>2</v>
      </c>
      <c r="AA408" t="n">
        <v>2</v>
      </c>
      <c r="AB408" t="n">
        <v>2</v>
      </c>
      <c r="AC408" t="n">
        <v>2</v>
      </c>
      <c r="AD408" t="n">
        <v>2</v>
      </c>
      <c r="AE408" t="n">
        <v>2</v>
      </c>
      <c r="AF408" t="n">
        <v>2</v>
      </c>
      <c r="AG408" t="n">
        <v>2</v>
      </c>
      <c r="AH408" t="n">
        <v>2</v>
      </c>
      <c r="AI408" t="n">
        <v>3</v>
      </c>
      <c r="AJ408" t="n">
        <v>2</v>
      </c>
      <c r="AK408" t="n">
        <v>3</v>
      </c>
      <c r="AL408" t="n">
        <v>3</v>
      </c>
      <c r="AM408" t="n">
        <v>2</v>
      </c>
      <c r="AN408" t="n">
        <v>3</v>
      </c>
      <c r="AO408" t="n">
        <v>2</v>
      </c>
      <c r="AP408" t="n">
        <v>3</v>
      </c>
      <c r="AQ408" t="n">
        <v>3</v>
      </c>
      <c r="AR408" t="n">
        <v>3</v>
      </c>
      <c r="AS408" t="n">
        <v>2</v>
      </c>
      <c r="AT408" t="n">
        <v>3</v>
      </c>
      <c r="AU408" t="n">
        <v>2</v>
      </c>
      <c r="AV408" t="n">
        <v>3</v>
      </c>
      <c r="AW408" t="n">
        <v>2</v>
      </c>
      <c r="AX408" t="n">
        <v>2</v>
      </c>
      <c r="AY408" t="n">
        <v>2</v>
      </c>
      <c r="AZ408" t="n">
        <v>1</v>
      </c>
      <c r="BA408" t="n">
        <v>3</v>
      </c>
      <c r="BB408" t="n">
        <v>1</v>
      </c>
      <c r="BC408" t="n">
        <v>1</v>
      </c>
      <c r="BD408" t="n">
        <v>1</v>
      </c>
      <c r="BF408" t="n">
        <v>3</v>
      </c>
      <c r="BG408" t="n">
        <v>3</v>
      </c>
      <c r="BH408" t="n">
        <v>4</v>
      </c>
      <c r="BI408" t="n">
        <v>3</v>
      </c>
      <c r="BJ408" t="n">
        <v>3</v>
      </c>
      <c r="BK408" t="n">
        <v>4</v>
      </c>
      <c r="BL408" t="n">
        <v>4</v>
      </c>
      <c r="BM408" t="n">
        <v>4</v>
      </c>
      <c r="BN408" t="n">
        <v>2</v>
      </c>
      <c r="BO408" t="n">
        <v>3</v>
      </c>
      <c r="BP408" t="n">
        <v>4</v>
      </c>
      <c r="BQ408" t="n">
        <v>3</v>
      </c>
      <c r="BR408" t="n">
        <v>3</v>
      </c>
      <c r="BS408" s="56">
        <f>IF(COUNT(N408:W408)&gt;=8,AVERAGE(N408:W408),"")</f>
        <v/>
      </c>
      <c r="BT408" s="56">
        <f>IF(COUNT(X408:AE408)&gt;=7,AVERAGE(X408:AE408),"")</f>
        <v/>
      </c>
      <c r="BU408" s="56">
        <f>IF(COUNT(AF408:AM408)&gt;=7,AVERAGE(AF408:AM408),"")</f>
        <v/>
      </c>
      <c r="BV408" s="56">
        <f>IF(COUNT(AN408:AV408)&gt;=8,AVERAGE(AN408:AV408),"")</f>
        <v/>
      </c>
      <c r="BW408" s="56">
        <f>IF(COUNT(AW408:BD408)&gt;=7,AVERAGE(AW408:BD408),"")</f>
        <v/>
      </c>
      <c r="BX408" s="56">
        <f>IF(COUNT(BE408:BJ408)&gt;=5,AVERAGE(BE408:BJ408),"")</f>
        <v/>
      </c>
      <c r="BY408" s="56">
        <f>IF(COUNT(BK408:BR408)&gt;=7,AVERAGE(BK408:BR408),"")</f>
        <v/>
      </c>
    </row>
    <row r="409">
      <c r="A409" t="inlineStr">
        <is>
          <t>R378</t>
        </is>
      </c>
      <c r="B409" t="inlineStr">
        <is>
          <t>Yes</t>
        </is>
      </c>
      <c r="C409" t="inlineStr">
        <is>
          <t>Yes</t>
        </is>
      </c>
      <c r="D409" t="inlineStr">
        <is>
          <t>Female</t>
        </is>
      </c>
      <c r="E409" t="inlineStr">
        <is>
          <t>25-34</t>
        </is>
      </c>
      <c r="F409" t="inlineStr">
        <is>
          <t>Bachelor/HND</t>
        </is>
      </c>
      <c r="G409" t="inlineStr">
        <is>
          <t>Commercial bank</t>
        </is>
      </c>
      <c r="H409" t="inlineStr">
        <is>
          <t>Digital Banking/Product</t>
        </is>
      </c>
      <c r="I409" t="inlineStr">
        <is>
          <t>11-15</t>
        </is>
      </c>
      <c r="J409" t="inlineStr">
        <is>
          <t>Yes</t>
        </is>
      </c>
      <c r="K409" t="n">
        <v>1</v>
      </c>
      <c r="L409" t="inlineStr">
        <is>
          <t>No</t>
        </is>
      </c>
      <c r="M409" t="inlineStr">
        <is>
          <t>Yes</t>
        </is>
      </c>
      <c r="N409" t="n">
        <v>3</v>
      </c>
      <c r="O409" t="n">
        <v>3</v>
      </c>
      <c r="Q409" t="n">
        <v>3</v>
      </c>
      <c r="R409" t="n">
        <v>3</v>
      </c>
      <c r="S409" t="n">
        <v>3</v>
      </c>
      <c r="T409" t="n">
        <v>2</v>
      </c>
      <c r="U409" t="n">
        <v>3</v>
      </c>
      <c r="V409" t="n">
        <v>3</v>
      </c>
      <c r="W409" t="n">
        <v>2</v>
      </c>
      <c r="X409" t="n">
        <v>3</v>
      </c>
      <c r="Y409" t="n">
        <v>3</v>
      </c>
      <c r="Z409" t="n">
        <v>3</v>
      </c>
      <c r="AA409" t="n">
        <v>4</v>
      </c>
      <c r="AB409" t="n">
        <v>2</v>
      </c>
      <c r="AC409" t="n">
        <v>4</v>
      </c>
      <c r="AD409" t="n">
        <v>4</v>
      </c>
      <c r="AE409" t="n">
        <v>3</v>
      </c>
      <c r="AF409" t="n">
        <v>1</v>
      </c>
      <c r="AG409" t="n">
        <v>2</v>
      </c>
      <c r="AH409" t="n">
        <v>2</v>
      </c>
      <c r="AI409" t="n">
        <v>3</v>
      </c>
      <c r="AJ409" t="n">
        <v>2</v>
      </c>
      <c r="AK409" t="n">
        <v>3</v>
      </c>
      <c r="AL409" t="n">
        <v>1</v>
      </c>
      <c r="AM409" t="n">
        <v>2</v>
      </c>
      <c r="AN409" t="n">
        <v>5</v>
      </c>
      <c r="AO409" t="n">
        <v>5</v>
      </c>
      <c r="AP409" t="n">
        <v>4</v>
      </c>
      <c r="AQ409" t="n">
        <v>4</v>
      </c>
      <c r="AR409" t="n">
        <v>5</v>
      </c>
      <c r="AS409" t="n">
        <v>5</v>
      </c>
      <c r="AT409" t="n">
        <v>4</v>
      </c>
      <c r="AU409" t="n">
        <v>5</v>
      </c>
      <c r="AV409" t="n">
        <v>5</v>
      </c>
      <c r="AW409" t="n">
        <v>2</v>
      </c>
      <c r="AX409" t="n">
        <v>3</v>
      </c>
      <c r="AY409" t="n">
        <v>2</v>
      </c>
      <c r="AZ409" t="n">
        <v>2</v>
      </c>
      <c r="BA409" t="n">
        <v>3</v>
      </c>
      <c r="BB409" t="n">
        <v>2</v>
      </c>
      <c r="BC409" t="n">
        <v>3</v>
      </c>
      <c r="BD409" t="n">
        <v>2</v>
      </c>
      <c r="BE409" t="n">
        <v>2</v>
      </c>
      <c r="BF409" t="n">
        <v>1</v>
      </c>
      <c r="BG409" t="n">
        <v>1</v>
      </c>
      <c r="BH409" t="n">
        <v>2</v>
      </c>
      <c r="BI409" t="n">
        <v>1</v>
      </c>
      <c r="BJ409" t="n">
        <v>2</v>
      </c>
      <c r="BK409" t="n">
        <v>2</v>
      </c>
      <c r="BL409" t="n">
        <v>3</v>
      </c>
      <c r="BM409" t="n">
        <v>4</v>
      </c>
      <c r="BN409" t="n">
        <v>2</v>
      </c>
      <c r="BO409" t="n">
        <v>3</v>
      </c>
      <c r="BP409" t="n">
        <v>2</v>
      </c>
      <c r="BQ409" t="n">
        <v>3</v>
      </c>
      <c r="BR409" t="n">
        <v>3</v>
      </c>
      <c r="BS409" s="56">
        <f>IF(COUNT(N409:W409)&gt;=8,AVERAGE(N409:W409),"")</f>
        <v/>
      </c>
      <c r="BT409" s="56">
        <f>IF(COUNT(X409:AE409)&gt;=7,AVERAGE(X409:AE409),"")</f>
        <v/>
      </c>
      <c r="BU409" s="56">
        <f>IF(COUNT(AF409:AM409)&gt;=7,AVERAGE(AF409:AM409),"")</f>
        <v/>
      </c>
      <c r="BV409" s="56">
        <f>IF(COUNT(AN409:AV409)&gt;=8,AVERAGE(AN409:AV409),"")</f>
        <v/>
      </c>
      <c r="BW409" s="56">
        <f>IF(COUNT(AW409:BD409)&gt;=7,AVERAGE(AW409:BD409),"")</f>
        <v/>
      </c>
      <c r="BX409" s="56">
        <f>IF(COUNT(BE409:BJ409)&gt;=5,AVERAGE(BE409:BJ409),"")</f>
        <v/>
      </c>
      <c r="BY409" s="56">
        <f>IF(COUNT(BK409:BR409)&gt;=7,AVERAGE(BK409:BR409),"")</f>
        <v/>
      </c>
    </row>
    <row r="410">
      <c r="A410" t="inlineStr">
        <is>
          <t>R379</t>
        </is>
      </c>
      <c r="B410" t="inlineStr">
        <is>
          <t>Yes</t>
        </is>
      </c>
      <c r="C410" t="inlineStr">
        <is>
          <t>Yes</t>
        </is>
      </c>
      <c r="D410" t="inlineStr">
        <is>
          <t>Female</t>
        </is>
      </c>
      <c r="E410" t="inlineStr">
        <is>
          <t>35-44</t>
        </is>
      </c>
      <c r="F410" t="inlineStr">
        <is>
          <t>Master's</t>
        </is>
      </c>
      <c r="G410" t="inlineStr">
        <is>
          <t>Commercial bank</t>
        </is>
      </c>
      <c r="H410" t="inlineStr">
        <is>
          <t>Digital Banking/Product</t>
        </is>
      </c>
      <c r="I410" t="inlineStr">
        <is>
          <t>2-5</t>
        </is>
      </c>
      <c r="J410" t="inlineStr">
        <is>
          <t>Yes</t>
        </is>
      </c>
      <c r="K410" t="n">
        <v>3</v>
      </c>
      <c r="L410" t="inlineStr">
        <is>
          <t>Yes</t>
        </is>
      </c>
      <c r="M410" t="inlineStr">
        <is>
          <t>Yes</t>
        </is>
      </c>
      <c r="N410" t="n">
        <v>3</v>
      </c>
      <c r="O410" t="n">
        <v>2</v>
      </c>
      <c r="P410" t="n">
        <v>3</v>
      </c>
      <c r="Q410" t="n">
        <v>2</v>
      </c>
      <c r="R410" t="n">
        <v>3</v>
      </c>
      <c r="S410" t="n">
        <v>3</v>
      </c>
      <c r="T410" t="n">
        <v>2</v>
      </c>
      <c r="U410" t="n">
        <v>3</v>
      </c>
      <c r="V410" t="n">
        <v>3</v>
      </c>
      <c r="W410" t="n">
        <v>2</v>
      </c>
      <c r="X410" t="n">
        <v>3</v>
      </c>
      <c r="Y410" t="n">
        <v>3</v>
      </c>
      <c r="Z410" t="n">
        <v>4</v>
      </c>
      <c r="AA410" t="n">
        <v>3</v>
      </c>
      <c r="AB410" t="n">
        <v>4</v>
      </c>
      <c r="AC410" t="n">
        <v>2</v>
      </c>
      <c r="AD410" t="n">
        <v>3</v>
      </c>
      <c r="AE410" t="n">
        <v>3</v>
      </c>
      <c r="AF410" t="n">
        <v>3</v>
      </c>
      <c r="AG410" t="n">
        <v>3</v>
      </c>
      <c r="AH410" t="n">
        <v>2</v>
      </c>
      <c r="AI410" t="n">
        <v>4</v>
      </c>
      <c r="AJ410" t="n">
        <v>4</v>
      </c>
      <c r="AK410" t="n">
        <v>3</v>
      </c>
      <c r="AL410" t="n">
        <v>3</v>
      </c>
      <c r="AM410" t="n">
        <v>3</v>
      </c>
      <c r="AN410" t="n">
        <v>3</v>
      </c>
      <c r="AO410" t="n">
        <v>2</v>
      </c>
      <c r="AP410" t="n">
        <v>1</v>
      </c>
      <c r="AQ410" t="n">
        <v>2</v>
      </c>
      <c r="AR410" t="n">
        <v>2</v>
      </c>
      <c r="AS410" t="n">
        <v>2</v>
      </c>
      <c r="AT410" t="n">
        <v>3</v>
      </c>
      <c r="AU410" t="n">
        <v>3</v>
      </c>
      <c r="AV410" t="n">
        <v>2</v>
      </c>
      <c r="AW410" t="n">
        <v>3</v>
      </c>
      <c r="AX410" t="n">
        <v>2</v>
      </c>
      <c r="AY410" t="n">
        <v>2</v>
      </c>
      <c r="AZ410" t="n">
        <v>2</v>
      </c>
      <c r="BA410" t="n">
        <v>3</v>
      </c>
      <c r="BB410" t="n">
        <v>2</v>
      </c>
      <c r="BC410" t="n">
        <v>2</v>
      </c>
      <c r="BD410" t="n">
        <v>3</v>
      </c>
      <c r="BE410" t="n">
        <v>3</v>
      </c>
      <c r="BF410" t="n">
        <v>4</v>
      </c>
      <c r="BG410" t="n">
        <v>2</v>
      </c>
      <c r="BH410" t="n">
        <v>2</v>
      </c>
      <c r="BI410" t="n">
        <v>1</v>
      </c>
      <c r="BJ410" t="n">
        <v>2</v>
      </c>
      <c r="BK410" t="n">
        <v>4</v>
      </c>
      <c r="BL410" t="n">
        <v>2</v>
      </c>
      <c r="BM410" t="n">
        <v>3</v>
      </c>
      <c r="BN410" t="n">
        <v>2</v>
      </c>
      <c r="BO410" t="n">
        <v>2</v>
      </c>
      <c r="BP410" t="n">
        <v>3</v>
      </c>
      <c r="BQ410" t="n">
        <v>3</v>
      </c>
      <c r="BR410" t="n">
        <v>4</v>
      </c>
      <c r="BS410" s="56">
        <f>IF(COUNT(N410:W410)&gt;=8,AVERAGE(N410:W410),"")</f>
        <v/>
      </c>
      <c r="BT410" s="56">
        <f>IF(COUNT(X410:AE410)&gt;=7,AVERAGE(X410:AE410),"")</f>
        <v/>
      </c>
      <c r="BU410" s="56">
        <f>IF(COUNT(AF410:AM410)&gt;=7,AVERAGE(AF410:AM410),"")</f>
        <v/>
      </c>
      <c r="BV410" s="56">
        <f>IF(COUNT(AN410:AV410)&gt;=8,AVERAGE(AN410:AV410),"")</f>
        <v/>
      </c>
      <c r="BW410" s="56">
        <f>IF(COUNT(AW410:BD410)&gt;=7,AVERAGE(AW410:BD410),"")</f>
        <v/>
      </c>
      <c r="BX410" s="56">
        <f>IF(COUNT(BE410:BJ410)&gt;=5,AVERAGE(BE410:BJ410),"")</f>
        <v/>
      </c>
      <c r="BY410" s="56">
        <f>IF(COUNT(BK410:BR410)&gt;=7,AVERAGE(BK410:BR410),"")</f>
        <v/>
      </c>
    </row>
    <row r="411">
      <c r="A411" t="inlineStr">
        <is>
          <t>R380</t>
        </is>
      </c>
      <c r="B411" t="inlineStr">
        <is>
          <t>Yes</t>
        </is>
      </c>
      <c r="C411" t="inlineStr">
        <is>
          <t>Yes</t>
        </is>
      </c>
      <c r="D411" t="inlineStr">
        <is>
          <t>Female</t>
        </is>
      </c>
      <c r="E411" t="inlineStr">
        <is>
          <t>45-54</t>
        </is>
      </c>
      <c r="F411" t="inlineStr">
        <is>
          <t>Bachelor/HND</t>
        </is>
      </c>
      <c r="G411" t="inlineStr">
        <is>
          <t>Commercial bank</t>
        </is>
      </c>
      <c r="H411" t="inlineStr">
        <is>
          <t>Customer Experience/Service</t>
        </is>
      </c>
      <c r="I411" t="inlineStr">
        <is>
          <t>6-10</t>
        </is>
      </c>
      <c r="J411" t="inlineStr">
        <is>
          <t>Yes</t>
        </is>
      </c>
      <c r="K411" t="n">
        <v>2</v>
      </c>
      <c r="L411" t="inlineStr">
        <is>
          <t>Yes</t>
        </is>
      </c>
      <c r="M411" t="inlineStr">
        <is>
          <t>Yes</t>
        </is>
      </c>
      <c r="N411" t="n">
        <v>2</v>
      </c>
      <c r="O411" t="n">
        <v>3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3</v>
      </c>
      <c r="V411" t="n">
        <v>3</v>
      </c>
      <c r="W411" t="n">
        <v>3</v>
      </c>
      <c r="X411" t="n">
        <v>1</v>
      </c>
      <c r="Y411" t="n">
        <v>2</v>
      </c>
      <c r="Z411" t="n">
        <v>3</v>
      </c>
      <c r="AA411" t="n">
        <v>1</v>
      </c>
      <c r="AB411" t="n">
        <v>2</v>
      </c>
      <c r="AC411" t="n">
        <v>2</v>
      </c>
      <c r="AD411" t="n">
        <v>3</v>
      </c>
      <c r="AE411" t="n">
        <v>2</v>
      </c>
      <c r="AF411" t="n">
        <v>3</v>
      </c>
      <c r="AG411" t="n">
        <v>5</v>
      </c>
      <c r="AH411" t="n">
        <v>3</v>
      </c>
      <c r="AI411" t="n">
        <v>4</v>
      </c>
      <c r="AJ411" t="n">
        <v>3</v>
      </c>
      <c r="AK411" t="n">
        <v>4</v>
      </c>
      <c r="AL411" t="n">
        <v>4</v>
      </c>
      <c r="AM411" t="n">
        <v>3</v>
      </c>
      <c r="AN411" t="n">
        <v>3</v>
      </c>
      <c r="AO411" t="n">
        <v>3</v>
      </c>
      <c r="AP411" t="n">
        <v>3</v>
      </c>
      <c r="AQ411" t="n">
        <v>3</v>
      </c>
      <c r="AR411" t="n">
        <v>3</v>
      </c>
      <c r="AS411" t="n">
        <v>3</v>
      </c>
      <c r="AT411" t="n">
        <v>3</v>
      </c>
      <c r="AU411" t="n">
        <v>3</v>
      </c>
      <c r="AV411" t="n">
        <v>4</v>
      </c>
      <c r="AW411" t="n">
        <v>2</v>
      </c>
      <c r="AX411" t="n">
        <v>2</v>
      </c>
      <c r="AY411" t="n">
        <v>2</v>
      </c>
      <c r="AZ411" t="n">
        <v>2</v>
      </c>
      <c r="BA411" t="n">
        <v>3</v>
      </c>
      <c r="BB411" t="n">
        <v>1</v>
      </c>
      <c r="BC411" t="n">
        <v>2</v>
      </c>
      <c r="BD411" t="n">
        <v>1</v>
      </c>
      <c r="BE411" t="n">
        <v>2</v>
      </c>
      <c r="BF411" t="n">
        <v>3</v>
      </c>
      <c r="BG411" t="n">
        <v>2</v>
      </c>
      <c r="BH411" t="n">
        <v>4</v>
      </c>
      <c r="BI411" t="n">
        <v>3</v>
      </c>
      <c r="BJ411" t="n">
        <v>4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2</v>
      </c>
      <c r="BR411" t="n">
        <v>1</v>
      </c>
      <c r="BS411" s="56">
        <f>IF(COUNT(N411:W411)&gt;=8,AVERAGE(N411:W411),"")</f>
        <v/>
      </c>
      <c r="BT411" s="56">
        <f>IF(COUNT(X411:AE411)&gt;=7,AVERAGE(X411:AE411),"")</f>
        <v/>
      </c>
      <c r="BU411" s="56">
        <f>IF(COUNT(AF411:AM411)&gt;=7,AVERAGE(AF411:AM411),"")</f>
        <v/>
      </c>
      <c r="BV411" s="56">
        <f>IF(COUNT(AN411:AV411)&gt;=8,AVERAGE(AN411:AV411),"")</f>
        <v/>
      </c>
      <c r="BW411" s="56">
        <f>IF(COUNT(AW411:BD411)&gt;=7,AVERAGE(AW411:BD411),"")</f>
        <v/>
      </c>
      <c r="BX411" s="56">
        <f>IF(COUNT(BE411:BJ411)&gt;=5,AVERAGE(BE411:BJ411),"")</f>
        <v/>
      </c>
      <c r="BY411" s="56">
        <f>IF(COUNT(BK411:BR411)&gt;=7,AVERAGE(BK411:BR411),"")</f>
        <v/>
      </c>
    </row>
    <row r="412">
      <c r="A412" t="inlineStr">
        <is>
          <t>R381</t>
        </is>
      </c>
      <c r="B412" t="inlineStr">
        <is>
          <t>Yes</t>
        </is>
      </c>
      <c r="C412" t="inlineStr">
        <is>
          <t>Yes</t>
        </is>
      </c>
      <c r="D412" t="inlineStr">
        <is>
          <t>Male</t>
        </is>
      </c>
      <c r="E412" t="inlineStr">
        <is>
          <t>18-24</t>
        </is>
      </c>
      <c r="F412" t="inlineStr">
        <is>
          <t>Bachelor/HND</t>
        </is>
      </c>
      <c r="G412" t="inlineStr">
        <is>
          <t>Microfinance bank</t>
        </is>
      </c>
      <c r="H412" t="inlineStr">
        <is>
          <t>Digital Banking/Product</t>
        </is>
      </c>
      <c r="I412" t="inlineStr">
        <is>
          <t>6-10</t>
        </is>
      </c>
      <c r="J412" t="inlineStr">
        <is>
          <t>Yes</t>
        </is>
      </c>
      <c r="K412" t="n">
        <v>1</v>
      </c>
      <c r="L412" t="inlineStr">
        <is>
          <t>No</t>
        </is>
      </c>
      <c r="M412" t="inlineStr">
        <is>
          <t>Yes</t>
        </is>
      </c>
      <c r="N412" t="n">
        <v>3</v>
      </c>
      <c r="O412" t="n">
        <v>4</v>
      </c>
      <c r="P412" t="n">
        <v>3</v>
      </c>
      <c r="Q412" t="n">
        <v>3</v>
      </c>
      <c r="R412" t="n">
        <v>4</v>
      </c>
      <c r="S412" t="n">
        <v>4</v>
      </c>
      <c r="T412" t="n">
        <v>3</v>
      </c>
      <c r="U412" t="n">
        <v>3</v>
      </c>
      <c r="V412" t="n">
        <v>3</v>
      </c>
      <c r="W412" t="n">
        <v>3</v>
      </c>
      <c r="X412" t="n">
        <v>4</v>
      </c>
      <c r="Y412" t="n">
        <v>4</v>
      </c>
      <c r="Z412" t="n">
        <v>4</v>
      </c>
      <c r="AA412" t="n">
        <v>4</v>
      </c>
      <c r="AB412" t="n">
        <v>3</v>
      </c>
      <c r="AC412" t="n">
        <v>4</v>
      </c>
      <c r="AD412" t="n">
        <v>4</v>
      </c>
      <c r="AE412" t="n">
        <v>4</v>
      </c>
      <c r="AF412" t="n">
        <v>3</v>
      </c>
      <c r="AG412" t="n">
        <v>4</v>
      </c>
      <c r="AH412" t="n">
        <v>2</v>
      </c>
      <c r="AI412" t="n">
        <v>4</v>
      </c>
      <c r="AK412" t="n">
        <v>5</v>
      </c>
      <c r="AL412" t="n">
        <v>3</v>
      </c>
      <c r="AM412" t="n">
        <v>4</v>
      </c>
      <c r="AN412" t="n">
        <v>3</v>
      </c>
      <c r="AO412" t="n">
        <v>1</v>
      </c>
      <c r="AP412" t="n">
        <v>2</v>
      </c>
      <c r="AQ412" t="n">
        <v>2</v>
      </c>
      <c r="AR412" t="n">
        <v>3</v>
      </c>
      <c r="AS412" t="n">
        <v>2</v>
      </c>
      <c r="AT412" t="n">
        <v>2</v>
      </c>
      <c r="AU412" t="n">
        <v>3</v>
      </c>
      <c r="AV412" t="n">
        <v>3</v>
      </c>
      <c r="AW412" t="n">
        <v>4</v>
      </c>
      <c r="AX412" t="n">
        <v>3</v>
      </c>
      <c r="AY412" t="n">
        <v>4</v>
      </c>
      <c r="AZ412" t="n">
        <v>3</v>
      </c>
      <c r="BA412" t="n">
        <v>3</v>
      </c>
      <c r="BB412" t="n">
        <v>4</v>
      </c>
      <c r="BC412" t="n">
        <v>4</v>
      </c>
      <c r="BD412" t="n">
        <v>4</v>
      </c>
      <c r="BE412" t="n">
        <v>2</v>
      </c>
      <c r="BF412" t="n">
        <v>3</v>
      </c>
      <c r="BG412" t="n">
        <v>3</v>
      </c>
      <c r="BH412" t="n">
        <v>5</v>
      </c>
      <c r="BI412" t="n">
        <v>3</v>
      </c>
      <c r="BJ412" t="n">
        <v>2</v>
      </c>
      <c r="BK412" t="n">
        <v>1</v>
      </c>
      <c r="BL412" t="n">
        <v>2</v>
      </c>
      <c r="BM412" t="n">
        <v>2</v>
      </c>
      <c r="BN412" t="n">
        <v>2</v>
      </c>
      <c r="BO412" t="n">
        <v>2</v>
      </c>
      <c r="BP412" t="n">
        <v>2</v>
      </c>
      <c r="BQ412" t="n">
        <v>2</v>
      </c>
      <c r="BR412" t="n">
        <v>1</v>
      </c>
      <c r="BS412" s="56">
        <f>IF(COUNT(N412:W412)&gt;=8,AVERAGE(N412:W412),"")</f>
        <v/>
      </c>
      <c r="BT412" s="56">
        <f>IF(COUNT(X412:AE412)&gt;=7,AVERAGE(X412:AE412),"")</f>
        <v/>
      </c>
      <c r="BU412" s="56">
        <f>IF(COUNT(AF412:AM412)&gt;=7,AVERAGE(AF412:AM412),"")</f>
        <v/>
      </c>
      <c r="BV412" s="56">
        <f>IF(COUNT(AN412:AV412)&gt;=8,AVERAGE(AN412:AV412),"")</f>
        <v/>
      </c>
      <c r="BW412" s="56">
        <f>IF(COUNT(AW412:BD412)&gt;=7,AVERAGE(AW412:BD412),"")</f>
        <v/>
      </c>
      <c r="BX412" s="56">
        <f>IF(COUNT(BE412:BJ412)&gt;=5,AVERAGE(BE412:BJ412),"")</f>
        <v/>
      </c>
      <c r="BY412" s="56">
        <f>IF(COUNT(BK412:BR412)&gt;=7,AVERAGE(BK412:BR412),"")</f>
        <v/>
      </c>
    </row>
    <row r="413">
      <c r="A413" t="inlineStr">
        <is>
          <t>R382</t>
        </is>
      </c>
      <c r="B413" t="inlineStr">
        <is>
          <t>Yes</t>
        </is>
      </c>
      <c r="C413" t="inlineStr">
        <is>
          <t>Yes</t>
        </is>
      </c>
      <c r="D413" t="inlineStr">
        <is>
          <t>Female</t>
        </is>
      </c>
      <c r="E413" t="inlineStr">
        <is>
          <t>35-44</t>
        </is>
      </c>
      <c r="F413" t="inlineStr">
        <is>
          <t>Bachelor/HND</t>
        </is>
      </c>
      <c r="G413" t="inlineStr">
        <is>
          <t>Digital bank/neobank</t>
        </is>
      </c>
      <c r="H413" t="inlineStr">
        <is>
          <t>Data/Analytics/AI</t>
        </is>
      </c>
      <c r="I413" t="inlineStr">
        <is>
          <t>6-10</t>
        </is>
      </c>
      <c r="J413" t="inlineStr">
        <is>
          <t>Yes</t>
        </is>
      </c>
      <c r="K413" t="n">
        <v>2</v>
      </c>
      <c r="L413" t="inlineStr">
        <is>
          <t>Yes</t>
        </is>
      </c>
      <c r="M413" t="inlineStr">
        <is>
          <t>Yes</t>
        </is>
      </c>
      <c r="N413" t="n">
        <v>3</v>
      </c>
      <c r="O413" t="n">
        <v>1</v>
      </c>
      <c r="P413" t="n">
        <v>3</v>
      </c>
      <c r="Q413" t="n">
        <v>2</v>
      </c>
      <c r="R413" t="n">
        <v>2</v>
      </c>
      <c r="S413" t="n">
        <v>3</v>
      </c>
      <c r="T413" t="n">
        <v>2</v>
      </c>
      <c r="U413" t="n">
        <v>3</v>
      </c>
      <c r="V413" t="n">
        <v>3</v>
      </c>
      <c r="W413" t="n">
        <v>2</v>
      </c>
      <c r="X413" t="n">
        <v>2</v>
      </c>
      <c r="Y413" t="n">
        <v>1</v>
      </c>
      <c r="Z413" t="n">
        <v>2</v>
      </c>
      <c r="AA413" t="n">
        <v>1</v>
      </c>
      <c r="AB413" t="n">
        <v>2</v>
      </c>
      <c r="AD413" t="n">
        <v>3</v>
      </c>
      <c r="AE413" t="n">
        <v>2</v>
      </c>
      <c r="AF413" t="n">
        <v>3</v>
      </c>
      <c r="AG413" t="n">
        <v>3</v>
      </c>
      <c r="AH413" t="n">
        <v>2</v>
      </c>
      <c r="AI413" t="n">
        <v>4</v>
      </c>
      <c r="AJ413" t="n">
        <v>4</v>
      </c>
      <c r="AK413" t="n">
        <v>3</v>
      </c>
      <c r="AL413" t="n">
        <v>3</v>
      </c>
      <c r="AM413" t="n">
        <v>3</v>
      </c>
      <c r="AN413" t="n">
        <v>4</v>
      </c>
      <c r="AP413" t="n">
        <v>4</v>
      </c>
      <c r="AQ413" t="n">
        <v>3</v>
      </c>
      <c r="AR413" t="n">
        <v>3</v>
      </c>
      <c r="AS413" t="n">
        <v>3</v>
      </c>
      <c r="AT413" t="n">
        <v>3</v>
      </c>
      <c r="AU413" t="n">
        <v>2</v>
      </c>
      <c r="AV413" t="n">
        <v>2</v>
      </c>
      <c r="AW413" t="n">
        <v>2</v>
      </c>
      <c r="AX413" t="n">
        <v>2</v>
      </c>
      <c r="AY413" t="n">
        <v>3</v>
      </c>
      <c r="AZ413" t="n">
        <v>1</v>
      </c>
      <c r="BA413" t="n">
        <v>2</v>
      </c>
      <c r="BB413" t="n">
        <v>3</v>
      </c>
      <c r="BC413" t="n">
        <v>2</v>
      </c>
      <c r="BD413" t="n">
        <v>3</v>
      </c>
      <c r="BE413" t="n">
        <v>2</v>
      </c>
      <c r="BF413" t="n">
        <v>3</v>
      </c>
      <c r="BG413" t="n">
        <v>2</v>
      </c>
      <c r="BH413" t="n">
        <v>3</v>
      </c>
      <c r="BI413" t="n">
        <v>3</v>
      </c>
      <c r="BJ413" t="n">
        <v>3</v>
      </c>
      <c r="BK413" t="n">
        <v>3</v>
      </c>
      <c r="BL413" t="n">
        <v>3</v>
      </c>
      <c r="BM413" t="n">
        <v>3</v>
      </c>
      <c r="BN413" t="n">
        <v>3</v>
      </c>
      <c r="BO413" t="n">
        <v>2</v>
      </c>
      <c r="BP413" t="n">
        <v>3</v>
      </c>
      <c r="BQ413" t="n">
        <v>3</v>
      </c>
      <c r="BR413" t="n">
        <v>4</v>
      </c>
      <c r="BS413" s="56">
        <f>IF(COUNT(N413:W413)&gt;=8,AVERAGE(N413:W413),"")</f>
        <v/>
      </c>
      <c r="BT413" s="56">
        <f>IF(COUNT(X413:AE413)&gt;=7,AVERAGE(X413:AE413),"")</f>
        <v/>
      </c>
      <c r="BU413" s="56">
        <f>IF(COUNT(AF413:AM413)&gt;=7,AVERAGE(AF413:AM413),"")</f>
        <v/>
      </c>
      <c r="BV413" s="56">
        <f>IF(COUNT(AN413:AV413)&gt;=8,AVERAGE(AN413:AV413),"")</f>
        <v/>
      </c>
      <c r="BW413" s="56">
        <f>IF(COUNT(AW413:BD413)&gt;=7,AVERAGE(AW413:BD413),"")</f>
        <v/>
      </c>
      <c r="BX413" s="56">
        <f>IF(COUNT(BE413:BJ413)&gt;=5,AVERAGE(BE413:BJ413),"")</f>
        <v/>
      </c>
      <c r="BY413" s="56">
        <f>IF(COUNT(BK413:BR413)&gt;=7,AVERAGE(BK413:BR413),"")</f>
        <v/>
      </c>
    </row>
    <row r="414">
      <c r="A414" t="inlineStr">
        <is>
          <t>R383</t>
        </is>
      </c>
      <c r="B414" t="inlineStr">
        <is>
          <t>Yes</t>
        </is>
      </c>
      <c r="C414" t="inlineStr">
        <is>
          <t>Yes</t>
        </is>
      </c>
      <c r="D414" t="inlineStr">
        <is>
          <t>Male</t>
        </is>
      </c>
      <c r="E414" t="inlineStr">
        <is>
          <t>35-44</t>
        </is>
      </c>
      <c r="F414" t="inlineStr">
        <is>
          <t>Postgraduate Diploma</t>
        </is>
      </c>
      <c r="G414" t="inlineStr">
        <is>
          <t>Digital bank/neobank</t>
        </is>
      </c>
      <c r="H414" t="inlineStr">
        <is>
          <t>Data/Analytics/AI</t>
        </is>
      </c>
      <c r="I414" t="inlineStr">
        <is>
          <t>16 or more</t>
        </is>
      </c>
      <c r="J414" t="inlineStr">
        <is>
          <t>Yes</t>
        </is>
      </c>
      <c r="K414" t="n">
        <v>1</v>
      </c>
      <c r="L414" t="inlineStr">
        <is>
          <t>Do not know</t>
        </is>
      </c>
      <c r="M414" t="inlineStr">
        <is>
          <t>Yes</t>
        </is>
      </c>
      <c r="N414" t="n">
        <v>4</v>
      </c>
      <c r="O414" t="n">
        <v>3</v>
      </c>
      <c r="P414" t="n">
        <v>3</v>
      </c>
      <c r="Q414" t="n">
        <v>3</v>
      </c>
      <c r="R414" t="n">
        <v>3</v>
      </c>
      <c r="S414" t="n">
        <v>3</v>
      </c>
      <c r="T414" t="n">
        <v>2</v>
      </c>
      <c r="U414" t="n">
        <v>2</v>
      </c>
      <c r="V414" t="n">
        <v>3</v>
      </c>
      <c r="W414" t="n">
        <v>3</v>
      </c>
      <c r="X414" t="n">
        <v>3</v>
      </c>
      <c r="Y414" t="n">
        <v>3</v>
      </c>
      <c r="Z414" t="n">
        <v>4</v>
      </c>
      <c r="AA414" t="n">
        <v>3</v>
      </c>
      <c r="AB414" t="n">
        <v>3</v>
      </c>
      <c r="AC414" t="n">
        <v>3</v>
      </c>
      <c r="AD414" t="n">
        <v>3</v>
      </c>
      <c r="AE414" t="n">
        <v>3</v>
      </c>
      <c r="AF414" t="n">
        <v>4</v>
      </c>
      <c r="AG414" t="n">
        <v>4</v>
      </c>
      <c r="AH414" t="n">
        <v>4</v>
      </c>
      <c r="AI414" t="n">
        <v>3</v>
      </c>
      <c r="AJ414" t="n">
        <v>4</v>
      </c>
      <c r="AK414" t="n">
        <v>3</v>
      </c>
      <c r="AL414" t="n">
        <v>4</v>
      </c>
      <c r="AM414" t="n">
        <v>2</v>
      </c>
      <c r="AN414" t="n">
        <v>3</v>
      </c>
      <c r="AO414" t="n">
        <v>4</v>
      </c>
      <c r="AP414" t="n">
        <v>3</v>
      </c>
      <c r="AQ414" t="n">
        <v>4</v>
      </c>
      <c r="AR414" t="n">
        <v>4</v>
      </c>
      <c r="AS414" t="n">
        <v>3</v>
      </c>
      <c r="AT414" t="n">
        <v>3</v>
      </c>
      <c r="AU414" t="n">
        <v>3</v>
      </c>
      <c r="AV414" t="n">
        <v>4</v>
      </c>
      <c r="AX414" t="n">
        <v>3</v>
      </c>
      <c r="AY414" t="n">
        <v>3</v>
      </c>
      <c r="AZ414" t="n">
        <v>2</v>
      </c>
      <c r="BA414" t="n">
        <v>4</v>
      </c>
      <c r="BB414" t="n">
        <v>3</v>
      </c>
      <c r="BC414" t="n">
        <v>3</v>
      </c>
      <c r="BD414" t="n">
        <v>4</v>
      </c>
      <c r="BE414" t="n">
        <v>3</v>
      </c>
      <c r="BF414" t="n">
        <v>3</v>
      </c>
      <c r="BG414" t="n">
        <v>2</v>
      </c>
      <c r="BH414" t="n">
        <v>4</v>
      </c>
      <c r="BJ414" t="n">
        <v>3</v>
      </c>
      <c r="BK414" t="n">
        <v>1</v>
      </c>
      <c r="BL414" t="n">
        <v>3</v>
      </c>
      <c r="BM414" t="n">
        <v>3</v>
      </c>
      <c r="BN414" t="n">
        <v>3</v>
      </c>
      <c r="BO414" t="n">
        <v>2</v>
      </c>
      <c r="BP414" t="n">
        <v>2</v>
      </c>
      <c r="BQ414" t="n">
        <v>3</v>
      </c>
      <c r="BR414" t="n">
        <v>2</v>
      </c>
      <c r="BS414" s="56">
        <f>IF(COUNT(N414:W414)&gt;=8,AVERAGE(N414:W414),"")</f>
        <v/>
      </c>
      <c r="BT414" s="56">
        <f>IF(COUNT(X414:AE414)&gt;=7,AVERAGE(X414:AE414),"")</f>
        <v/>
      </c>
      <c r="BU414" s="56">
        <f>IF(COUNT(AF414:AM414)&gt;=7,AVERAGE(AF414:AM414),"")</f>
        <v/>
      </c>
      <c r="BV414" s="56">
        <f>IF(COUNT(AN414:AV414)&gt;=8,AVERAGE(AN414:AV414),"")</f>
        <v/>
      </c>
      <c r="BW414" s="56">
        <f>IF(COUNT(AW414:BD414)&gt;=7,AVERAGE(AW414:BD414),"")</f>
        <v/>
      </c>
      <c r="BX414" s="56">
        <f>IF(COUNT(BE414:BJ414)&gt;=5,AVERAGE(BE414:BJ414),"")</f>
        <v/>
      </c>
      <c r="BY414" s="56">
        <f>IF(COUNT(BK414:BR414)&gt;=7,AVERAGE(BK414:BR414),"")</f>
        <v/>
      </c>
    </row>
    <row r="415">
      <c r="A415" t="inlineStr">
        <is>
          <t>R384</t>
        </is>
      </c>
      <c r="B415" t="inlineStr">
        <is>
          <t>Yes</t>
        </is>
      </c>
      <c r="C415" t="inlineStr">
        <is>
          <t>Yes</t>
        </is>
      </c>
      <c r="D415" t="inlineStr">
        <is>
          <t>Female</t>
        </is>
      </c>
      <c r="E415" t="inlineStr">
        <is>
          <t>25-34</t>
        </is>
      </c>
      <c r="F415" t="inlineStr">
        <is>
          <t>Bachelor/HND</t>
        </is>
      </c>
      <c r="G415" t="inlineStr">
        <is>
          <t>Fintech/payment provider</t>
        </is>
      </c>
      <c r="H415" t="inlineStr">
        <is>
          <t>Digital Banking/Product</t>
        </is>
      </c>
      <c r="I415" t="inlineStr">
        <is>
          <t>6-10</t>
        </is>
      </c>
      <c r="J415" t="inlineStr">
        <is>
          <t>Yes</t>
        </is>
      </c>
      <c r="K415" t="n">
        <v>1</v>
      </c>
      <c r="L415" t="inlineStr">
        <is>
          <t>No</t>
        </is>
      </c>
      <c r="M415" t="inlineStr">
        <is>
          <t>Yes</t>
        </is>
      </c>
      <c r="N415" t="n">
        <v>3</v>
      </c>
      <c r="O415" t="n">
        <v>2</v>
      </c>
      <c r="P415" t="n">
        <v>3</v>
      </c>
      <c r="Q415" t="n">
        <v>3</v>
      </c>
      <c r="R415" t="n">
        <v>2</v>
      </c>
      <c r="S415" t="n">
        <v>2</v>
      </c>
      <c r="T415" t="n">
        <v>3</v>
      </c>
      <c r="U415" t="n">
        <v>3</v>
      </c>
      <c r="V415" t="n">
        <v>3</v>
      </c>
      <c r="W415" t="n">
        <v>2</v>
      </c>
      <c r="X415" t="n">
        <v>4</v>
      </c>
      <c r="Y415" t="n">
        <v>3</v>
      </c>
      <c r="Z415" t="n">
        <v>3</v>
      </c>
      <c r="AA415" t="n">
        <v>3</v>
      </c>
      <c r="AB415" t="n">
        <v>3</v>
      </c>
      <c r="AC415" t="n">
        <v>3</v>
      </c>
      <c r="AD415" t="n">
        <v>4</v>
      </c>
      <c r="AE415" t="n">
        <v>4</v>
      </c>
      <c r="AF415" t="n">
        <v>4</v>
      </c>
      <c r="AG415" t="n">
        <v>4</v>
      </c>
      <c r="AH415" t="n">
        <v>3</v>
      </c>
      <c r="AI415" t="n">
        <v>4</v>
      </c>
      <c r="AJ415" t="n">
        <v>4</v>
      </c>
      <c r="AK415" t="n">
        <v>4</v>
      </c>
      <c r="AL415" t="n">
        <v>3</v>
      </c>
      <c r="AM415" t="n">
        <v>5</v>
      </c>
      <c r="AN415" t="n">
        <v>1</v>
      </c>
      <c r="AO415" t="n">
        <v>1</v>
      </c>
      <c r="AP415" t="n">
        <v>2</v>
      </c>
      <c r="AQ415" t="n">
        <v>2</v>
      </c>
      <c r="AR415" t="n">
        <v>3</v>
      </c>
      <c r="AS415" t="n">
        <v>2</v>
      </c>
      <c r="AT415" t="n">
        <v>2</v>
      </c>
      <c r="AU415" t="n">
        <v>2</v>
      </c>
      <c r="AV415" t="n">
        <v>3</v>
      </c>
      <c r="AW415" t="n">
        <v>3</v>
      </c>
      <c r="AX415" t="n">
        <v>3</v>
      </c>
      <c r="AY415" t="n">
        <v>4</v>
      </c>
      <c r="AZ415" t="n">
        <v>3</v>
      </c>
      <c r="BA415" t="n">
        <v>3</v>
      </c>
      <c r="BB415" t="n">
        <v>3</v>
      </c>
      <c r="BC415" t="n">
        <v>3</v>
      </c>
      <c r="BD415" t="n">
        <v>3</v>
      </c>
      <c r="BE415" t="n">
        <v>3</v>
      </c>
      <c r="BF415" t="n">
        <v>4</v>
      </c>
      <c r="BG415" t="n">
        <v>3</v>
      </c>
      <c r="BH415" t="n">
        <v>3</v>
      </c>
      <c r="BI415" t="n">
        <v>3</v>
      </c>
      <c r="BJ415" t="n">
        <v>3</v>
      </c>
      <c r="BK415" t="n">
        <v>4</v>
      </c>
      <c r="BL415" t="n">
        <v>4</v>
      </c>
      <c r="BM415" t="n">
        <v>4</v>
      </c>
      <c r="BN415" t="n">
        <v>3</v>
      </c>
      <c r="BO415" t="n">
        <v>4</v>
      </c>
      <c r="BP415" t="n">
        <v>4</v>
      </c>
      <c r="BQ415" t="n">
        <v>4</v>
      </c>
      <c r="BR415" t="n">
        <v>5</v>
      </c>
      <c r="BS415" s="56">
        <f>IF(COUNT(N415:W415)&gt;=8,AVERAGE(N415:W415),"")</f>
        <v/>
      </c>
      <c r="BT415" s="56">
        <f>IF(COUNT(X415:AE415)&gt;=7,AVERAGE(X415:AE415),"")</f>
        <v/>
      </c>
      <c r="BU415" s="56">
        <f>IF(COUNT(AF415:AM415)&gt;=7,AVERAGE(AF415:AM415),"")</f>
        <v/>
      </c>
      <c r="BV415" s="56">
        <f>IF(COUNT(AN415:AV415)&gt;=8,AVERAGE(AN415:AV415),"")</f>
        <v/>
      </c>
      <c r="BW415" s="56">
        <f>IF(COUNT(AW415:BD415)&gt;=7,AVERAGE(AW415:BD415),"")</f>
        <v/>
      </c>
      <c r="BX415" s="56">
        <f>IF(COUNT(BE415:BJ415)&gt;=5,AVERAGE(BE415:BJ415),"")</f>
        <v/>
      </c>
      <c r="BY415" s="56">
        <f>IF(COUNT(BK415:BR415)&gt;=7,AVERAGE(BK415:BR415),"")</f>
        <v/>
      </c>
    </row>
    <row r="416">
      <c r="A416" t="inlineStr">
        <is>
          <t>R385</t>
        </is>
      </c>
      <c r="B416" t="inlineStr">
        <is>
          <t>Yes</t>
        </is>
      </c>
      <c r="C416" t="inlineStr">
        <is>
          <t>Yes</t>
        </is>
      </c>
      <c r="D416" t="inlineStr">
        <is>
          <t>Female</t>
        </is>
      </c>
      <c r="E416" t="inlineStr">
        <is>
          <t>45-54</t>
        </is>
      </c>
      <c r="F416" t="inlineStr">
        <is>
          <t>Bachelor/HND</t>
        </is>
      </c>
      <c r="G416" t="inlineStr">
        <is>
          <t>Fintech/payment provider</t>
        </is>
      </c>
      <c r="H416" t="inlineStr">
        <is>
          <t>Relationship/Marketing</t>
        </is>
      </c>
      <c r="I416" t="inlineStr">
        <is>
          <t>6-10</t>
        </is>
      </c>
      <c r="J416" t="inlineStr">
        <is>
          <t>Yes</t>
        </is>
      </c>
      <c r="K416" t="n">
        <v>2</v>
      </c>
      <c r="L416" t="inlineStr">
        <is>
          <t>Yes</t>
        </is>
      </c>
      <c r="M416" t="inlineStr">
        <is>
          <t>Yes</t>
        </is>
      </c>
      <c r="N416" t="n">
        <v>3</v>
      </c>
      <c r="O416" t="n">
        <v>2</v>
      </c>
      <c r="P416" t="n">
        <v>2</v>
      </c>
      <c r="Q416" t="n">
        <v>2</v>
      </c>
      <c r="R416" t="n">
        <v>4</v>
      </c>
      <c r="S416" t="n">
        <v>3</v>
      </c>
      <c r="T416" t="n">
        <v>1</v>
      </c>
      <c r="U416" t="n">
        <v>2</v>
      </c>
      <c r="X416" t="n">
        <v>4</v>
      </c>
      <c r="Y416" t="n">
        <v>2</v>
      </c>
      <c r="Z416" t="n">
        <v>4</v>
      </c>
      <c r="AA416" t="n">
        <v>4</v>
      </c>
      <c r="AB416" t="n">
        <v>3</v>
      </c>
      <c r="AC416" t="n">
        <v>3</v>
      </c>
      <c r="AD416" t="n">
        <v>4</v>
      </c>
      <c r="AE416" t="n">
        <v>3</v>
      </c>
      <c r="AF416" t="n">
        <v>4</v>
      </c>
      <c r="AG416" t="n">
        <v>4</v>
      </c>
      <c r="AH416" t="n">
        <v>3</v>
      </c>
      <c r="AI416" t="n">
        <v>5</v>
      </c>
      <c r="AJ416" t="n">
        <v>3</v>
      </c>
      <c r="AK416" t="n">
        <v>4</v>
      </c>
      <c r="AL416" t="n">
        <v>3</v>
      </c>
      <c r="AM416" t="n">
        <v>3</v>
      </c>
      <c r="AN416" t="n">
        <v>4</v>
      </c>
      <c r="AO416" t="n">
        <v>4</v>
      </c>
      <c r="AP416" t="n">
        <v>3</v>
      </c>
      <c r="AQ416" t="n">
        <v>2</v>
      </c>
      <c r="AR416" t="n">
        <v>3</v>
      </c>
      <c r="AS416" t="n">
        <v>3</v>
      </c>
      <c r="AT416" t="n">
        <v>3</v>
      </c>
      <c r="AU416" t="n">
        <v>3</v>
      </c>
      <c r="AV416" t="n">
        <v>3</v>
      </c>
      <c r="AW416" t="n">
        <v>3</v>
      </c>
      <c r="AX416" t="n">
        <v>2</v>
      </c>
      <c r="AY416" t="n">
        <v>4</v>
      </c>
      <c r="BA416" t="n">
        <v>2</v>
      </c>
      <c r="BB416" t="n">
        <v>3</v>
      </c>
      <c r="BC416" t="n">
        <v>3</v>
      </c>
      <c r="BD416" t="n">
        <v>3</v>
      </c>
      <c r="BE416" t="n">
        <v>2</v>
      </c>
      <c r="BF416" t="n">
        <v>3</v>
      </c>
      <c r="BG416" t="n">
        <v>2</v>
      </c>
      <c r="BH416" t="n">
        <v>2</v>
      </c>
      <c r="BI416" t="n">
        <v>3</v>
      </c>
      <c r="BK416" t="n">
        <v>3</v>
      </c>
      <c r="BL416" t="n">
        <v>2</v>
      </c>
      <c r="BM416" t="n">
        <v>3</v>
      </c>
      <c r="BN416" t="n">
        <v>2</v>
      </c>
      <c r="BO416" t="n">
        <v>3</v>
      </c>
      <c r="BP416" t="n">
        <v>2</v>
      </c>
      <c r="BQ416" t="n">
        <v>4</v>
      </c>
      <c r="BR416" t="n">
        <v>2</v>
      </c>
      <c r="BS416" s="56">
        <f>IF(COUNT(N416:W416)&gt;=8,AVERAGE(N416:W416),"")</f>
        <v/>
      </c>
      <c r="BT416" s="56">
        <f>IF(COUNT(X416:AE416)&gt;=7,AVERAGE(X416:AE416),"")</f>
        <v/>
      </c>
      <c r="BU416" s="56">
        <f>IF(COUNT(AF416:AM416)&gt;=7,AVERAGE(AF416:AM416),"")</f>
        <v/>
      </c>
      <c r="BV416" s="56">
        <f>IF(COUNT(AN416:AV416)&gt;=8,AVERAGE(AN416:AV416),"")</f>
        <v/>
      </c>
      <c r="BW416" s="56">
        <f>IF(COUNT(AW416:BD416)&gt;=7,AVERAGE(AW416:BD416),"")</f>
        <v/>
      </c>
      <c r="BX416" s="56">
        <f>IF(COUNT(BE416:BJ416)&gt;=5,AVERAGE(BE416:BJ416),"")</f>
        <v/>
      </c>
      <c r="BY416" s="56">
        <f>IF(COUNT(BK416:BR416)&gt;=7,AVERAGE(BK416:BR416),"")</f>
        <v/>
      </c>
    </row>
    <row r="417">
      <c r="A417" t="inlineStr">
        <is>
          <t>R386</t>
        </is>
      </c>
      <c r="B417" t="inlineStr">
        <is>
          <t>Yes</t>
        </is>
      </c>
      <c r="C417" t="inlineStr">
        <is>
          <t>Yes</t>
        </is>
      </c>
      <c r="D417" t="inlineStr">
        <is>
          <t>Male</t>
        </is>
      </c>
      <c r="E417" t="inlineStr">
        <is>
          <t>25-34</t>
        </is>
      </c>
      <c r="F417" t="inlineStr">
        <is>
          <t>Master's</t>
        </is>
      </c>
      <c r="G417" t="inlineStr">
        <is>
          <t>Fintech/payment provider</t>
        </is>
      </c>
      <c r="H417" t="inlineStr">
        <is>
          <t>Data/Analytics/AI</t>
        </is>
      </c>
      <c r="I417" t="inlineStr">
        <is>
          <t>2-5</t>
        </is>
      </c>
      <c r="J417" t="inlineStr">
        <is>
          <t>Yes</t>
        </is>
      </c>
      <c r="K417" t="n">
        <v>1</v>
      </c>
      <c r="L417" t="inlineStr">
        <is>
          <t>No</t>
        </is>
      </c>
      <c r="M417" t="inlineStr">
        <is>
          <t>Yes</t>
        </is>
      </c>
      <c r="N417" t="n">
        <v>4</v>
      </c>
      <c r="O417" t="n">
        <v>3</v>
      </c>
      <c r="P417" t="n">
        <v>4</v>
      </c>
      <c r="Q417" t="n">
        <v>3</v>
      </c>
      <c r="S417" t="n">
        <v>2</v>
      </c>
      <c r="T417" t="n">
        <v>3</v>
      </c>
      <c r="U417" t="n">
        <v>2</v>
      </c>
      <c r="V417" t="n">
        <v>3</v>
      </c>
      <c r="W417" t="n">
        <v>3</v>
      </c>
      <c r="X417" t="n">
        <v>4</v>
      </c>
      <c r="Y417" t="n">
        <v>3</v>
      </c>
      <c r="Z417" t="n">
        <v>4</v>
      </c>
      <c r="AA417" t="n">
        <v>4</v>
      </c>
      <c r="AB417" t="n">
        <v>3</v>
      </c>
      <c r="AC417" t="n">
        <v>4</v>
      </c>
      <c r="AD417" t="n">
        <v>4</v>
      </c>
      <c r="AE417" t="n">
        <v>1</v>
      </c>
      <c r="AF417" t="n">
        <v>4</v>
      </c>
      <c r="AG417" t="n">
        <v>4</v>
      </c>
      <c r="AH417" t="n">
        <v>4</v>
      </c>
      <c r="AI417" t="n">
        <v>4</v>
      </c>
      <c r="AJ417" t="n">
        <v>3</v>
      </c>
      <c r="AK417" t="n">
        <v>4</v>
      </c>
      <c r="AL417" t="n">
        <v>4</v>
      </c>
      <c r="AM417" t="n">
        <v>3</v>
      </c>
      <c r="AN417" t="n">
        <v>5</v>
      </c>
      <c r="AO417" t="n">
        <v>4</v>
      </c>
      <c r="AP417" t="n">
        <v>5</v>
      </c>
      <c r="AQ417" t="n">
        <v>3</v>
      </c>
      <c r="AR417" t="n">
        <v>5</v>
      </c>
      <c r="AS417" t="n">
        <v>4</v>
      </c>
      <c r="AT417" t="n">
        <v>4</v>
      </c>
      <c r="AU417" t="n">
        <v>4</v>
      </c>
      <c r="AV417" t="n">
        <v>4</v>
      </c>
      <c r="AW417" t="n">
        <v>5</v>
      </c>
      <c r="AX417" t="n">
        <v>3</v>
      </c>
      <c r="AY417" t="n">
        <v>4</v>
      </c>
      <c r="AZ417" t="n">
        <v>4</v>
      </c>
      <c r="BA417" t="n">
        <v>3</v>
      </c>
      <c r="BB417" t="n">
        <v>4</v>
      </c>
      <c r="BC417" t="n">
        <v>3</v>
      </c>
      <c r="BD417" t="n">
        <v>2</v>
      </c>
      <c r="BE417" t="n">
        <v>4</v>
      </c>
      <c r="BF417" t="n">
        <v>5</v>
      </c>
      <c r="BG417" t="n">
        <v>3</v>
      </c>
      <c r="BH417" t="n">
        <v>5</v>
      </c>
      <c r="BI417" t="n">
        <v>5</v>
      </c>
      <c r="BJ417" t="n">
        <v>3</v>
      </c>
      <c r="BK417" t="n">
        <v>4</v>
      </c>
      <c r="BL417" t="n">
        <v>3</v>
      </c>
      <c r="BM417" t="n">
        <v>4</v>
      </c>
      <c r="BN417" t="n">
        <v>3</v>
      </c>
      <c r="BO417" t="n">
        <v>3</v>
      </c>
      <c r="BP417" t="n">
        <v>3</v>
      </c>
      <c r="BQ417" t="n">
        <v>4</v>
      </c>
      <c r="BS417" s="56">
        <f>IF(COUNT(N417:W417)&gt;=8,AVERAGE(N417:W417),"")</f>
        <v/>
      </c>
      <c r="BT417" s="56">
        <f>IF(COUNT(X417:AE417)&gt;=7,AVERAGE(X417:AE417),"")</f>
        <v/>
      </c>
      <c r="BU417" s="56">
        <f>IF(COUNT(AF417:AM417)&gt;=7,AVERAGE(AF417:AM417),"")</f>
        <v/>
      </c>
      <c r="BV417" s="56">
        <f>IF(COUNT(AN417:AV417)&gt;=8,AVERAGE(AN417:AV417),"")</f>
        <v/>
      </c>
      <c r="BW417" s="56">
        <f>IF(COUNT(AW417:BD417)&gt;=7,AVERAGE(AW417:BD417),"")</f>
        <v/>
      </c>
      <c r="BX417" s="56">
        <f>IF(COUNT(BE417:BJ417)&gt;=5,AVERAGE(BE417:BJ417),"")</f>
        <v/>
      </c>
      <c r="BY417" s="56">
        <f>IF(COUNT(BK417:BR417)&gt;=7,AVERAGE(BK417:BR417),"")</f>
        <v/>
      </c>
    </row>
    <row r="418">
      <c r="A418" t="inlineStr">
        <is>
          <t>R387</t>
        </is>
      </c>
      <c r="B418" t="inlineStr">
        <is>
          <t>Yes</t>
        </is>
      </c>
      <c r="C418" t="inlineStr">
        <is>
          <t>Yes</t>
        </is>
      </c>
      <c r="D418" t="inlineStr">
        <is>
          <t>Male</t>
        </is>
      </c>
      <c r="E418" t="inlineStr">
        <is>
          <t>35-44</t>
        </is>
      </c>
      <c r="F418" t="inlineStr">
        <is>
          <t>Diploma/OND/NCE</t>
        </is>
      </c>
      <c r="G418" t="inlineStr">
        <is>
          <t>Commercial bank</t>
        </is>
      </c>
      <c r="H418" t="inlineStr">
        <is>
          <t>Data/Analytics/AI</t>
        </is>
      </c>
      <c r="I418" t="inlineStr">
        <is>
          <t>2-5</t>
        </is>
      </c>
      <c r="J418" t="inlineStr">
        <is>
          <t>Yes</t>
        </is>
      </c>
      <c r="K418" t="n">
        <v>2</v>
      </c>
      <c r="L418" t="inlineStr">
        <is>
          <t>No</t>
        </is>
      </c>
      <c r="M418" t="inlineStr">
        <is>
          <t>Yes</t>
        </is>
      </c>
      <c r="N418" t="n">
        <v>3</v>
      </c>
      <c r="O418" t="n">
        <v>3</v>
      </c>
      <c r="P418" t="n">
        <v>4</v>
      </c>
      <c r="Q418" t="n">
        <v>4</v>
      </c>
      <c r="R418" t="n">
        <v>4</v>
      </c>
      <c r="S418" t="n">
        <v>4</v>
      </c>
      <c r="T418" t="n">
        <v>3</v>
      </c>
      <c r="U418" t="n">
        <v>3</v>
      </c>
      <c r="V418" t="n">
        <v>3</v>
      </c>
      <c r="W418" t="n">
        <v>3</v>
      </c>
      <c r="X418" t="n">
        <v>4</v>
      </c>
      <c r="Y418" t="n">
        <v>4</v>
      </c>
      <c r="Z418" t="n">
        <v>5</v>
      </c>
      <c r="AA418" t="n">
        <v>3</v>
      </c>
      <c r="AB418" t="n">
        <v>4</v>
      </c>
      <c r="AC418" t="n">
        <v>4</v>
      </c>
      <c r="AD418" t="n">
        <v>4</v>
      </c>
      <c r="AE418" t="n">
        <v>5</v>
      </c>
      <c r="AF418" t="n">
        <v>4</v>
      </c>
      <c r="AG418" t="n">
        <v>4</v>
      </c>
      <c r="AH418" t="n">
        <v>4</v>
      </c>
      <c r="AI418" t="n">
        <v>3</v>
      </c>
      <c r="AJ418" t="n">
        <v>3</v>
      </c>
      <c r="AK418" t="n">
        <v>4</v>
      </c>
      <c r="AL418" t="n">
        <v>3</v>
      </c>
      <c r="AM418" t="n">
        <v>3</v>
      </c>
      <c r="AN418" t="n">
        <v>3</v>
      </c>
      <c r="AO418" t="n">
        <v>2</v>
      </c>
      <c r="AP418" t="n">
        <v>2</v>
      </c>
      <c r="AQ418" t="n">
        <v>3</v>
      </c>
      <c r="AS418" t="n">
        <v>3</v>
      </c>
      <c r="AT418" t="n">
        <v>3</v>
      </c>
      <c r="AU418" t="n">
        <v>2</v>
      </c>
      <c r="AV418" t="n">
        <v>2</v>
      </c>
      <c r="AW418" t="n">
        <v>3</v>
      </c>
      <c r="AX418" t="n">
        <v>3</v>
      </c>
      <c r="AY418" t="n">
        <v>4</v>
      </c>
      <c r="AZ418" t="n">
        <v>3</v>
      </c>
      <c r="BA418" t="n">
        <v>3</v>
      </c>
      <c r="BB418" t="n">
        <v>2</v>
      </c>
      <c r="BC418" t="n">
        <v>2</v>
      </c>
      <c r="BD418" t="n">
        <v>2</v>
      </c>
      <c r="BE418" t="n">
        <v>4</v>
      </c>
      <c r="BF418" t="n">
        <v>3</v>
      </c>
      <c r="BG418" t="n">
        <v>2</v>
      </c>
      <c r="BH418" t="n">
        <v>4</v>
      </c>
      <c r="BI418" t="n">
        <v>3</v>
      </c>
      <c r="BJ418" t="n">
        <v>3</v>
      </c>
      <c r="BK418" t="n">
        <v>4</v>
      </c>
      <c r="BL418" t="n">
        <v>1</v>
      </c>
      <c r="BM418" t="n">
        <v>4</v>
      </c>
      <c r="BN418" t="n">
        <v>4</v>
      </c>
      <c r="BO418" t="n">
        <v>2</v>
      </c>
      <c r="BP418" t="n">
        <v>3</v>
      </c>
      <c r="BQ418" t="n">
        <v>3</v>
      </c>
      <c r="BR418" t="n">
        <v>3</v>
      </c>
      <c r="BS418" s="56">
        <f>IF(COUNT(N418:W418)&gt;=8,AVERAGE(N418:W418),"")</f>
        <v/>
      </c>
      <c r="BT418" s="56">
        <f>IF(COUNT(X418:AE418)&gt;=7,AVERAGE(X418:AE418),"")</f>
        <v/>
      </c>
      <c r="BU418" s="56">
        <f>IF(COUNT(AF418:AM418)&gt;=7,AVERAGE(AF418:AM418),"")</f>
        <v/>
      </c>
      <c r="BV418" s="56">
        <f>IF(COUNT(AN418:AV418)&gt;=8,AVERAGE(AN418:AV418),"")</f>
        <v/>
      </c>
      <c r="BW418" s="56">
        <f>IF(COUNT(AW418:BD418)&gt;=7,AVERAGE(AW418:BD418),"")</f>
        <v/>
      </c>
      <c r="BX418" s="56">
        <f>IF(COUNT(BE418:BJ418)&gt;=5,AVERAGE(BE418:BJ418),"")</f>
        <v/>
      </c>
      <c r="BY418" s="56">
        <f>IF(COUNT(BK418:BR418)&gt;=7,AVERAGE(BK418:BR418),"")</f>
        <v/>
      </c>
    </row>
    <row r="419">
      <c r="A419" t="inlineStr">
        <is>
          <t>R388</t>
        </is>
      </c>
      <c r="B419" t="inlineStr">
        <is>
          <t>Yes</t>
        </is>
      </c>
      <c r="C419" t="inlineStr">
        <is>
          <t>Yes</t>
        </is>
      </c>
      <c r="D419" t="inlineStr">
        <is>
          <t>Male</t>
        </is>
      </c>
      <c r="E419" t="inlineStr">
        <is>
          <t>25-34</t>
        </is>
      </c>
      <c r="F419" t="inlineStr">
        <is>
          <t>Doctorate</t>
        </is>
      </c>
      <c r="G419" t="inlineStr">
        <is>
          <t>Commercial bank</t>
        </is>
      </c>
      <c r="H419" t="inlineStr">
        <is>
          <t>Customer Experience/Service</t>
        </is>
      </c>
      <c r="I419" t="inlineStr">
        <is>
          <t>Less than 2</t>
        </is>
      </c>
      <c r="J419" t="inlineStr">
        <is>
          <t>Yes</t>
        </is>
      </c>
      <c r="K419" t="n">
        <v>2</v>
      </c>
      <c r="L419" t="inlineStr">
        <is>
          <t>Yes</t>
        </is>
      </c>
      <c r="M419" t="inlineStr">
        <is>
          <t>Yes</t>
        </is>
      </c>
      <c r="N419" t="n">
        <v>2</v>
      </c>
      <c r="O419" t="n">
        <v>3</v>
      </c>
      <c r="P419" t="n">
        <v>2</v>
      </c>
      <c r="Q419" t="n">
        <v>4</v>
      </c>
      <c r="R419" t="n">
        <v>3</v>
      </c>
      <c r="S419" t="n">
        <v>3</v>
      </c>
      <c r="T419" t="n">
        <v>3</v>
      </c>
      <c r="U419" t="n">
        <v>2</v>
      </c>
      <c r="V419" t="n">
        <v>3</v>
      </c>
      <c r="W419" t="n">
        <v>4</v>
      </c>
      <c r="X419" t="n">
        <v>3</v>
      </c>
      <c r="Y419" t="n">
        <v>2</v>
      </c>
      <c r="Z419" t="n">
        <v>4</v>
      </c>
      <c r="AA419" t="n">
        <v>1</v>
      </c>
      <c r="AB419" t="n">
        <v>2</v>
      </c>
      <c r="AC419" t="n">
        <v>2</v>
      </c>
      <c r="AD419" t="n">
        <v>4</v>
      </c>
      <c r="AE419" t="n">
        <v>2</v>
      </c>
      <c r="AF419" t="n">
        <v>3</v>
      </c>
      <c r="AG419" t="n">
        <v>4</v>
      </c>
      <c r="AH419" t="n">
        <v>3</v>
      </c>
      <c r="AI419" t="n">
        <v>3</v>
      </c>
      <c r="AJ419" t="n">
        <v>3</v>
      </c>
      <c r="AK419" t="n">
        <v>2</v>
      </c>
      <c r="AL419" t="n">
        <v>4</v>
      </c>
      <c r="AM419" t="n">
        <v>4</v>
      </c>
      <c r="AN419" t="n">
        <v>4</v>
      </c>
      <c r="AO419" t="n">
        <v>3</v>
      </c>
      <c r="AP419" t="n">
        <v>4</v>
      </c>
      <c r="AQ419" t="n">
        <v>2</v>
      </c>
      <c r="AR419" t="n">
        <v>4</v>
      </c>
      <c r="AS419" t="n">
        <v>3</v>
      </c>
      <c r="AT419" t="n">
        <v>3</v>
      </c>
      <c r="AU419" t="n">
        <v>2</v>
      </c>
      <c r="AV419" t="n">
        <v>3</v>
      </c>
      <c r="AW419" t="n">
        <v>3</v>
      </c>
      <c r="AX419" t="n">
        <v>2</v>
      </c>
      <c r="AY419" t="n">
        <v>3</v>
      </c>
      <c r="AZ419" t="n">
        <v>3</v>
      </c>
      <c r="BA419" t="n">
        <v>3</v>
      </c>
      <c r="BB419" t="n">
        <v>3</v>
      </c>
      <c r="BC419" t="n">
        <v>2</v>
      </c>
      <c r="BD419" t="n">
        <v>2</v>
      </c>
      <c r="BE419" t="n">
        <v>2</v>
      </c>
      <c r="BF419" t="n">
        <v>3</v>
      </c>
      <c r="BG419" t="n">
        <v>2</v>
      </c>
      <c r="BH419" t="n">
        <v>3</v>
      </c>
      <c r="BI419" t="n">
        <v>2</v>
      </c>
      <c r="BJ419" t="n">
        <v>2</v>
      </c>
      <c r="BK419" t="n">
        <v>4</v>
      </c>
      <c r="BL419" t="n">
        <v>2</v>
      </c>
      <c r="BM419" t="n">
        <v>4</v>
      </c>
      <c r="BN419" t="n">
        <v>3</v>
      </c>
      <c r="BO419" t="n">
        <v>4</v>
      </c>
      <c r="BP419" t="n">
        <v>4</v>
      </c>
      <c r="BQ419" t="n">
        <v>4</v>
      </c>
      <c r="BR419" t="n">
        <v>2</v>
      </c>
      <c r="BS419" s="56">
        <f>IF(COUNT(N419:W419)&gt;=8,AVERAGE(N419:W419),"")</f>
        <v/>
      </c>
      <c r="BT419" s="56">
        <f>IF(COUNT(X419:AE419)&gt;=7,AVERAGE(X419:AE419),"")</f>
        <v/>
      </c>
      <c r="BU419" s="56">
        <f>IF(COUNT(AF419:AM419)&gt;=7,AVERAGE(AF419:AM419),"")</f>
        <v/>
      </c>
      <c r="BV419" s="56">
        <f>IF(COUNT(AN419:AV419)&gt;=8,AVERAGE(AN419:AV419),"")</f>
        <v/>
      </c>
      <c r="BW419" s="56">
        <f>IF(COUNT(AW419:BD419)&gt;=7,AVERAGE(AW419:BD419),"")</f>
        <v/>
      </c>
      <c r="BX419" s="56">
        <f>IF(COUNT(BE419:BJ419)&gt;=5,AVERAGE(BE419:BJ419),"")</f>
        <v/>
      </c>
      <c r="BY419" s="56">
        <f>IF(COUNT(BK419:BR419)&gt;=7,AVERAGE(BK419:BR419),"")</f>
        <v/>
      </c>
    </row>
    <row r="420">
      <c r="A420" t="inlineStr">
        <is>
          <t>R389</t>
        </is>
      </c>
      <c r="B420" t="inlineStr">
        <is>
          <t>Yes</t>
        </is>
      </c>
      <c r="C420" t="inlineStr">
        <is>
          <t>Yes</t>
        </is>
      </c>
      <c r="D420" t="inlineStr">
        <is>
          <t>Male</t>
        </is>
      </c>
      <c r="E420" t="inlineStr">
        <is>
          <t>35-44</t>
        </is>
      </c>
      <c r="F420" t="inlineStr">
        <is>
          <t>Postgraduate Diploma</t>
        </is>
      </c>
      <c r="G420" t="inlineStr">
        <is>
          <t>Commercial bank</t>
        </is>
      </c>
      <c r="H420" t="inlineStr">
        <is>
          <t>Data/Analytics/AI</t>
        </is>
      </c>
      <c r="I420" t="inlineStr">
        <is>
          <t>2-5</t>
        </is>
      </c>
      <c r="J420" t="inlineStr">
        <is>
          <t>Yes</t>
        </is>
      </c>
      <c r="K420" t="n">
        <v>3</v>
      </c>
      <c r="L420" t="inlineStr">
        <is>
          <t>Yes</t>
        </is>
      </c>
      <c r="M420" t="inlineStr">
        <is>
          <t>Yes</t>
        </is>
      </c>
      <c r="N420" t="n">
        <v>2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3</v>
      </c>
      <c r="W420" t="n">
        <v>3</v>
      </c>
      <c r="X420" t="n">
        <v>4</v>
      </c>
      <c r="Y420" t="n">
        <v>2</v>
      </c>
      <c r="Z420" t="n">
        <v>3</v>
      </c>
      <c r="AA420" t="n">
        <v>2</v>
      </c>
      <c r="AB420" t="n">
        <v>3</v>
      </c>
      <c r="AC420" t="n">
        <v>3</v>
      </c>
      <c r="AE420" t="n">
        <v>4</v>
      </c>
      <c r="AF420" t="n">
        <v>2</v>
      </c>
      <c r="AG420" t="n">
        <v>2</v>
      </c>
      <c r="AH420" t="n">
        <v>3</v>
      </c>
      <c r="AI420" t="n">
        <v>3</v>
      </c>
      <c r="AJ420" t="n">
        <v>3</v>
      </c>
      <c r="AK420" t="n">
        <v>3</v>
      </c>
      <c r="AL420" t="n">
        <v>3</v>
      </c>
      <c r="AM420" t="n">
        <v>4</v>
      </c>
      <c r="AN420" t="n">
        <v>4</v>
      </c>
      <c r="AO420" t="n">
        <v>4</v>
      </c>
      <c r="AP420" t="n">
        <v>3</v>
      </c>
      <c r="AQ420" t="n">
        <v>3</v>
      </c>
      <c r="AR420" t="n">
        <v>4</v>
      </c>
      <c r="AS420" t="n">
        <v>3</v>
      </c>
      <c r="AT420" t="n">
        <v>3</v>
      </c>
      <c r="AU420" t="n">
        <v>3</v>
      </c>
      <c r="AV420" t="n">
        <v>4</v>
      </c>
      <c r="AW420" t="n">
        <v>4</v>
      </c>
      <c r="AX420" t="n">
        <v>2</v>
      </c>
      <c r="AY420" t="n">
        <v>3</v>
      </c>
      <c r="AZ420" t="n">
        <v>2</v>
      </c>
      <c r="BA420" t="n">
        <v>3</v>
      </c>
      <c r="BB420" t="n">
        <v>4</v>
      </c>
      <c r="BC420" t="n">
        <v>3</v>
      </c>
      <c r="BD420" t="n">
        <v>2</v>
      </c>
      <c r="BE420" t="n">
        <v>3</v>
      </c>
      <c r="BF420" t="n">
        <v>3</v>
      </c>
      <c r="BG420" t="n">
        <v>2</v>
      </c>
      <c r="BH420" t="n">
        <v>3</v>
      </c>
      <c r="BI420" t="n">
        <v>3</v>
      </c>
      <c r="BK420" t="n">
        <v>4</v>
      </c>
      <c r="BL420" t="n">
        <v>3</v>
      </c>
      <c r="BM420" t="n">
        <v>2</v>
      </c>
      <c r="BN420" t="n">
        <v>2</v>
      </c>
      <c r="BO420" t="n">
        <v>3</v>
      </c>
      <c r="BP420" t="n">
        <v>3</v>
      </c>
      <c r="BQ420" t="n">
        <v>3</v>
      </c>
      <c r="BR420" t="n">
        <v>2</v>
      </c>
      <c r="BS420" s="56">
        <f>IF(COUNT(N420:W420)&gt;=8,AVERAGE(N420:W420),"")</f>
        <v/>
      </c>
      <c r="BT420" s="56">
        <f>IF(COUNT(X420:AE420)&gt;=7,AVERAGE(X420:AE420),"")</f>
        <v/>
      </c>
      <c r="BU420" s="56">
        <f>IF(COUNT(AF420:AM420)&gt;=7,AVERAGE(AF420:AM420),"")</f>
        <v/>
      </c>
      <c r="BV420" s="56">
        <f>IF(COUNT(AN420:AV420)&gt;=8,AVERAGE(AN420:AV420),"")</f>
        <v/>
      </c>
      <c r="BW420" s="56">
        <f>IF(COUNT(AW420:BD420)&gt;=7,AVERAGE(AW420:BD420),"")</f>
        <v/>
      </c>
      <c r="BX420" s="56">
        <f>IF(COUNT(BE420:BJ420)&gt;=5,AVERAGE(BE420:BJ420),"")</f>
        <v/>
      </c>
      <c r="BY420" s="56">
        <f>IF(COUNT(BK420:BR420)&gt;=7,AVERAGE(BK420:BR420),"")</f>
        <v/>
      </c>
    </row>
    <row r="421">
      <c r="A421" t="inlineStr">
        <is>
          <t>R390</t>
        </is>
      </c>
      <c r="B421" t="inlineStr">
        <is>
          <t>Yes</t>
        </is>
      </c>
      <c r="C421" t="inlineStr">
        <is>
          <t>Yes</t>
        </is>
      </c>
      <c r="D421" t="inlineStr">
        <is>
          <t>Male</t>
        </is>
      </c>
      <c r="E421" t="inlineStr">
        <is>
          <t>45-54</t>
        </is>
      </c>
      <c r="F421" t="inlineStr">
        <is>
          <t>Master's</t>
        </is>
      </c>
      <c r="G421" t="inlineStr">
        <is>
          <t>Microfinance bank</t>
        </is>
      </c>
      <c r="H421" t="inlineStr">
        <is>
          <t>IT/Technology</t>
        </is>
      </c>
      <c r="I421" t="inlineStr">
        <is>
          <t>2-5</t>
        </is>
      </c>
      <c r="J421" t="inlineStr">
        <is>
          <t>Yes</t>
        </is>
      </c>
      <c r="K421" t="n">
        <v>4</v>
      </c>
      <c r="L421" t="inlineStr">
        <is>
          <t>Yes</t>
        </is>
      </c>
      <c r="M421" t="inlineStr">
        <is>
          <t>Yes</t>
        </is>
      </c>
      <c r="N421" t="n">
        <v>3</v>
      </c>
      <c r="O421" t="n">
        <v>3</v>
      </c>
      <c r="P421" t="n">
        <v>4</v>
      </c>
      <c r="Q421" t="n">
        <v>3</v>
      </c>
      <c r="R421" t="n">
        <v>3</v>
      </c>
      <c r="S421" t="n">
        <v>5</v>
      </c>
      <c r="T421" t="n">
        <v>3</v>
      </c>
      <c r="U421" t="n">
        <v>3</v>
      </c>
      <c r="V421" t="n">
        <v>3</v>
      </c>
      <c r="W421" t="n">
        <v>2</v>
      </c>
      <c r="X421" t="n">
        <v>5</v>
      </c>
      <c r="Y421" t="n">
        <v>5</v>
      </c>
      <c r="Z421" t="n">
        <v>5</v>
      </c>
      <c r="AA421" t="n">
        <v>4</v>
      </c>
      <c r="AB421" t="n">
        <v>5</v>
      </c>
      <c r="AC421" t="n">
        <v>5</v>
      </c>
      <c r="AD421" t="n">
        <v>4</v>
      </c>
      <c r="AE421" t="n">
        <v>5</v>
      </c>
      <c r="AF421" t="n">
        <v>3</v>
      </c>
      <c r="AG421" t="n">
        <v>4</v>
      </c>
      <c r="AH421" t="n">
        <v>3</v>
      </c>
      <c r="AI421" t="n">
        <v>4</v>
      </c>
      <c r="AJ421" t="n">
        <v>3</v>
      </c>
      <c r="AK421" t="n">
        <v>5</v>
      </c>
      <c r="AL421" t="n">
        <v>3</v>
      </c>
      <c r="AM421" t="n">
        <v>3</v>
      </c>
      <c r="AN421" t="n">
        <v>4</v>
      </c>
      <c r="AO421" t="n">
        <v>3</v>
      </c>
      <c r="AP421" t="n">
        <v>3</v>
      </c>
      <c r="AQ421" t="n">
        <v>2</v>
      </c>
      <c r="AR421" t="n">
        <v>4</v>
      </c>
      <c r="AS421" t="n">
        <v>2</v>
      </c>
      <c r="AT421" t="n">
        <v>4</v>
      </c>
      <c r="AU421" t="n">
        <v>3</v>
      </c>
      <c r="AV421" t="n">
        <v>3</v>
      </c>
      <c r="AW421" t="n">
        <v>5</v>
      </c>
      <c r="AX421" t="n">
        <v>4</v>
      </c>
      <c r="AY421" t="n">
        <v>5</v>
      </c>
      <c r="AZ421" t="n">
        <v>4</v>
      </c>
      <c r="BA421" t="n">
        <v>5</v>
      </c>
      <c r="BB421" t="n">
        <v>5</v>
      </c>
      <c r="BC421" t="n">
        <v>5</v>
      </c>
      <c r="BD421" t="n">
        <v>5</v>
      </c>
      <c r="BE421" t="n">
        <v>4</v>
      </c>
      <c r="BF421" t="n">
        <v>4</v>
      </c>
      <c r="BG421" t="n">
        <v>4</v>
      </c>
      <c r="BH421" t="n">
        <v>4</v>
      </c>
      <c r="BI421" t="n">
        <v>5</v>
      </c>
      <c r="BJ421" t="n">
        <v>4</v>
      </c>
      <c r="BK421" t="n">
        <v>1</v>
      </c>
      <c r="BL421" t="n">
        <v>2</v>
      </c>
      <c r="BM421" t="n">
        <v>3</v>
      </c>
      <c r="BN421" t="n">
        <v>3</v>
      </c>
      <c r="BO421" t="n">
        <v>4</v>
      </c>
      <c r="BP421" t="n">
        <v>3</v>
      </c>
      <c r="BQ421" t="n">
        <v>3</v>
      </c>
      <c r="BR421" t="n">
        <v>2</v>
      </c>
      <c r="BS421" s="56">
        <f>IF(COUNT(N421:W421)&gt;=8,AVERAGE(N421:W421),"")</f>
        <v/>
      </c>
      <c r="BT421" s="56">
        <f>IF(COUNT(X421:AE421)&gt;=7,AVERAGE(X421:AE421),"")</f>
        <v/>
      </c>
      <c r="BU421" s="56">
        <f>IF(COUNT(AF421:AM421)&gt;=7,AVERAGE(AF421:AM421),"")</f>
        <v/>
      </c>
      <c r="BV421" s="56">
        <f>IF(COUNT(AN421:AV421)&gt;=8,AVERAGE(AN421:AV421),"")</f>
        <v/>
      </c>
      <c r="BW421" s="56">
        <f>IF(COUNT(AW421:BD421)&gt;=7,AVERAGE(AW421:BD421),"")</f>
        <v/>
      </c>
      <c r="BX421" s="56">
        <f>IF(COUNT(BE421:BJ421)&gt;=5,AVERAGE(BE421:BJ421),"")</f>
        <v/>
      </c>
      <c r="BY421" s="56">
        <f>IF(COUNT(BK421:BR421)&gt;=7,AVERAGE(BK421:BR421),"")</f>
        <v/>
      </c>
    </row>
    <row r="422">
      <c r="A422" t="inlineStr">
        <is>
          <t>R391</t>
        </is>
      </c>
      <c r="B422" t="inlineStr">
        <is>
          <t>Yes</t>
        </is>
      </c>
      <c r="C422" t="inlineStr">
        <is>
          <t>Yes</t>
        </is>
      </c>
      <c r="D422" t="inlineStr">
        <is>
          <t>Female</t>
        </is>
      </c>
      <c r="E422" t="inlineStr">
        <is>
          <t>25-34</t>
        </is>
      </c>
      <c r="F422" t="inlineStr">
        <is>
          <t>Master's</t>
        </is>
      </c>
      <c r="G422" t="inlineStr">
        <is>
          <t>Digital bank/neobank</t>
        </is>
      </c>
      <c r="H422" t="inlineStr">
        <is>
          <t>Management/Strategy</t>
        </is>
      </c>
      <c r="I422" t="inlineStr">
        <is>
          <t>6-10</t>
        </is>
      </c>
      <c r="J422" t="inlineStr">
        <is>
          <t>Yes</t>
        </is>
      </c>
      <c r="K422" t="n">
        <v>1</v>
      </c>
      <c r="L422" t="inlineStr">
        <is>
          <t>No</t>
        </is>
      </c>
      <c r="M422" t="inlineStr">
        <is>
          <t>Yes</t>
        </is>
      </c>
      <c r="N422" t="n">
        <v>4</v>
      </c>
      <c r="O422" t="n">
        <v>5</v>
      </c>
      <c r="P422" t="n">
        <v>4</v>
      </c>
      <c r="Q422" t="n">
        <v>4</v>
      </c>
      <c r="R422" t="n">
        <v>4</v>
      </c>
      <c r="S422" t="n">
        <v>4</v>
      </c>
      <c r="T422" t="n">
        <v>3</v>
      </c>
      <c r="U422" t="n">
        <v>5</v>
      </c>
      <c r="V422" t="n">
        <v>4</v>
      </c>
      <c r="W422" t="n">
        <v>3</v>
      </c>
      <c r="X422" t="n">
        <v>2</v>
      </c>
      <c r="Y422" t="n">
        <v>2</v>
      </c>
      <c r="Z422" t="n">
        <v>3</v>
      </c>
      <c r="AA422" t="n">
        <v>1</v>
      </c>
      <c r="AB422" t="n">
        <v>3</v>
      </c>
      <c r="AC422" t="n">
        <v>1</v>
      </c>
      <c r="AD422" t="n">
        <v>3</v>
      </c>
      <c r="AE422" t="n">
        <v>3</v>
      </c>
      <c r="AF422" t="n">
        <v>3</v>
      </c>
      <c r="AG422" t="n">
        <v>3</v>
      </c>
      <c r="AH422" t="n">
        <v>3</v>
      </c>
      <c r="AI422" t="n">
        <v>4</v>
      </c>
      <c r="AJ422" t="n">
        <v>5</v>
      </c>
      <c r="AL422" t="n">
        <v>4</v>
      </c>
      <c r="AM422" t="n">
        <v>4</v>
      </c>
      <c r="AN422" t="n">
        <v>3</v>
      </c>
      <c r="AO422" t="n">
        <v>4</v>
      </c>
      <c r="AP422" t="n">
        <v>4</v>
      </c>
      <c r="AQ422" t="n">
        <v>3</v>
      </c>
      <c r="AR422" t="n">
        <v>4</v>
      </c>
      <c r="AS422" t="n">
        <v>3</v>
      </c>
      <c r="AT422" t="n">
        <v>4</v>
      </c>
      <c r="AU422" t="n">
        <v>4</v>
      </c>
      <c r="AV422" t="n">
        <v>3</v>
      </c>
      <c r="AW422" t="n">
        <v>2</v>
      </c>
      <c r="AX422" t="n">
        <v>3</v>
      </c>
      <c r="AZ422" t="n">
        <v>3</v>
      </c>
      <c r="BA422" t="n">
        <v>3</v>
      </c>
      <c r="BB422" t="n">
        <v>3</v>
      </c>
      <c r="BC422" t="n">
        <v>4</v>
      </c>
      <c r="BD422" t="n">
        <v>3</v>
      </c>
      <c r="BE422" t="n">
        <v>2</v>
      </c>
      <c r="BF422" t="n">
        <v>2</v>
      </c>
      <c r="BG422" t="n">
        <v>2</v>
      </c>
      <c r="BH422" t="n">
        <v>3</v>
      </c>
      <c r="BI422" t="n">
        <v>4</v>
      </c>
      <c r="BJ422" t="n">
        <v>2</v>
      </c>
      <c r="BK422" t="n">
        <v>3</v>
      </c>
      <c r="BL422" t="n">
        <v>3</v>
      </c>
      <c r="BM422" t="n">
        <v>3</v>
      </c>
      <c r="BN422" t="n">
        <v>2</v>
      </c>
      <c r="BO422" t="n">
        <v>2</v>
      </c>
      <c r="BP422" t="n">
        <v>3</v>
      </c>
      <c r="BQ422" t="n">
        <v>4</v>
      </c>
      <c r="BR422" t="n">
        <v>3</v>
      </c>
      <c r="BS422" s="56">
        <f>IF(COUNT(N422:W422)&gt;=8,AVERAGE(N422:W422),"")</f>
        <v/>
      </c>
      <c r="BT422" s="56">
        <f>IF(COUNT(X422:AE422)&gt;=7,AVERAGE(X422:AE422),"")</f>
        <v/>
      </c>
      <c r="BU422" s="56">
        <f>IF(COUNT(AF422:AM422)&gt;=7,AVERAGE(AF422:AM422),"")</f>
        <v/>
      </c>
      <c r="BV422" s="56">
        <f>IF(COUNT(AN422:AV422)&gt;=8,AVERAGE(AN422:AV422),"")</f>
        <v/>
      </c>
      <c r="BW422" s="56">
        <f>IF(COUNT(AW422:BD422)&gt;=7,AVERAGE(AW422:BD422),"")</f>
        <v/>
      </c>
      <c r="BX422" s="56">
        <f>IF(COUNT(BE422:BJ422)&gt;=5,AVERAGE(BE422:BJ422),"")</f>
        <v/>
      </c>
      <c r="BY422" s="56">
        <f>IF(COUNT(BK422:BR422)&gt;=7,AVERAGE(BK422:BR422),"")</f>
        <v/>
      </c>
    </row>
    <row r="423">
      <c r="A423" t="inlineStr">
        <is>
          <t>R392</t>
        </is>
      </c>
      <c r="B423" t="inlineStr">
        <is>
          <t>Yes</t>
        </is>
      </c>
      <c r="C423" t="inlineStr">
        <is>
          <t>Yes</t>
        </is>
      </c>
      <c r="D423" t="inlineStr">
        <is>
          <t>Female</t>
        </is>
      </c>
      <c r="E423" t="inlineStr">
        <is>
          <t>45-54</t>
        </is>
      </c>
      <c r="F423" t="inlineStr">
        <is>
          <t>Bachelor/HND</t>
        </is>
      </c>
      <c r="G423" t="inlineStr">
        <is>
          <t>Insurance/investment/other licensed financial institution</t>
        </is>
      </c>
      <c r="H423" t="inlineStr">
        <is>
          <t>Management/Strategy</t>
        </is>
      </c>
      <c r="I423" t="inlineStr">
        <is>
          <t>6-10</t>
        </is>
      </c>
      <c r="J423" t="inlineStr">
        <is>
          <t>Yes</t>
        </is>
      </c>
      <c r="K423" t="n">
        <v>0</v>
      </c>
      <c r="L423" t="inlineStr">
        <is>
          <t>No</t>
        </is>
      </c>
      <c r="M423" t="inlineStr">
        <is>
          <t>Yes</t>
        </is>
      </c>
      <c r="N423" t="n">
        <v>3</v>
      </c>
      <c r="O423" t="n">
        <v>2</v>
      </c>
      <c r="P423" t="n">
        <v>2</v>
      </c>
      <c r="Q423" t="n">
        <v>2</v>
      </c>
      <c r="R423" t="n">
        <v>2</v>
      </c>
      <c r="S423" t="n">
        <v>4</v>
      </c>
      <c r="T423" t="n">
        <v>3</v>
      </c>
      <c r="U423" t="n">
        <v>3</v>
      </c>
      <c r="V423" t="n">
        <v>4</v>
      </c>
      <c r="W423" t="n">
        <v>2</v>
      </c>
      <c r="X423" t="n">
        <v>3</v>
      </c>
      <c r="Y423" t="n">
        <v>2</v>
      </c>
      <c r="Z423" t="n">
        <v>3</v>
      </c>
      <c r="AA423" t="n">
        <v>2</v>
      </c>
      <c r="AB423" t="n">
        <v>2</v>
      </c>
      <c r="AC423" t="n">
        <v>3</v>
      </c>
      <c r="AD423" t="n">
        <v>3</v>
      </c>
      <c r="AE423" t="n">
        <v>2</v>
      </c>
      <c r="AF423" t="n">
        <v>3</v>
      </c>
      <c r="AG423" t="n">
        <v>3</v>
      </c>
      <c r="AH423" t="n">
        <v>3</v>
      </c>
      <c r="AI423" t="n">
        <v>3</v>
      </c>
      <c r="AJ423" t="n">
        <v>2</v>
      </c>
      <c r="AK423" t="n">
        <v>4</v>
      </c>
      <c r="AL423" t="n">
        <v>3</v>
      </c>
      <c r="AM423" t="n">
        <v>3</v>
      </c>
      <c r="AN423" t="n">
        <v>3</v>
      </c>
      <c r="AO423" t="n">
        <v>3</v>
      </c>
      <c r="AP423" t="n">
        <v>4</v>
      </c>
      <c r="AQ423" t="n">
        <v>1</v>
      </c>
      <c r="AR423" t="n">
        <v>4</v>
      </c>
      <c r="AS423" t="n">
        <v>3</v>
      </c>
      <c r="AT423" t="n">
        <v>3</v>
      </c>
      <c r="AU423" t="n">
        <v>3</v>
      </c>
      <c r="AV423" t="n">
        <v>3</v>
      </c>
      <c r="AW423" t="n">
        <v>3</v>
      </c>
      <c r="AX423" t="n">
        <v>2</v>
      </c>
      <c r="AY423" t="n">
        <v>2</v>
      </c>
      <c r="AZ423" t="n">
        <v>2</v>
      </c>
      <c r="BA423" t="n">
        <v>2</v>
      </c>
      <c r="BB423" t="n">
        <v>2</v>
      </c>
      <c r="BC423" t="n">
        <v>2</v>
      </c>
      <c r="BD423" t="n">
        <v>2</v>
      </c>
      <c r="BE423" t="n">
        <v>2</v>
      </c>
      <c r="BF423" t="n">
        <v>2</v>
      </c>
      <c r="BG423" t="n">
        <v>1</v>
      </c>
      <c r="BH423" t="n">
        <v>3</v>
      </c>
      <c r="BI423" t="n">
        <v>3</v>
      </c>
      <c r="BJ423" t="n">
        <v>1</v>
      </c>
      <c r="BK423" t="n">
        <v>3</v>
      </c>
      <c r="BL423" t="n">
        <v>2</v>
      </c>
      <c r="BM423" t="n">
        <v>3</v>
      </c>
      <c r="BN423" t="n">
        <v>3</v>
      </c>
      <c r="BO423" t="n">
        <v>4</v>
      </c>
      <c r="BP423" t="n">
        <v>3</v>
      </c>
      <c r="BQ423" t="n">
        <v>2</v>
      </c>
      <c r="BR423" t="n">
        <v>3</v>
      </c>
      <c r="BS423" s="56">
        <f>IF(COUNT(N423:W423)&gt;=8,AVERAGE(N423:W423),"")</f>
        <v/>
      </c>
      <c r="BT423" s="56">
        <f>IF(COUNT(X423:AE423)&gt;=7,AVERAGE(X423:AE423),"")</f>
        <v/>
      </c>
      <c r="BU423" s="56">
        <f>IF(COUNT(AF423:AM423)&gt;=7,AVERAGE(AF423:AM423),"")</f>
        <v/>
      </c>
      <c r="BV423" s="56">
        <f>IF(COUNT(AN423:AV423)&gt;=8,AVERAGE(AN423:AV423),"")</f>
        <v/>
      </c>
      <c r="BW423" s="56">
        <f>IF(COUNT(AW423:BD423)&gt;=7,AVERAGE(AW423:BD423),"")</f>
        <v/>
      </c>
      <c r="BX423" s="56">
        <f>IF(COUNT(BE423:BJ423)&gt;=5,AVERAGE(BE423:BJ423),"")</f>
        <v/>
      </c>
      <c r="BY423" s="56">
        <f>IF(COUNT(BK423:BR423)&gt;=7,AVERAGE(BK423:BR423),"")</f>
        <v/>
      </c>
    </row>
    <row r="424">
      <c r="A424" t="inlineStr">
        <is>
          <t>R393</t>
        </is>
      </c>
      <c r="B424" t="inlineStr">
        <is>
          <t>Yes</t>
        </is>
      </c>
      <c r="C424" t="inlineStr">
        <is>
          <t>Yes</t>
        </is>
      </c>
      <c r="D424" t="inlineStr">
        <is>
          <t>Female</t>
        </is>
      </c>
      <c r="E424" t="inlineStr">
        <is>
          <t>45-54</t>
        </is>
      </c>
      <c r="F424" t="inlineStr">
        <is>
          <t>Doctorate</t>
        </is>
      </c>
      <c r="G424" t="inlineStr">
        <is>
          <t>Digital bank/neobank</t>
        </is>
      </c>
      <c r="H424" t="inlineStr">
        <is>
          <t>IT/Technology</t>
        </is>
      </c>
      <c r="I424" t="inlineStr">
        <is>
          <t>6-10</t>
        </is>
      </c>
      <c r="J424" t="inlineStr">
        <is>
          <t>Yes</t>
        </is>
      </c>
      <c r="K424" t="n">
        <v>1</v>
      </c>
      <c r="L424" t="inlineStr">
        <is>
          <t>Do not know</t>
        </is>
      </c>
      <c r="M424" t="inlineStr">
        <is>
          <t>Yes</t>
        </is>
      </c>
      <c r="N424" t="n">
        <v>3</v>
      </c>
      <c r="O424" t="n">
        <v>3</v>
      </c>
      <c r="P424" t="n">
        <v>3</v>
      </c>
      <c r="Q424" t="n">
        <v>2</v>
      </c>
      <c r="R424" t="n">
        <v>2</v>
      </c>
      <c r="S424" t="n">
        <v>3</v>
      </c>
      <c r="T424" t="n">
        <v>4</v>
      </c>
      <c r="U424" t="n">
        <v>3</v>
      </c>
      <c r="V424" t="n">
        <v>5</v>
      </c>
      <c r="W424" t="n">
        <v>3</v>
      </c>
      <c r="X424" t="n">
        <v>2</v>
      </c>
      <c r="Y424" t="n">
        <v>1</v>
      </c>
      <c r="Z424" t="n">
        <v>2</v>
      </c>
      <c r="AA424" t="n">
        <v>1</v>
      </c>
      <c r="AB424" t="n">
        <v>2</v>
      </c>
      <c r="AC424" t="n">
        <v>2</v>
      </c>
      <c r="AD424" t="n">
        <v>2</v>
      </c>
      <c r="AE424" t="n">
        <v>1</v>
      </c>
      <c r="AF424" t="n">
        <v>2</v>
      </c>
      <c r="AG424" t="n">
        <v>3</v>
      </c>
      <c r="AH424" t="n">
        <v>2</v>
      </c>
      <c r="AI424" t="n">
        <v>3</v>
      </c>
      <c r="AK424" t="n">
        <v>2</v>
      </c>
      <c r="AL424" t="n">
        <v>2</v>
      </c>
      <c r="AM424" t="n">
        <v>2</v>
      </c>
      <c r="AN424" t="n">
        <v>2</v>
      </c>
      <c r="AO424" t="n">
        <v>2</v>
      </c>
      <c r="AP424" t="n">
        <v>2</v>
      </c>
      <c r="AQ424" t="n">
        <v>2</v>
      </c>
      <c r="AR424" t="n">
        <v>2</v>
      </c>
      <c r="AS424" t="n">
        <v>3</v>
      </c>
      <c r="AT424" t="n">
        <v>3</v>
      </c>
      <c r="AU424" t="n">
        <v>1</v>
      </c>
      <c r="AV424" t="n">
        <v>3</v>
      </c>
      <c r="AW424" t="n">
        <v>2</v>
      </c>
      <c r="AX424" t="n">
        <v>2</v>
      </c>
      <c r="BA424" t="n">
        <v>2</v>
      </c>
      <c r="BB424" t="n">
        <v>2</v>
      </c>
      <c r="BC424" t="n">
        <v>2</v>
      </c>
      <c r="BD424" t="n">
        <v>2</v>
      </c>
      <c r="BE424" t="n">
        <v>3</v>
      </c>
      <c r="BF424" t="n">
        <v>3</v>
      </c>
      <c r="BG424" t="n">
        <v>2</v>
      </c>
      <c r="BH424" t="n">
        <v>3</v>
      </c>
      <c r="BI424" t="n">
        <v>2</v>
      </c>
      <c r="BJ424" t="n">
        <v>3</v>
      </c>
      <c r="BK424" t="n">
        <v>4</v>
      </c>
      <c r="BL424" t="n">
        <v>2</v>
      </c>
      <c r="BM424" t="n">
        <v>3</v>
      </c>
      <c r="BN424" t="n">
        <v>2</v>
      </c>
      <c r="BO424" t="n">
        <v>2</v>
      </c>
      <c r="BP424" t="n">
        <v>2</v>
      </c>
      <c r="BQ424" t="n">
        <v>3</v>
      </c>
      <c r="BR424" t="n">
        <v>3</v>
      </c>
      <c r="BS424" s="56">
        <f>IF(COUNT(N424:W424)&gt;=8,AVERAGE(N424:W424),"")</f>
        <v/>
      </c>
      <c r="BT424" s="56">
        <f>IF(COUNT(X424:AE424)&gt;=7,AVERAGE(X424:AE424),"")</f>
        <v/>
      </c>
      <c r="BU424" s="56">
        <f>IF(COUNT(AF424:AM424)&gt;=7,AVERAGE(AF424:AM424),"")</f>
        <v/>
      </c>
      <c r="BV424" s="56">
        <f>IF(COUNT(AN424:AV424)&gt;=8,AVERAGE(AN424:AV424),"")</f>
        <v/>
      </c>
      <c r="BW424" s="56">
        <f>IF(COUNT(AW424:BD424)&gt;=7,AVERAGE(AW424:BD424),"")</f>
        <v/>
      </c>
      <c r="BX424" s="56">
        <f>IF(COUNT(BE424:BJ424)&gt;=5,AVERAGE(BE424:BJ424),"")</f>
        <v/>
      </c>
      <c r="BY424" s="56">
        <f>IF(COUNT(BK424:BR424)&gt;=7,AVERAGE(BK424:BR424),"")</f>
        <v/>
      </c>
    </row>
    <row r="425">
      <c r="A425" t="inlineStr">
        <is>
          <t>R394</t>
        </is>
      </c>
      <c r="B425" t="inlineStr">
        <is>
          <t>Yes</t>
        </is>
      </c>
      <c r="C425" t="inlineStr">
        <is>
          <t>Yes</t>
        </is>
      </c>
      <c r="D425" t="inlineStr">
        <is>
          <t>Male</t>
        </is>
      </c>
      <c r="E425" t="inlineStr">
        <is>
          <t>35-44</t>
        </is>
      </c>
      <c r="F425" t="inlineStr">
        <is>
          <t>Master's</t>
        </is>
      </c>
      <c r="G425" t="inlineStr">
        <is>
          <t>Commercial bank</t>
        </is>
      </c>
      <c r="H425" t="inlineStr">
        <is>
          <t>Relationship/Marketing</t>
        </is>
      </c>
      <c r="I425" t="inlineStr">
        <is>
          <t>Less than 2</t>
        </is>
      </c>
      <c r="J425" t="inlineStr">
        <is>
          <t>Yes</t>
        </is>
      </c>
      <c r="K425" t="n">
        <v>3</v>
      </c>
      <c r="L425" t="inlineStr">
        <is>
          <t>Yes</t>
        </is>
      </c>
      <c r="M425" t="inlineStr">
        <is>
          <t>Yes</t>
        </is>
      </c>
      <c r="N425" t="n">
        <v>3</v>
      </c>
      <c r="O425" t="n">
        <v>3</v>
      </c>
      <c r="P425" t="n">
        <v>3</v>
      </c>
      <c r="Q425" t="n">
        <v>1</v>
      </c>
      <c r="R425" t="n">
        <v>3</v>
      </c>
      <c r="S425" t="n">
        <v>2</v>
      </c>
      <c r="T425" t="n">
        <v>1</v>
      </c>
      <c r="U425" t="n">
        <v>2</v>
      </c>
      <c r="V425" t="n">
        <v>1</v>
      </c>
      <c r="W425" t="n">
        <v>1</v>
      </c>
      <c r="X425" t="n">
        <v>4</v>
      </c>
      <c r="Y425" t="n">
        <v>4</v>
      </c>
      <c r="Z425" t="n">
        <v>5</v>
      </c>
      <c r="AA425" t="n">
        <v>2</v>
      </c>
      <c r="AB425" t="n">
        <v>3</v>
      </c>
      <c r="AC425" t="n">
        <v>3</v>
      </c>
      <c r="AD425" t="n">
        <v>4</v>
      </c>
      <c r="AE425" t="n">
        <v>4</v>
      </c>
      <c r="AF425" t="n">
        <v>2</v>
      </c>
      <c r="AG425" t="n">
        <v>3</v>
      </c>
      <c r="AH425" t="n">
        <v>4</v>
      </c>
      <c r="AI425" t="n">
        <v>2</v>
      </c>
      <c r="AJ425" t="n">
        <v>2</v>
      </c>
      <c r="AK425" t="n">
        <v>3</v>
      </c>
      <c r="AL425" t="n">
        <v>3</v>
      </c>
      <c r="AM425" t="n">
        <v>3</v>
      </c>
      <c r="AN425" t="n">
        <v>4</v>
      </c>
      <c r="AO425" t="n">
        <v>3</v>
      </c>
      <c r="AP425" t="n">
        <v>4</v>
      </c>
      <c r="AQ425" t="n">
        <v>3</v>
      </c>
      <c r="AR425" t="n">
        <v>4</v>
      </c>
      <c r="AS425" t="n">
        <v>3</v>
      </c>
      <c r="AT425" t="n">
        <v>3</v>
      </c>
      <c r="AU425" t="n">
        <v>3</v>
      </c>
      <c r="AV425" t="n">
        <v>5</v>
      </c>
      <c r="AW425" t="n">
        <v>4</v>
      </c>
      <c r="AX425" t="n">
        <v>4</v>
      </c>
      <c r="AY425" t="n">
        <v>4</v>
      </c>
      <c r="AZ425" t="n">
        <v>3</v>
      </c>
      <c r="BA425" t="n">
        <v>4</v>
      </c>
      <c r="BB425" t="n">
        <v>4</v>
      </c>
      <c r="BC425" t="n">
        <v>4</v>
      </c>
      <c r="BD425" t="n">
        <v>4</v>
      </c>
      <c r="BE425" t="n">
        <v>2</v>
      </c>
      <c r="BF425" t="n">
        <v>2</v>
      </c>
      <c r="BG425" t="n">
        <v>2</v>
      </c>
      <c r="BH425" t="n">
        <v>3</v>
      </c>
      <c r="BI425" t="n">
        <v>3</v>
      </c>
      <c r="BJ425" t="n">
        <v>3</v>
      </c>
      <c r="BK425" t="n">
        <v>4</v>
      </c>
      <c r="BM425" t="n">
        <v>5</v>
      </c>
      <c r="BN425" t="n">
        <v>3</v>
      </c>
      <c r="BO425" t="n">
        <v>4</v>
      </c>
      <c r="BP425" t="n">
        <v>3</v>
      </c>
      <c r="BQ425" t="n">
        <v>5</v>
      </c>
      <c r="BR425" t="n">
        <v>4</v>
      </c>
      <c r="BS425" s="56">
        <f>IF(COUNT(N425:W425)&gt;=8,AVERAGE(N425:W425),"")</f>
        <v/>
      </c>
      <c r="BT425" s="56">
        <f>IF(COUNT(X425:AE425)&gt;=7,AVERAGE(X425:AE425),"")</f>
        <v/>
      </c>
      <c r="BU425" s="56">
        <f>IF(COUNT(AF425:AM425)&gt;=7,AVERAGE(AF425:AM425),"")</f>
        <v/>
      </c>
      <c r="BV425" s="56">
        <f>IF(COUNT(AN425:AV425)&gt;=8,AVERAGE(AN425:AV425),"")</f>
        <v/>
      </c>
      <c r="BW425" s="56">
        <f>IF(COUNT(AW425:BD425)&gt;=7,AVERAGE(AW425:BD425),"")</f>
        <v/>
      </c>
      <c r="BX425" s="56">
        <f>IF(COUNT(BE425:BJ425)&gt;=5,AVERAGE(BE425:BJ425),"")</f>
        <v/>
      </c>
      <c r="BY425" s="56">
        <f>IF(COUNT(BK425:BR425)&gt;=7,AVERAGE(BK425:BR425),"")</f>
        <v/>
      </c>
    </row>
    <row r="426">
      <c r="A426" t="inlineStr">
        <is>
          <t>R395</t>
        </is>
      </c>
      <c r="B426" t="inlineStr">
        <is>
          <t>Yes</t>
        </is>
      </c>
      <c r="C426" t="inlineStr">
        <is>
          <t>Yes</t>
        </is>
      </c>
      <c r="D426" t="inlineStr">
        <is>
          <t>Female</t>
        </is>
      </c>
      <c r="E426" t="inlineStr">
        <is>
          <t>25-34</t>
        </is>
      </c>
      <c r="F426" t="inlineStr">
        <is>
          <t>Master's</t>
        </is>
      </c>
      <c r="G426" t="inlineStr">
        <is>
          <t>Fintech/payment provider</t>
        </is>
      </c>
      <c r="H426" t="inlineStr">
        <is>
          <t>Management/Strategy</t>
        </is>
      </c>
      <c r="I426" t="inlineStr">
        <is>
          <t>Less than 2</t>
        </is>
      </c>
      <c r="J426" t="inlineStr">
        <is>
          <t>Yes</t>
        </is>
      </c>
      <c r="K426" t="n">
        <v>2</v>
      </c>
      <c r="L426" t="inlineStr">
        <is>
          <t>Yes</t>
        </is>
      </c>
      <c r="M426" t="inlineStr">
        <is>
          <t>Yes</t>
        </is>
      </c>
      <c r="N426" t="n">
        <v>4</v>
      </c>
      <c r="O426" t="n">
        <v>3</v>
      </c>
      <c r="P426" t="n">
        <v>3</v>
      </c>
      <c r="Q426" t="n">
        <v>2</v>
      </c>
      <c r="S426" t="n">
        <v>3</v>
      </c>
      <c r="T426" t="n">
        <v>3</v>
      </c>
      <c r="U426" t="n">
        <v>2</v>
      </c>
      <c r="V426" t="n">
        <v>2</v>
      </c>
      <c r="W426" t="n">
        <v>3</v>
      </c>
      <c r="X426" t="n">
        <v>3</v>
      </c>
      <c r="Y426" t="n">
        <v>3</v>
      </c>
      <c r="Z426" t="n">
        <v>3</v>
      </c>
      <c r="AA426" t="n">
        <v>1</v>
      </c>
      <c r="AB426" t="n">
        <v>3</v>
      </c>
      <c r="AC426" t="n">
        <v>4</v>
      </c>
      <c r="AD426" t="n">
        <v>4</v>
      </c>
      <c r="AE426" t="n">
        <v>2</v>
      </c>
      <c r="AF426" t="n">
        <v>2</v>
      </c>
      <c r="AG426" t="n">
        <v>2</v>
      </c>
      <c r="AH426" t="n">
        <v>1</v>
      </c>
      <c r="AI426" t="n">
        <v>2</v>
      </c>
      <c r="AJ426" t="n">
        <v>1</v>
      </c>
      <c r="AK426" t="n">
        <v>2</v>
      </c>
      <c r="AL426" t="n">
        <v>3</v>
      </c>
      <c r="AM426" t="n">
        <v>1</v>
      </c>
      <c r="AN426" t="n">
        <v>3</v>
      </c>
      <c r="AO426" t="n">
        <v>2</v>
      </c>
      <c r="AP426" t="n">
        <v>2</v>
      </c>
      <c r="AQ426" t="n">
        <v>2</v>
      </c>
      <c r="AR426" t="n">
        <v>3</v>
      </c>
      <c r="AS426" t="n">
        <v>3</v>
      </c>
      <c r="AT426" t="n">
        <v>3</v>
      </c>
      <c r="AU426" t="n">
        <v>3</v>
      </c>
      <c r="AV426" t="n">
        <v>1</v>
      </c>
      <c r="AW426" t="n">
        <v>1</v>
      </c>
      <c r="AX426" t="n">
        <v>1</v>
      </c>
      <c r="AY426" t="n">
        <v>2</v>
      </c>
      <c r="AZ426" t="n">
        <v>2</v>
      </c>
      <c r="BA426" t="n">
        <v>2</v>
      </c>
      <c r="BB426" t="n">
        <v>3</v>
      </c>
      <c r="BC426" t="n">
        <v>2</v>
      </c>
      <c r="BD426" t="n">
        <v>2</v>
      </c>
      <c r="BE426" t="n">
        <v>3</v>
      </c>
      <c r="BF426" t="n">
        <v>4</v>
      </c>
      <c r="BG426" t="n">
        <v>3</v>
      </c>
      <c r="BH426" t="n">
        <v>4</v>
      </c>
      <c r="BI426" t="n">
        <v>3</v>
      </c>
      <c r="BK426" t="n">
        <v>3</v>
      </c>
      <c r="BL426" t="n">
        <v>3</v>
      </c>
      <c r="BM426" t="n">
        <v>4</v>
      </c>
      <c r="BN426" t="n">
        <v>2</v>
      </c>
      <c r="BO426" t="n">
        <v>3</v>
      </c>
      <c r="BP426" t="n">
        <v>3</v>
      </c>
      <c r="BQ426" t="n">
        <v>3</v>
      </c>
      <c r="BR426" t="n">
        <v>3</v>
      </c>
      <c r="BS426" s="56">
        <f>IF(COUNT(N426:W426)&gt;=8,AVERAGE(N426:W426),"")</f>
        <v/>
      </c>
      <c r="BT426" s="56">
        <f>IF(COUNT(X426:AE426)&gt;=7,AVERAGE(X426:AE426),"")</f>
        <v/>
      </c>
      <c r="BU426" s="56">
        <f>IF(COUNT(AF426:AM426)&gt;=7,AVERAGE(AF426:AM426),"")</f>
        <v/>
      </c>
      <c r="BV426" s="56">
        <f>IF(COUNT(AN426:AV426)&gt;=8,AVERAGE(AN426:AV426),"")</f>
        <v/>
      </c>
      <c r="BW426" s="56">
        <f>IF(COUNT(AW426:BD426)&gt;=7,AVERAGE(AW426:BD426),"")</f>
        <v/>
      </c>
      <c r="BX426" s="56">
        <f>IF(COUNT(BE426:BJ426)&gt;=5,AVERAGE(BE426:BJ426),"")</f>
        <v/>
      </c>
      <c r="BY426" s="56">
        <f>IF(COUNT(BK426:BR426)&gt;=7,AVERAGE(BK426:BR426),"")</f>
        <v/>
      </c>
    </row>
    <row r="427">
      <c r="A427" t="inlineStr">
        <is>
          <t>R396</t>
        </is>
      </c>
      <c r="B427" t="inlineStr">
        <is>
          <t>Yes</t>
        </is>
      </c>
      <c r="C427" t="inlineStr">
        <is>
          <t>Yes</t>
        </is>
      </c>
      <c r="D427" t="inlineStr">
        <is>
          <t>Female</t>
        </is>
      </c>
      <c r="E427" t="inlineStr">
        <is>
          <t>35-44</t>
        </is>
      </c>
      <c r="F427" t="inlineStr">
        <is>
          <t>Bachelor/HND</t>
        </is>
      </c>
      <c r="G427" t="inlineStr">
        <is>
          <t>Commercial bank</t>
        </is>
      </c>
      <c r="H427" t="inlineStr">
        <is>
          <t>Other</t>
        </is>
      </c>
      <c r="I427" t="inlineStr">
        <is>
          <t>2-5</t>
        </is>
      </c>
      <c r="J427" t="inlineStr">
        <is>
          <t>Yes</t>
        </is>
      </c>
      <c r="K427" t="n">
        <v>4</v>
      </c>
      <c r="L427" t="inlineStr">
        <is>
          <t>No</t>
        </is>
      </c>
      <c r="M427" t="inlineStr">
        <is>
          <t>Yes</t>
        </is>
      </c>
      <c r="N427" t="n">
        <v>3</v>
      </c>
      <c r="O427" t="n">
        <v>3</v>
      </c>
      <c r="P427" t="n">
        <v>4</v>
      </c>
      <c r="Q427" t="n">
        <v>4</v>
      </c>
      <c r="R427" t="n">
        <v>3</v>
      </c>
      <c r="S427" t="n">
        <v>4</v>
      </c>
      <c r="T427" t="n">
        <v>3</v>
      </c>
      <c r="U427" t="n">
        <v>3</v>
      </c>
      <c r="V427" t="n">
        <v>1</v>
      </c>
      <c r="W427" t="n">
        <v>3</v>
      </c>
      <c r="X427" t="n">
        <v>3</v>
      </c>
      <c r="Y427" t="n">
        <v>1</v>
      </c>
      <c r="Z427" t="n">
        <v>2</v>
      </c>
      <c r="AA427" t="n">
        <v>2</v>
      </c>
      <c r="AB427" t="n">
        <v>2</v>
      </c>
      <c r="AC427" t="n">
        <v>2</v>
      </c>
      <c r="AD427" t="n">
        <v>2</v>
      </c>
      <c r="AE427" t="n">
        <v>1</v>
      </c>
      <c r="AF427" t="n">
        <v>2</v>
      </c>
      <c r="AG427" t="n">
        <v>3</v>
      </c>
      <c r="AH427" t="n">
        <v>2</v>
      </c>
      <c r="AI427" t="n">
        <v>2</v>
      </c>
      <c r="AJ427" t="n">
        <v>3</v>
      </c>
      <c r="AK427" t="n">
        <v>3</v>
      </c>
      <c r="AL427" t="n">
        <v>3</v>
      </c>
      <c r="AM427" t="n">
        <v>2</v>
      </c>
      <c r="AN427" t="n">
        <v>2</v>
      </c>
      <c r="AO427" t="n">
        <v>3</v>
      </c>
      <c r="AP427" t="n">
        <v>1</v>
      </c>
      <c r="AQ427" t="n">
        <v>2</v>
      </c>
      <c r="AR427" t="n">
        <v>4</v>
      </c>
      <c r="AS427" t="n">
        <v>1</v>
      </c>
      <c r="AT427" t="n">
        <v>1</v>
      </c>
      <c r="AU427" t="n">
        <v>3</v>
      </c>
      <c r="AV427" t="n">
        <v>2</v>
      </c>
      <c r="AW427" t="n">
        <v>2</v>
      </c>
      <c r="AX427" t="n">
        <v>2</v>
      </c>
      <c r="AY427" t="n">
        <v>1</v>
      </c>
      <c r="AZ427" t="n">
        <v>2</v>
      </c>
      <c r="BA427" t="n">
        <v>2</v>
      </c>
      <c r="BB427" t="n">
        <v>2</v>
      </c>
      <c r="BC427" t="n">
        <v>2</v>
      </c>
      <c r="BD427" t="n">
        <v>2</v>
      </c>
      <c r="BE427" t="n">
        <v>3</v>
      </c>
      <c r="BF427" t="n">
        <v>3</v>
      </c>
      <c r="BG427" t="n">
        <v>3</v>
      </c>
      <c r="BH427" t="n">
        <v>3</v>
      </c>
      <c r="BI427" t="n">
        <v>2</v>
      </c>
      <c r="BJ427" t="n">
        <v>3</v>
      </c>
      <c r="BK427" t="n">
        <v>2</v>
      </c>
      <c r="BL427" t="n">
        <v>2</v>
      </c>
      <c r="BM427" t="n">
        <v>3</v>
      </c>
      <c r="BN427" t="n">
        <v>2</v>
      </c>
      <c r="BO427" t="n">
        <v>3</v>
      </c>
      <c r="BP427" t="n">
        <v>2</v>
      </c>
      <c r="BQ427" t="n">
        <v>2</v>
      </c>
      <c r="BR427" t="n">
        <v>2</v>
      </c>
      <c r="BS427" s="56">
        <f>IF(COUNT(N427:W427)&gt;=8,AVERAGE(N427:W427),"")</f>
        <v/>
      </c>
      <c r="BT427" s="56">
        <f>IF(COUNT(X427:AE427)&gt;=7,AVERAGE(X427:AE427),"")</f>
        <v/>
      </c>
      <c r="BU427" s="56">
        <f>IF(COUNT(AF427:AM427)&gt;=7,AVERAGE(AF427:AM427),"")</f>
        <v/>
      </c>
      <c r="BV427" s="56">
        <f>IF(COUNT(AN427:AV427)&gt;=8,AVERAGE(AN427:AV427),"")</f>
        <v/>
      </c>
      <c r="BW427" s="56">
        <f>IF(COUNT(AW427:BD427)&gt;=7,AVERAGE(AW427:BD427),"")</f>
        <v/>
      </c>
      <c r="BX427" s="56">
        <f>IF(COUNT(BE427:BJ427)&gt;=5,AVERAGE(BE427:BJ427),"")</f>
        <v/>
      </c>
      <c r="BY427" s="56">
        <f>IF(COUNT(BK427:BR427)&gt;=7,AVERAGE(BK427:BR427),"")</f>
        <v/>
      </c>
    </row>
    <row r="428">
      <c r="A428" t="inlineStr">
        <is>
          <t>R397</t>
        </is>
      </c>
      <c r="B428" t="inlineStr">
        <is>
          <t>Yes</t>
        </is>
      </c>
      <c r="C428" t="inlineStr">
        <is>
          <t>Yes</t>
        </is>
      </c>
      <c r="D428" t="inlineStr">
        <is>
          <t>Female</t>
        </is>
      </c>
      <c r="E428" t="inlineStr">
        <is>
          <t>35-44</t>
        </is>
      </c>
      <c r="F428" t="inlineStr">
        <is>
          <t>Bachelor/HND</t>
        </is>
      </c>
      <c r="G428" t="inlineStr">
        <is>
          <t>Commercial bank</t>
        </is>
      </c>
      <c r="H428" t="inlineStr">
        <is>
          <t>IT/Technology</t>
        </is>
      </c>
      <c r="I428" t="inlineStr">
        <is>
          <t>6-10</t>
        </is>
      </c>
      <c r="J428" t="inlineStr">
        <is>
          <t>Yes</t>
        </is>
      </c>
      <c r="K428" t="n">
        <v>2</v>
      </c>
      <c r="L428" t="inlineStr">
        <is>
          <t>Yes</t>
        </is>
      </c>
      <c r="M428" t="inlineStr">
        <is>
          <t>Yes</t>
        </is>
      </c>
      <c r="N428" t="n">
        <v>4</v>
      </c>
      <c r="O428" t="n">
        <v>4</v>
      </c>
      <c r="P428" t="n">
        <v>5</v>
      </c>
      <c r="Q428" t="n">
        <v>4</v>
      </c>
      <c r="R428" t="n">
        <v>4</v>
      </c>
      <c r="S428" t="n">
        <v>4</v>
      </c>
      <c r="T428" t="n">
        <v>3</v>
      </c>
      <c r="U428" t="n">
        <v>4</v>
      </c>
      <c r="V428" t="n">
        <v>4</v>
      </c>
      <c r="W428" t="n">
        <v>4</v>
      </c>
      <c r="X428" t="n">
        <v>4</v>
      </c>
      <c r="Y428" t="n">
        <v>3</v>
      </c>
      <c r="Z428" t="n">
        <v>5</v>
      </c>
      <c r="AA428" t="n">
        <v>4</v>
      </c>
      <c r="AB428" t="n">
        <v>5</v>
      </c>
      <c r="AC428" t="n">
        <v>3</v>
      </c>
      <c r="AD428" t="n">
        <v>4</v>
      </c>
      <c r="AE428" t="n">
        <v>4</v>
      </c>
      <c r="AF428" t="n">
        <v>3</v>
      </c>
      <c r="AG428" t="n">
        <v>3</v>
      </c>
      <c r="AH428" t="n">
        <v>3</v>
      </c>
      <c r="AI428" t="n">
        <v>3</v>
      </c>
      <c r="AJ428" t="n">
        <v>3</v>
      </c>
      <c r="AK428" t="n">
        <v>3</v>
      </c>
      <c r="AL428" t="n">
        <v>3</v>
      </c>
      <c r="AM428" t="n">
        <v>3</v>
      </c>
      <c r="AN428" t="n">
        <v>3</v>
      </c>
      <c r="AO428" t="n">
        <v>2</v>
      </c>
      <c r="AP428" t="n">
        <v>3</v>
      </c>
      <c r="AQ428" t="n">
        <v>2</v>
      </c>
      <c r="AR428" t="n">
        <v>3</v>
      </c>
      <c r="AS428" t="n">
        <v>3</v>
      </c>
      <c r="AT428" t="n">
        <v>4</v>
      </c>
      <c r="AU428" t="n">
        <v>4</v>
      </c>
      <c r="AV428" t="n">
        <v>3</v>
      </c>
      <c r="AW428" t="n">
        <v>3</v>
      </c>
      <c r="AX428" t="n">
        <v>3</v>
      </c>
      <c r="AY428" t="n">
        <v>4</v>
      </c>
      <c r="AZ428" t="n">
        <v>2</v>
      </c>
      <c r="BA428" t="n">
        <v>4</v>
      </c>
      <c r="BB428" t="n">
        <v>4</v>
      </c>
      <c r="BC428" t="n">
        <v>4</v>
      </c>
      <c r="BD428" t="n">
        <v>3</v>
      </c>
      <c r="BE428" t="n">
        <v>3</v>
      </c>
      <c r="BF428" t="n">
        <v>3</v>
      </c>
      <c r="BG428" t="n">
        <v>2</v>
      </c>
      <c r="BH428" t="n">
        <v>5</v>
      </c>
      <c r="BI428" t="n">
        <v>3</v>
      </c>
      <c r="BJ428" t="n">
        <v>4</v>
      </c>
      <c r="BK428" t="n">
        <v>3</v>
      </c>
      <c r="BL428" t="n">
        <v>2</v>
      </c>
      <c r="BM428" t="n">
        <v>2</v>
      </c>
      <c r="BN428" t="n">
        <v>2</v>
      </c>
      <c r="BO428" t="n">
        <v>3</v>
      </c>
      <c r="BP428" t="n">
        <v>2</v>
      </c>
      <c r="BQ428" t="n">
        <v>3</v>
      </c>
      <c r="BR428" t="n">
        <v>2</v>
      </c>
      <c r="BS428" s="56">
        <f>IF(COUNT(N428:W428)&gt;=8,AVERAGE(N428:W428),"")</f>
        <v/>
      </c>
      <c r="BT428" s="56">
        <f>IF(COUNT(X428:AE428)&gt;=7,AVERAGE(X428:AE428),"")</f>
        <v/>
      </c>
      <c r="BU428" s="56">
        <f>IF(COUNT(AF428:AM428)&gt;=7,AVERAGE(AF428:AM428),"")</f>
        <v/>
      </c>
      <c r="BV428" s="56">
        <f>IF(COUNT(AN428:AV428)&gt;=8,AVERAGE(AN428:AV428),"")</f>
        <v/>
      </c>
      <c r="BW428" s="56">
        <f>IF(COUNT(AW428:BD428)&gt;=7,AVERAGE(AW428:BD428),"")</f>
        <v/>
      </c>
      <c r="BX428" s="56">
        <f>IF(COUNT(BE428:BJ428)&gt;=5,AVERAGE(BE428:BJ428),"")</f>
        <v/>
      </c>
      <c r="BY428" s="56">
        <f>IF(COUNT(BK428:BR428)&gt;=7,AVERAGE(BK428:BR428),"")</f>
        <v/>
      </c>
    </row>
    <row r="429">
      <c r="A429" t="inlineStr">
        <is>
          <t>R398</t>
        </is>
      </c>
      <c r="B429" t="inlineStr">
        <is>
          <t>Yes</t>
        </is>
      </c>
      <c r="C429" t="inlineStr">
        <is>
          <t>Yes</t>
        </is>
      </c>
      <c r="D429" t="inlineStr">
        <is>
          <t>Female</t>
        </is>
      </c>
      <c r="E429" t="inlineStr">
        <is>
          <t>25-34</t>
        </is>
      </c>
      <c r="F429" t="inlineStr">
        <is>
          <t>Bachelor/HND</t>
        </is>
      </c>
      <c r="G429" t="inlineStr">
        <is>
          <t>Commercial bank</t>
        </is>
      </c>
      <c r="H429" t="inlineStr">
        <is>
          <t>IT/Technology</t>
        </is>
      </c>
      <c r="I429" t="inlineStr">
        <is>
          <t>11-15</t>
        </is>
      </c>
      <c r="J429" t="inlineStr">
        <is>
          <t>Yes</t>
        </is>
      </c>
      <c r="K429" t="n">
        <v>0</v>
      </c>
      <c r="L429" t="inlineStr">
        <is>
          <t>No</t>
        </is>
      </c>
      <c r="M429" t="inlineStr">
        <is>
          <t>Yes</t>
        </is>
      </c>
      <c r="N429" t="n">
        <v>4</v>
      </c>
      <c r="O429" t="n">
        <v>4</v>
      </c>
      <c r="P429" t="n">
        <v>4</v>
      </c>
      <c r="Q429" t="n">
        <v>4</v>
      </c>
      <c r="R429" t="n">
        <v>5</v>
      </c>
      <c r="S429" t="n">
        <v>4</v>
      </c>
      <c r="T429" t="n">
        <v>3</v>
      </c>
      <c r="U429" t="n">
        <v>4</v>
      </c>
      <c r="V429" t="n">
        <v>5</v>
      </c>
      <c r="W429" t="n">
        <v>4</v>
      </c>
      <c r="X429" t="n">
        <v>4</v>
      </c>
      <c r="Y429" t="n">
        <v>2</v>
      </c>
      <c r="Z429" t="n">
        <v>2</v>
      </c>
      <c r="AA429" t="n">
        <v>2</v>
      </c>
      <c r="AB429" t="n">
        <v>2</v>
      </c>
      <c r="AC429" t="n">
        <v>2</v>
      </c>
      <c r="AD429" t="n">
        <v>2</v>
      </c>
      <c r="AE429" t="n">
        <v>2</v>
      </c>
      <c r="AF429" t="n">
        <v>1</v>
      </c>
      <c r="AG429" t="n">
        <v>2</v>
      </c>
      <c r="AH429" t="n">
        <v>2</v>
      </c>
      <c r="AI429" t="n">
        <v>2</v>
      </c>
      <c r="AJ429" t="n">
        <v>3</v>
      </c>
      <c r="AK429" t="n">
        <v>2</v>
      </c>
      <c r="AL429" t="n">
        <v>1</v>
      </c>
      <c r="AM429" t="n">
        <v>2</v>
      </c>
      <c r="AN429" t="n">
        <v>3</v>
      </c>
      <c r="AO429" t="n">
        <v>3</v>
      </c>
      <c r="AP429" t="n">
        <v>3</v>
      </c>
      <c r="AQ429" t="n">
        <v>3</v>
      </c>
      <c r="AR429" t="n">
        <v>4</v>
      </c>
      <c r="AS429" t="n">
        <v>3</v>
      </c>
      <c r="AT429" t="n">
        <v>3</v>
      </c>
      <c r="AU429" t="n">
        <v>3</v>
      </c>
      <c r="AV429" t="n">
        <v>3</v>
      </c>
      <c r="AW429" t="n">
        <v>3</v>
      </c>
      <c r="AX429" t="n">
        <v>2</v>
      </c>
      <c r="AY429" t="n">
        <v>3</v>
      </c>
      <c r="AZ429" t="n">
        <v>1</v>
      </c>
      <c r="BA429" t="n">
        <v>4</v>
      </c>
      <c r="BB429" t="n">
        <v>3</v>
      </c>
      <c r="BC429" t="n">
        <v>3</v>
      </c>
      <c r="BD429" t="n">
        <v>1</v>
      </c>
      <c r="BE429" t="n">
        <v>2</v>
      </c>
      <c r="BF429" t="n">
        <v>3</v>
      </c>
      <c r="BG429" t="n">
        <v>2</v>
      </c>
      <c r="BH429" t="n">
        <v>2</v>
      </c>
      <c r="BI429" t="n">
        <v>2</v>
      </c>
      <c r="BJ429" t="n">
        <v>2</v>
      </c>
      <c r="BK429" t="n">
        <v>5</v>
      </c>
      <c r="BL429" t="n">
        <v>4</v>
      </c>
      <c r="BM429" t="n">
        <v>5</v>
      </c>
      <c r="BN429" t="n">
        <v>5</v>
      </c>
      <c r="BO429" t="n">
        <v>5</v>
      </c>
      <c r="BP429" t="n">
        <v>5</v>
      </c>
      <c r="BQ429" t="n">
        <v>5</v>
      </c>
      <c r="BR429" t="n">
        <v>4</v>
      </c>
      <c r="BS429" s="56">
        <f>IF(COUNT(N429:W429)&gt;=8,AVERAGE(N429:W429),"")</f>
        <v/>
      </c>
      <c r="BT429" s="56">
        <f>IF(COUNT(X429:AE429)&gt;=7,AVERAGE(X429:AE429),"")</f>
        <v/>
      </c>
      <c r="BU429" s="56">
        <f>IF(COUNT(AF429:AM429)&gt;=7,AVERAGE(AF429:AM429),"")</f>
        <v/>
      </c>
      <c r="BV429" s="56">
        <f>IF(COUNT(AN429:AV429)&gt;=8,AVERAGE(AN429:AV429),"")</f>
        <v/>
      </c>
      <c r="BW429" s="56">
        <f>IF(COUNT(AW429:BD429)&gt;=7,AVERAGE(AW429:BD429),"")</f>
        <v/>
      </c>
      <c r="BX429" s="56">
        <f>IF(COUNT(BE429:BJ429)&gt;=5,AVERAGE(BE429:BJ429),"")</f>
        <v/>
      </c>
      <c r="BY429" s="56">
        <f>IF(COUNT(BK429:BR429)&gt;=7,AVERAGE(BK429:BR429),"")</f>
        <v/>
      </c>
    </row>
    <row r="430">
      <c r="A430" t="inlineStr">
        <is>
          <t>R399</t>
        </is>
      </c>
      <c r="B430" t="inlineStr">
        <is>
          <t>Yes</t>
        </is>
      </c>
      <c r="C430" t="inlineStr">
        <is>
          <t>Yes</t>
        </is>
      </c>
      <c r="D430" t="inlineStr">
        <is>
          <t>Male</t>
        </is>
      </c>
      <c r="E430" t="inlineStr">
        <is>
          <t>35-44</t>
        </is>
      </c>
      <c r="F430" t="inlineStr">
        <is>
          <t>Other</t>
        </is>
      </c>
      <c r="G430" t="inlineStr">
        <is>
          <t>Commercial bank</t>
        </is>
      </c>
      <c r="H430" t="inlineStr">
        <is>
          <t>IT/Technology</t>
        </is>
      </c>
      <c r="I430" t="inlineStr">
        <is>
          <t>Less than 2</t>
        </is>
      </c>
      <c r="J430" t="inlineStr">
        <is>
          <t>Yes</t>
        </is>
      </c>
      <c r="K430" t="n">
        <v>0</v>
      </c>
      <c r="L430" t="inlineStr">
        <is>
          <t>Do not know</t>
        </is>
      </c>
      <c r="M430" t="inlineStr">
        <is>
          <t>Yes</t>
        </is>
      </c>
      <c r="N430" t="n">
        <v>4</v>
      </c>
      <c r="O430" t="n">
        <v>4</v>
      </c>
      <c r="P430" t="n">
        <v>5</v>
      </c>
      <c r="Q430" t="n">
        <v>4</v>
      </c>
      <c r="R430" t="n">
        <v>3</v>
      </c>
      <c r="S430" t="n">
        <v>5</v>
      </c>
      <c r="T430" t="n">
        <v>3</v>
      </c>
      <c r="U430" t="n">
        <v>3</v>
      </c>
      <c r="V430" t="n">
        <v>4</v>
      </c>
      <c r="W430" t="n">
        <v>3</v>
      </c>
      <c r="X430" t="n">
        <v>2</v>
      </c>
      <c r="Y430" t="n">
        <v>2</v>
      </c>
      <c r="Z430" t="n">
        <v>2</v>
      </c>
      <c r="AA430" t="n">
        <v>2</v>
      </c>
      <c r="AB430" t="n">
        <v>1</v>
      </c>
      <c r="AC430" t="n">
        <v>2</v>
      </c>
      <c r="AD430" t="n">
        <v>3</v>
      </c>
      <c r="AE430" t="n">
        <v>3</v>
      </c>
      <c r="AF430" t="n">
        <v>3</v>
      </c>
      <c r="AG430" t="n">
        <v>4</v>
      </c>
      <c r="AH430" t="n">
        <v>2</v>
      </c>
      <c r="AI430" t="n">
        <v>4</v>
      </c>
      <c r="AJ430" t="n">
        <v>3</v>
      </c>
      <c r="AK430" t="n">
        <v>4</v>
      </c>
      <c r="AL430" t="n">
        <v>4</v>
      </c>
      <c r="AM430" t="n">
        <v>4</v>
      </c>
      <c r="AN430" t="n">
        <v>3</v>
      </c>
      <c r="AO430" t="n">
        <v>2</v>
      </c>
      <c r="AP430" t="n">
        <v>2</v>
      </c>
      <c r="AQ430" t="n">
        <v>3</v>
      </c>
      <c r="AR430" t="n">
        <v>4</v>
      </c>
      <c r="AS430" t="n">
        <v>3</v>
      </c>
      <c r="AT430" t="n">
        <v>4</v>
      </c>
      <c r="AU430" t="n">
        <v>3</v>
      </c>
      <c r="AW430" t="n">
        <v>3</v>
      </c>
      <c r="AX430" t="n">
        <v>2</v>
      </c>
      <c r="AY430" t="n">
        <v>3</v>
      </c>
      <c r="AZ430" t="n">
        <v>2</v>
      </c>
      <c r="BA430" t="n">
        <v>3</v>
      </c>
      <c r="BB430" t="n">
        <v>3</v>
      </c>
      <c r="BC430" t="n">
        <v>4</v>
      </c>
      <c r="BD430" t="n">
        <v>3</v>
      </c>
      <c r="BE430" t="n">
        <v>3</v>
      </c>
      <c r="BF430" t="n">
        <v>3</v>
      </c>
      <c r="BG430" t="n">
        <v>3</v>
      </c>
      <c r="BH430" t="n">
        <v>3</v>
      </c>
      <c r="BI430" t="n">
        <v>2</v>
      </c>
      <c r="BJ430" t="n">
        <v>3</v>
      </c>
      <c r="BK430" t="n">
        <v>2</v>
      </c>
      <c r="BL430" t="n">
        <v>2</v>
      </c>
      <c r="BM430" t="n">
        <v>3</v>
      </c>
      <c r="BN430" t="n">
        <v>2</v>
      </c>
      <c r="BO430" t="n">
        <v>3</v>
      </c>
      <c r="BP430" t="n">
        <v>2</v>
      </c>
      <c r="BQ430" t="n">
        <v>3</v>
      </c>
      <c r="BR430" t="n">
        <v>2</v>
      </c>
      <c r="BS430" s="56">
        <f>IF(COUNT(N430:W430)&gt;=8,AVERAGE(N430:W430),"")</f>
        <v/>
      </c>
      <c r="BT430" s="56">
        <f>IF(COUNT(X430:AE430)&gt;=7,AVERAGE(X430:AE430),"")</f>
        <v/>
      </c>
      <c r="BU430" s="56">
        <f>IF(COUNT(AF430:AM430)&gt;=7,AVERAGE(AF430:AM430),"")</f>
        <v/>
      </c>
      <c r="BV430" s="56">
        <f>IF(COUNT(AN430:AV430)&gt;=8,AVERAGE(AN430:AV430),"")</f>
        <v/>
      </c>
      <c r="BW430" s="56">
        <f>IF(COUNT(AW430:BD430)&gt;=7,AVERAGE(AW430:BD430),"")</f>
        <v/>
      </c>
      <c r="BX430" s="56">
        <f>IF(COUNT(BE430:BJ430)&gt;=5,AVERAGE(BE430:BJ430),"")</f>
        <v/>
      </c>
      <c r="BY430" s="56">
        <f>IF(COUNT(BK430:BR430)&gt;=7,AVERAGE(BK430:BR430),"")</f>
        <v/>
      </c>
    </row>
    <row r="431">
      <c r="A431" t="inlineStr">
        <is>
          <t>R400</t>
        </is>
      </c>
      <c r="B431" t="inlineStr">
        <is>
          <t>Yes</t>
        </is>
      </c>
      <c r="C431" t="inlineStr">
        <is>
          <t>Yes</t>
        </is>
      </c>
      <c r="D431" t="inlineStr">
        <is>
          <t>Male</t>
        </is>
      </c>
      <c r="E431" t="inlineStr">
        <is>
          <t>25-34</t>
        </is>
      </c>
      <c r="F431" t="inlineStr">
        <is>
          <t>Master's</t>
        </is>
      </c>
      <c r="G431" t="inlineStr">
        <is>
          <t>Commercial bank</t>
        </is>
      </c>
      <c r="H431" t="inlineStr">
        <is>
          <t>Digital Banking/Product</t>
        </is>
      </c>
      <c r="I431" t="inlineStr">
        <is>
          <t>Less than 2</t>
        </is>
      </c>
      <c r="J431" t="inlineStr">
        <is>
          <t>Yes</t>
        </is>
      </c>
      <c r="K431" t="n">
        <v>3</v>
      </c>
      <c r="L431" t="inlineStr">
        <is>
          <t>Yes</t>
        </is>
      </c>
      <c r="M431" t="inlineStr">
        <is>
          <t>Yes</t>
        </is>
      </c>
      <c r="N431" t="n">
        <v>4</v>
      </c>
      <c r="O431" t="n">
        <v>2</v>
      </c>
      <c r="P431" t="n">
        <v>3</v>
      </c>
      <c r="Q431" t="n">
        <v>3</v>
      </c>
      <c r="R431" t="n">
        <v>2</v>
      </c>
      <c r="S431" t="n">
        <v>2</v>
      </c>
      <c r="T431" t="n">
        <v>1</v>
      </c>
      <c r="U431" t="n">
        <v>3</v>
      </c>
      <c r="V431" t="n">
        <v>4</v>
      </c>
      <c r="W431" t="n">
        <v>2</v>
      </c>
      <c r="X431" t="n">
        <v>3</v>
      </c>
      <c r="Y431" t="n">
        <v>3</v>
      </c>
      <c r="Z431" t="n">
        <v>4</v>
      </c>
      <c r="AA431" t="n">
        <v>5</v>
      </c>
      <c r="AB431" t="n">
        <v>4</v>
      </c>
      <c r="AC431" t="n">
        <v>5</v>
      </c>
      <c r="AD431" t="n">
        <v>3</v>
      </c>
      <c r="AE431" t="n">
        <v>3</v>
      </c>
      <c r="AF431" t="n">
        <v>2</v>
      </c>
      <c r="AG431" t="n">
        <v>3</v>
      </c>
      <c r="AH431" t="n">
        <v>4</v>
      </c>
      <c r="AI431" t="n">
        <v>4</v>
      </c>
      <c r="AJ431" t="n">
        <v>2</v>
      </c>
      <c r="AK431" t="n">
        <v>4</v>
      </c>
      <c r="AL431" t="n">
        <v>4</v>
      </c>
      <c r="AM431" t="n">
        <v>4</v>
      </c>
      <c r="AN431" t="n">
        <v>4</v>
      </c>
      <c r="AO431" t="n">
        <v>2</v>
      </c>
      <c r="AP431" t="n">
        <v>3</v>
      </c>
      <c r="AQ431" t="n">
        <v>3</v>
      </c>
      <c r="AR431" t="n">
        <v>3</v>
      </c>
      <c r="AS431" t="n">
        <v>3</v>
      </c>
      <c r="AT431" t="n">
        <v>3</v>
      </c>
      <c r="AU431" t="n">
        <v>2</v>
      </c>
      <c r="AV431" t="n">
        <v>3</v>
      </c>
      <c r="AW431" t="n">
        <v>4</v>
      </c>
      <c r="AX431" t="n">
        <v>5</v>
      </c>
      <c r="AY431" t="n">
        <v>5</v>
      </c>
      <c r="AZ431" t="n">
        <v>4</v>
      </c>
      <c r="BA431" t="n">
        <v>5</v>
      </c>
      <c r="BB431" t="n">
        <v>5</v>
      </c>
      <c r="BC431" t="n">
        <v>5</v>
      </c>
      <c r="BD431" t="n">
        <v>4</v>
      </c>
      <c r="BE431" t="n">
        <v>4</v>
      </c>
      <c r="BF431" t="n">
        <v>4</v>
      </c>
      <c r="BG431" t="n">
        <v>4</v>
      </c>
      <c r="BH431" t="n">
        <v>5</v>
      </c>
      <c r="BI431" t="n">
        <v>4</v>
      </c>
      <c r="BJ431" t="n">
        <v>3</v>
      </c>
      <c r="BK431" t="n">
        <v>2</v>
      </c>
      <c r="BL431" t="n">
        <v>3</v>
      </c>
      <c r="BM431" t="n">
        <v>4</v>
      </c>
      <c r="BN431" t="n">
        <v>3</v>
      </c>
      <c r="BO431" t="n">
        <v>3</v>
      </c>
      <c r="BP431" t="n">
        <v>3</v>
      </c>
      <c r="BQ431" t="n">
        <v>4</v>
      </c>
      <c r="BR431" t="n">
        <v>3</v>
      </c>
      <c r="BS431" s="56">
        <f>IF(COUNT(N431:W431)&gt;=8,AVERAGE(N431:W431),"")</f>
        <v/>
      </c>
      <c r="BT431" s="56">
        <f>IF(COUNT(X431:AE431)&gt;=7,AVERAGE(X431:AE431),"")</f>
        <v/>
      </c>
      <c r="BU431" s="56">
        <f>IF(COUNT(AF431:AM431)&gt;=7,AVERAGE(AF431:AM431),"")</f>
        <v/>
      </c>
      <c r="BV431" s="56">
        <f>IF(COUNT(AN431:AV431)&gt;=8,AVERAGE(AN431:AV431),"")</f>
        <v/>
      </c>
      <c r="BW431" s="56">
        <f>IF(COUNT(AW431:BD431)&gt;=7,AVERAGE(AW431:BD431),"")</f>
        <v/>
      </c>
      <c r="BX431" s="56">
        <f>IF(COUNT(BE431:BJ431)&gt;=5,AVERAGE(BE431:BJ431),"")</f>
        <v/>
      </c>
      <c r="BY431" s="56">
        <f>IF(COUNT(BK431:BR431)&gt;=7,AVERAGE(BK431:BR431),"")</f>
        <v/>
      </c>
    </row>
    <row r="432">
      <c r="A432" t="inlineStr">
        <is>
          <t>R401</t>
        </is>
      </c>
      <c r="B432" t="inlineStr">
        <is>
          <t>Yes</t>
        </is>
      </c>
      <c r="C432" t="inlineStr">
        <is>
          <t>Yes</t>
        </is>
      </c>
      <c r="D432" t="inlineStr">
        <is>
          <t>Female</t>
        </is>
      </c>
      <c r="E432" t="inlineStr">
        <is>
          <t>25-34</t>
        </is>
      </c>
      <c r="F432" t="inlineStr">
        <is>
          <t>Bachelor/HND</t>
        </is>
      </c>
      <c r="G432" t="inlineStr">
        <is>
          <t>Commercial bank</t>
        </is>
      </c>
      <c r="H432" t="inlineStr">
        <is>
          <t>Management/Strategy</t>
        </is>
      </c>
      <c r="I432" t="inlineStr">
        <is>
          <t>Less than 2</t>
        </is>
      </c>
      <c r="J432" t="inlineStr">
        <is>
          <t>Yes</t>
        </is>
      </c>
      <c r="K432" t="n">
        <v>2</v>
      </c>
      <c r="L432" t="inlineStr">
        <is>
          <t>Do not know</t>
        </is>
      </c>
      <c r="M432" t="inlineStr">
        <is>
          <t>Yes</t>
        </is>
      </c>
      <c r="N432" t="n">
        <v>4</v>
      </c>
      <c r="O432" t="n">
        <v>4</v>
      </c>
      <c r="P432" t="n">
        <v>4</v>
      </c>
      <c r="Q432" t="n">
        <v>3</v>
      </c>
      <c r="R432" t="n">
        <v>4</v>
      </c>
      <c r="S432" t="n">
        <v>4</v>
      </c>
      <c r="T432" t="n">
        <v>2</v>
      </c>
      <c r="U432" t="n">
        <v>4</v>
      </c>
      <c r="V432" t="n">
        <v>4</v>
      </c>
      <c r="W432" t="n">
        <v>3</v>
      </c>
      <c r="X432" t="n">
        <v>3</v>
      </c>
      <c r="Y432" t="n">
        <v>3</v>
      </c>
      <c r="Z432" t="n">
        <v>4</v>
      </c>
      <c r="AA432" t="n">
        <v>3</v>
      </c>
      <c r="AB432" t="n">
        <v>4</v>
      </c>
      <c r="AC432" t="n">
        <v>4</v>
      </c>
      <c r="AD432" t="n">
        <v>4</v>
      </c>
      <c r="AE432" t="n">
        <v>4</v>
      </c>
      <c r="AF432" t="n">
        <v>3</v>
      </c>
      <c r="AG432" t="n">
        <v>3</v>
      </c>
      <c r="AH432" t="n">
        <v>3</v>
      </c>
      <c r="AI432" t="n">
        <v>3</v>
      </c>
      <c r="AJ432" t="n">
        <v>3</v>
      </c>
      <c r="AK432" t="n">
        <v>4</v>
      </c>
      <c r="AL432" t="n">
        <v>3</v>
      </c>
      <c r="AM432" t="n">
        <v>4</v>
      </c>
      <c r="AN432" t="n">
        <v>2</v>
      </c>
      <c r="AO432" t="n">
        <v>2</v>
      </c>
      <c r="AP432" t="n">
        <v>3</v>
      </c>
      <c r="AQ432" t="n">
        <v>1</v>
      </c>
      <c r="AR432" t="n">
        <v>2</v>
      </c>
      <c r="AS432" t="n">
        <v>2</v>
      </c>
      <c r="AT432" t="n">
        <v>2</v>
      </c>
      <c r="AU432" t="n">
        <v>3</v>
      </c>
      <c r="AV432" t="n">
        <v>2</v>
      </c>
      <c r="AW432" t="n">
        <v>2</v>
      </c>
      <c r="AX432" t="n">
        <v>3</v>
      </c>
      <c r="AY432" t="n">
        <v>3</v>
      </c>
      <c r="AZ432" t="n">
        <v>2</v>
      </c>
      <c r="BA432" t="n">
        <v>3</v>
      </c>
      <c r="BB432" t="n">
        <v>2</v>
      </c>
      <c r="BC432" t="n">
        <v>3</v>
      </c>
      <c r="BD432" t="n">
        <v>2</v>
      </c>
      <c r="BE432" t="n">
        <v>3</v>
      </c>
      <c r="BF432" t="n">
        <v>3</v>
      </c>
      <c r="BG432" t="n">
        <v>3</v>
      </c>
      <c r="BH432" t="n">
        <v>3</v>
      </c>
      <c r="BI432" t="n">
        <v>3</v>
      </c>
      <c r="BJ432" t="n">
        <v>3</v>
      </c>
      <c r="BK432" t="n">
        <v>2</v>
      </c>
      <c r="BL432" t="n">
        <v>3</v>
      </c>
      <c r="BM432" t="n">
        <v>4</v>
      </c>
      <c r="BN432" t="n">
        <v>3</v>
      </c>
      <c r="BO432" t="n">
        <v>3</v>
      </c>
      <c r="BQ432" t="n">
        <v>3</v>
      </c>
      <c r="BR432" t="n">
        <v>3</v>
      </c>
      <c r="BS432" s="56">
        <f>IF(COUNT(N432:W432)&gt;=8,AVERAGE(N432:W432),"")</f>
        <v/>
      </c>
      <c r="BT432" s="56">
        <f>IF(COUNT(X432:AE432)&gt;=7,AVERAGE(X432:AE432),"")</f>
        <v/>
      </c>
      <c r="BU432" s="56">
        <f>IF(COUNT(AF432:AM432)&gt;=7,AVERAGE(AF432:AM432),"")</f>
        <v/>
      </c>
      <c r="BV432" s="56">
        <f>IF(COUNT(AN432:AV432)&gt;=8,AVERAGE(AN432:AV432),"")</f>
        <v/>
      </c>
      <c r="BW432" s="56">
        <f>IF(COUNT(AW432:BD432)&gt;=7,AVERAGE(AW432:BD432),"")</f>
        <v/>
      </c>
      <c r="BX432" s="56">
        <f>IF(COUNT(BE432:BJ432)&gt;=5,AVERAGE(BE432:BJ432),"")</f>
        <v/>
      </c>
      <c r="BY432" s="56">
        <f>IF(COUNT(BK432:BR432)&gt;=7,AVERAGE(BK432:BR432),"")</f>
        <v/>
      </c>
    </row>
    <row r="433">
      <c r="A433" t="inlineStr">
        <is>
          <t>R402</t>
        </is>
      </c>
      <c r="B433" t="inlineStr">
        <is>
          <t>Yes</t>
        </is>
      </c>
      <c r="C433" t="inlineStr">
        <is>
          <t>Yes</t>
        </is>
      </c>
      <c r="D433" t="inlineStr">
        <is>
          <t>Male</t>
        </is>
      </c>
      <c r="E433" t="inlineStr">
        <is>
          <t>25-34</t>
        </is>
      </c>
      <c r="F433" t="inlineStr">
        <is>
          <t>Master's</t>
        </is>
      </c>
      <c r="G433" t="inlineStr">
        <is>
          <t>Commercial bank</t>
        </is>
      </c>
      <c r="H433" t="inlineStr">
        <is>
          <t>Management/Strategy</t>
        </is>
      </c>
      <c r="I433" t="inlineStr">
        <is>
          <t>11-15</t>
        </is>
      </c>
      <c r="J433" t="inlineStr">
        <is>
          <t>Yes</t>
        </is>
      </c>
      <c r="K433" t="n">
        <v>1</v>
      </c>
      <c r="L433" t="inlineStr">
        <is>
          <t>Yes</t>
        </is>
      </c>
      <c r="M433" t="inlineStr">
        <is>
          <t>Yes</t>
        </is>
      </c>
      <c r="N433" t="n">
        <v>2</v>
      </c>
      <c r="O433" t="n">
        <v>3</v>
      </c>
      <c r="P433" t="n">
        <v>3</v>
      </c>
      <c r="Q433" t="n">
        <v>2</v>
      </c>
      <c r="R433" t="n">
        <v>2</v>
      </c>
      <c r="S433" t="n">
        <v>4</v>
      </c>
      <c r="T433" t="n">
        <v>2</v>
      </c>
      <c r="U433" t="n">
        <v>2</v>
      </c>
      <c r="V433" t="n">
        <v>4</v>
      </c>
      <c r="W433" t="n">
        <v>3</v>
      </c>
      <c r="X433" t="n">
        <v>2</v>
      </c>
      <c r="Y433" t="n">
        <v>2</v>
      </c>
      <c r="Z433" t="n">
        <v>3</v>
      </c>
      <c r="AA433" t="n">
        <v>2</v>
      </c>
      <c r="AB433" t="n">
        <v>2</v>
      </c>
      <c r="AC433" t="n">
        <v>1</v>
      </c>
      <c r="AD433" t="n">
        <v>1</v>
      </c>
      <c r="AE433" t="n">
        <v>2</v>
      </c>
      <c r="AF433" t="n">
        <v>3</v>
      </c>
      <c r="AG433" t="n">
        <v>2</v>
      </c>
      <c r="AI433" t="n">
        <v>3</v>
      </c>
      <c r="AJ433" t="n">
        <v>1</v>
      </c>
      <c r="AK433" t="n">
        <v>2</v>
      </c>
      <c r="AL433" t="n">
        <v>2</v>
      </c>
      <c r="AM433" t="n">
        <v>3</v>
      </c>
      <c r="AN433" t="n">
        <v>4</v>
      </c>
      <c r="AO433" t="n">
        <v>2</v>
      </c>
      <c r="AP433" t="n">
        <v>4</v>
      </c>
      <c r="AQ433" t="n">
        <v>3</v>
      </c>
      <c r="AR433" t="n">
        <v>4</v>
      </c>
      <c r="AS433" t="n">
        <v>3</v>
      </c>
      <c r="AT433" t="n">
        <v>4</v>
      </c>
      <c r="AU433" t="n">
        <v>3</v>
      </c>
      <c r="AV433" t="n">
        <v>4</v>
      </c>
      <c r="AW433" t="n">
        <v>3</v>
      </c>
      <c r="AX433" t="n">
        <v>3</v>
      </c>
      <c r="AY433" t="n">
        <v>2</v>
      </c>
      <c r="AZ433" t="n">
        <v>2</v>
      </c>
      <c r="BA433" t="n">
        <v>2</v>
      </c>
      <c r="BB433" t="n">
        <v>2</v>
      </c>
      <c r="BC433" t="n">
        <v>2</v>
      </c>
      <c r="BD433" t="n">
        <v>2</v>
      </c>
      <c r="BE433" t="n">
        <v>2</v>
      </c>
      <c r="BF433" t="n">
        <v>4</v>
      </c>
      <c r="BG433" t="n">
        <v>2</v>
      </c>
      <c r="BH433" t="n">
        <v>4</v>
      </c>
      <c r="BI433" t="n">
        <v>2</v>
      </c>
      <c r="BJ433" t="n">
        <v>2</v>
      </c>
      <c r="BK433" t="n">
        <v>2</v>
      </c>
      <c r="BL433" t="n">
        <v>1</v>
      </c>
      <c r="BM433" t="n">
        <v>2</v>
      </c>
      <c r="BN433" t="n">
        <v>1</v>
      </c>
      <c r="BO433" t="n">
        <v>2</v>
      </c>
      <c r="BP433" t="n">
        <v>2</v>
      </c>
      <c r="BQ433" t="n">
        <v>2</v>
      </c>
      <c r="BR433" t="n">
        <v>1</v>
      </c>
      <c r="BS433" s="56">
        <f>IF(COUNT(N433:W433)&gt;=8,AVERAGE(N433:W433),"")</f>
        <v/>
      </c>
      <c r="BT433" s="56">
        <f>IF(COUNT(X433:AE433)&gt;=7,AVERAGE(X433:AE433),"")</f>
        <v/>
      </c>
      <c r="BU433" s="56">
        <f>IF(COUNT(AF433:AM433)&gt;=7,AVERAGE(AF433:AM433),"")</f>
        <v/>
      </c>
      <c r="BV433" s="56">
        <f>IF(COUNT(AN433:AV433)&gt;=8,AVERAGE(AN433:AV433),"")</f>
        <v/>
      </c>
      <c r="BW433" s="56">
        <f>IF(COUNT(AW433:BD433)&gt;=7,AVERAGE(AW433:BD433),"")</f>
        <v/>
      </c>
      <c r="BX433" s="56">
        <f>IF(COUNT(BE433:BJ433)&gt;=5,AVERAGE(BE433:BJ433),"")</f>
        <v/>
      </c>
      <c r="BY433" s="56">
        <f>IF(COUNT(BK433:BR433)&gt;=7,AVERAGE(BK433:BR433),"")</f>
        <v/>
      </c>
    </row>
    <row r="434">
      <c r="A434" t="inlineStr">
        <is>
          <t>R403</t>
        </is>
      </c>
      <c r="B434" t="inlineStr">
        <is>
          <t>Yes</t>
        </is>
      </c>
      <c r="C434" t="inlineStr">
        <is>
          <t>Yes</t>
        </is>
      </c>
      <c r="D434" t="inlineStr">
        <is>
          <t>Female</t>
        </is>
      </c>
      <c r="E434" t="inlineStr">
        <is>
          <t>35-44</t>
        </is>
      </c>
      <c r="F434" t="inlineStr">
        <is>
          <t>Bachelor/HND</t>
        </is>
      </c>
      <c r="G434" t="inlineStr">
        <is>
          <t>Commercial bank</t>
        </is>
      </c>
      <c r="H434" t="inlineStr">
        <is>
          <t>Other</t>
        </is>
      </c>
      <c r="I434" t="inlineStr">
        <is>
          <t>Less than 2</t>
        </is>
      </c>
      <c r="J434" t="inlineStr">
        <is>
          <t>Yes</t>
        </is>
      </c>
      <c r="K434" t="n">
        <v>2</v>
      </c>
      <c r="L434" t="inlineStr">
        <is>
          <t>No</t>
        </is>
      </c>
      <c r="M434" t="inlineStr">
        <is>
          <t>Yes</t>
        </is>
      </c>
      <c r="N434" t="n">
        <v>3</v>
      </c>
      <c r="O434" t="n">
        <v>3</v>
      </c>
      <c r="P434" t="n">
        <v>4</v>
      </c>
      <c r="Q434" t="n">
        <v>2</v>
      </c>
      <c r="R434" t="n">
        <v>2</v>
      </c>
      <c r="S434" t="n">
        <v>3</v>
      </c>
      <c r="T434" t="n">
        <v>3</v>
      </c>
      <c r="U434" t="n">
        <v>4</v>
      </c>
      <c r="V434" t="n">
        <v>3</v>
      </c>
      <c r="W434" t="n">
        <v>3</v>
      </c>
      <c r="X434" t="n">
        <v>3</v>
      </c>
      <c r="Y434" t="n">
        <v>2</v>
      </c>
      <c r="Z434" t="n">
        <v>4</v>
      </c>
      <c r="AA434" t="n">
        <v>2</v>
      </c>
      <c r="AB434" t="n">
        <v>3</v>
      </c>
      <c r="AC434" t="n">
        <v>1</v>
      </c>
      <c r="AD434" t="n">
        <v>3</v>
      </c>
      <c r="AE434" t="n">
        <v>1</v>
      </c>
      <c r="AF434" t="n">
        <v>2</v>
      </c>
      <c r="AG434" t="n">
        <v>2</v>
      </c>
      <c r="AH434" t="n">
        <v>1</v>
      </c>
      <c r="AI434" t="n">
        <v>2</v>
      </c>
      <c r="AJ434" t="n">
        <v>1</v>
      </c>
      <c r="AK434" t="n">
        <v>3</v>
      </c>
      <c r="AL434" t="n">
        <v>1</v>
      </c>
      <c r="AM434" t="n">
        <v>2</v>
      </c>
      <c r="AN434" t="n">
        <v>3</v>
      </c>
      <c r="AO434" t="n">
        <v>2</v>
      </c>
      <c r="AP434" t="n">
        <v>3</v>
      </c>
      <c r="AQ434" t="n">
        <v>2</v>
      </c>
      <c r="AR434" t="n">
        <v>3</v>
      </c>
      <c r="AS434" t="n">
        <v>3</v>
      </c>
      <c r="AT434" t="n">
        <v>3</v>
      </c>
      <c r="AU434" t="n">
        <v>3</v>
      </c>
      <c r="AV434" t="n">
        <v>2</v>
      </c>
      <c r="AW434" t="n">
        <v>3</v>
      </c>
      <c r="AX434" t="n">
        <v>2</v>
      </c>
      <c r="AY434" t="n">
        <v>3</v>
      </c>
      <c r="AZ434" t="n">
        <v>2</v>
      </c>
      <c r="BA434" t="n">
        <v>3</v>
      </c>
      <c r="BB434" t="n">
        <v>4</v>
      </c>
      <c r="BC434" t="n">
        <v>2</v>
      </c>
      <c r="BD434" t="n">
        <v>2</v>
      </c>
      <c r="BE434" t="n">
        <v>2</v>
      </c>
      <c r="BF434" t="n">
        <v>3</v>
      </c>
      <c r="BG434" t="n">
        <v>2</v>
      </c>
      <c r="BH434" t="n">
        <v>3</v>
      </c>
      <c r="BI434" t="n">
        <v>3</v>
      </c>
      <c r="BJ434" t="n">
        <v>3</v>
      </c>
      <c r="BK434" t="n">
        <v>2</v>
      </c>
      <c r="BL434" t="n">
        <v>2</v>
      </c>
      <c r="BM434" t="n">
        <v>3</v>
      </c>
      <c r="BN434" t="n">
        <v>2</v>
      </c>
      <c r="BO434" t="n">
        <v>3</v>
      </c>
      <c r="BP434" t="n">
        <v>2</v>
      </c>
      <c r="BR434" t="n">
        <v>1</v>
      </c>
      <c r="BS434" s="56">
        <f>IF(COUNT(N434:W434)&gt;=8,AVERAGE(N434:W434),"")</f>
        <v/>
      </c>
      <c r="BT434" s="56">
        <f>IF(COUNT(X434:AE434)&gt;=7,AVERAGE(X434:AE434),"")</f>
        <v/>
      </c>
      <c r="BU434" s="56">
        <f>IF(COUNT(AF434:AM434)&gt;=7,AVERAGE(AF434:AM434),"")</f>
        <v/>
      </c>
      <c r="BV434" s="56">
        <f>IF(COUNT(AN434:AV434)&gt;=8,AVERAGE(AN434:AV434),"")</f>
        <v/>
      </c>
      <c r="BW434" s="56">
        <f>IF(COUNT(AW434:BD434)&gt;=7,AVERAGE(AW434:BD434),"")</f>
        <v/>
      </c>
      <c r="BX434" s="56">
        <f>IF(COUNT(BE434:BJ434)&gt;=5,AVERAGE(BE434:BJ434),"")</f>
        <v/>
      </c>
      <c r="BY434" s="56">
        <f>IF(COUNT(BK434:BR434)&gt;=7,AVERAGE(BK434:BR434),"")</f>
        <v/>
      </c>
    </row>
    <row r="435">
      <c r="A435" t="inlineStr">
        <is>
          <t>R404</t>
        </is>
      </c>
      <c r="B435" t="inlineStr">
        <is>
          <t>Yes</t>
        </is>
      </c>
      <c r="C435" t="inlineStr">
        <is>
          <t>Yes</t>
        </is>
      </c>
      <c r="D435" t="inlineStr">
        <is>
          <t>Female</t>
        </is>
      </c>
      <c r="E435" t="inlineStr">
        <is>
          <t>35-44</t>
        </is>
      </c>
      <c r="F435" t="inlineStr">
        <is>
          <t>Master's</t>
        </is>
      </c>
      <c r="G435" t="inlineStr">
        <is>
          <t>Merchant bank</t>
        </is>
      </c>
      <c r="H435" t="inlineStr">
        <is>
          <t>Customer Experience/Service</t>
        </is>
      </c>
      <c r="I435" t="inlineStr">
        <is>
          <t>2-5</t>
        </is>
      </c>
      <c r="J435" t="inlineStr">
        <is>
          <t>Yes</t>
        </is>
      </c>
      <c r="K435" t="n">
        <v>3</v>
      </c>
      <c r="L435" t="inlineStr">
        <is>
          <t>Yes</t>
        </is>
      </c>
      <c r="M435" t="inlineStr">
        <is>
          <t>Yes</t>
        </is>
      </c>
      <c r="N435" t="n">
        <v>3</v>
      </c>
      <c r="O435" t="n">
        <v>2</v>
      </c>
      <c r="P435" t="n">
        <v>3</v>
      </c>
      <c r="Q435" t="n">
        <v>3</v>
      </c>
      <c r="R435" t="n">
        <v>3</v>
      </c>
      <c r="S435" t="n">
        <v>4</v>
      </c>
      <c r="T435" t="n">
        <v>3</v>
      </c>
      <c r="U435" t="n">
        <v>4</v>
      </c>
      <c r="V435" t="n">
        <v>4</v>
      </c>
      <c r="W435" t="n">
        <v>3</v>
      </c>
      <c r="X435" t="n">
        <v>3</v>
      </c>
      <c r="Y435" t="n">
        <v>4</v>
      </c>
      <c r="Z435" t="n">
        <v>3</v>
      </c>
      <c r="AA435" t="n">
        <v>4</v>
      </c>
      <c r="AB435" t="n">
        <v>3</v>
      </c>
      <c r="AC435" t="n">
        <v>3</v>
      </c>
      <c r="AD435" t="n">
        <v>3</v>
      </c>
      <c r="AE435" t="n">
        <v>3</v>
      </c>
      <c r="AF435" t="n">
        <v>4</v>
      </c>
      <c r="AG435" t="n">
        <v>5</v>
      </c>
      <c r="AH435" t="n">
        <v>4</v>
      </c>
      <c r="AI435" t="n">
        <v>4</v>
      </c>
      <c r="AJ435" t="n">
        <v>4</v>
      </c>
      <c r="AK435" t="n">
        <v>4</v>
      </c>
      <c r="AL435" t="n">
        <v>4</v>
      </c>
      <c r="AM435" t="n">
        <v>4</v>
      </c>
      <c r="AN435" t="n">
        <v>4</v>
      </c>
      <c r="AO435" t="n">
        <v>4</v>
      </c>
      <c r="AP435" t="n">
        <v>4</v>
      </c>
      <c r="AQ435" t="n">
        <v>3</v>
      </c>
      <c r="AR435" t="n">
        <v>5</v>
      </c>
      <c r="AS435" t="n">
        <v>5</v>
      </c>
      <c r="AT435" t="n">
        <v>4</v>
      </c>
      <c r="AU435" t="n">
        <v>3</v>
      </c>
      <c r="AV435" t="n">
        <v>3</v>
      </c>
      <c r="AW435" t="n">
        <v>3</v>
      </c>
      <c r="AX435" t="n">
        <v>4</v>
      </c>
      <c r="AY435" t="n">
        <v>5</v>
      </c>
      <c r="AZ435" t="n">
        <v>3</v>
      </c>
      <c r="BA435" t="n">
        <v>4</v>
      </c>
      <c r="BB435" t="n">
        <v>5</v>
      </c>
      <c r="BC435" t="n">
        <v>4</v>
      </c>
      <c r="BD435" t="n">
        <v>4</v>
      </c>
      <c r="BE435" t="n">
        <v>4</v>
      </c>
      <c r="BF435" t="n">
        <v>4</v>
      </c>
      <c r="BG435" t="n">
        <v>2</v>
      </c>
      <c r="BH435" t="n">
        <v>4</v>
      </c>
      <c r="BI435" t="n">
        <v>4</v>
      </c>
      <c r="BJ435" t="n">
        <v>3</v>
      </c>
      <c r="BK435" t="n">
        <v>3</v>
      </c>
      <c r="BL435" t="n">
        <v>4</v>
      </c>
      <c r="BM435" t="n">
        <v>4</v>
      </c>
      <c r="BN435" t="n">
        <v>3</v>
      </c>
      <c r="BO435" t="n">
        <v>3</v>
      </c>
      <c r="BP435" t="n">
        <v>2</v>
      </c>
      <c r="BQ435" t="n">
        <v>4</v>
      </c>
      <c r="BR435" t="n">
        <v>2</v>
      </c>
      <c r="BS435" s="56">
        <f>IF(COUNT(N435:W435)&gt;=8,AVERAGE(N435:W435),"")</f>
        <v/>
      </c>
      <c r="BT435" s="56">
        <f>IF(COUNT(X435:AE435)&gt;=7,AVERAGE(X435:AE435),"")</f>
        <v/>
      </c>
      <c r="BU435" s="56">
        <f>IF(COUNT(AF435:AM435)&gt;=7,AVERAGE(AF435:AM435),"")</f>
        <v/>
      </c>
      <c r="BV435" s="56">
        <f>IF(COUNT(AN435:AV435)&gt;=8,AVERAGE(AN435:AV435),"")</f>
        <v/>
      </c>
      <c r="BW435" s="56">
        <f>IF(COUNT(AW435:BD435)&gt;=7,AVERAGE(AW435:BD435),"")</f>
        <v/>
      </c>
      <c r="BX435" s="56">
        <f>IF(COUNT(BE435:BJ435)&gt;=5,AVERAGE(BE435:BJ435),"")</f>
        <v/>
      </c>
      <c r="BY435" s="56">
        <f>IF(COUNT(BK435:BR435)&gt;=7,AVERAGE(BK435:BR435),"")</f>
        <v/>
      </c>
    </row>
    <row r="436">
      <c r="A436" t="inlineStr">
        <is>
          <t>R405</t>
        </is>
      </c>
      <c r="B436" t="inlineStr">
        <is>
          <t>Yes</t>
        </is>
      </c>
      <c r="C436" t="inlineStr">
        <is>
          <t>Yes</t>
        </is>
      </c>
      <c r="D436" t="inlineStr">
        <is>
          <t>Male</t>
        </is>
      </c>
      <c r="E436" t="inlineStr">
        <is>
          <t>45-54</t>
        </is>
      </c>
      <c r="F436" t="inlineStr">
        <is>
          <t>Bachelor/HND</t>
        </is>
      </c>
      <c r="G436" t="inlineStr">
        <is>
          <t>Commercial bank</t>
        </is>
      </c>
      <c r="H436" t="inlineStr">
        <is>
          <t>Digital Banking/Product</t>
        </is>
      </c>
      <c r="I436" t="inlineStr">
        <is>
          <t>11-15</t>
        </is>
      </c>
      <c r="J436" t="inlineStr">
        <is>
          <t>Yes</t>
        </is>
      </c>
      <c r="K436" t="n">
        <v>0</v>
      </c>
      <c r="L436" t="inlineStr">
        <is>
          <t>No</t>
        </is>
      </c>
      <c r="M436" t="inlineStr">
        <is>
          <t>Yes</t>
        </is>
      </c>
      <c r="N436" t="n">
        <v>4</v>
      </c>
      <c r="O436" t="n">
        <v>3</v>
      </c>
      <c r="P436" t="n">
        <v>4</v>
      </c>
      <c r="Q436" t="n">
        <v>3</v>
      </c>
      <c r="R436" t="n">
        <v>2</v>
      </c>
      <c r="S436" t="n">
        <v>4</v>
      </c>
      <c r="T436" t="n">
        <v>1</v>
      </c>
      <c r="U436" t="n">
        <v>2</v>
      </c>
      <c r="V436" t="n">
        <v>3</v>
      </c>
      <c r="W436" t="n">
        <v>3</v>
      </c>
      <c r="X436" t="n">
        <v>2</v>
      </c>
      <c r="Y436" t="n">
        <v>4</v>
      </c>
      <c r="Z436" t="n">
        <v>3</v>
      </c>
      <c r="AA436" t="n">
        <v>3</v>
      </c>
      <c r="AB436" t="n">
        <v>3</v>
      </c>
      <c r="AC436" t="n">
        <v>3</v>
      </c>
      <c r="AD436" t="n">
        <v>4</v>
      </c>
      <c r="AE436" t="n">
        <v>3</v>
      </c>
      <c r="AF436" t="n">
        <v>4</v>
      </c>
      <c r="AG436" t="n">
        <v>3</v>
      </c>
      <c r="AH436" t="n">
        <v>3</v>
      </c>
      <c r="AI436" t="n">
        <v>5</v>
      </c>
      <c r="AJ436" t="n">
        <v>3</v>
      </c>
      <c r="AK436" t="n">
        <v>4</v>
      </c>
      <c r="AL436" t="n">
        <v>3</v>
      </c>
      <c r="AM436" t="n">
        <v>3</v>
      </c>
      <c r="AN436" t="n">
        <v>2</v>
      </c>
      <c r="AO436" t="n">
        <v>3</v>
      </c>
      <c r="AP436" t="n">
        <v>2</v>
      </c>
      <c r="AQ436" t="n">
        <v>2</v>
      </c>
      <c r="AR436" t="n">
        <v>3</v>
      </c>
      <c r="AS436" t="n">
        <v>2</v>
      </c>
      <c r="AT436" t="n">
        <v>2</v>
      </c>
      <c r="AV436" t="n">
        <v>3</v>
      </c>
      <c r="AW436" t="n">
        <v>3</v>
      </c>
      <c r="AX436" t="n">
        <v>3</v>
      </c>
      <c r="AY436" t="n">
        <v>1</v>
      </c>
      <c r="AZ436" t="n">
        <v>1</v>
      </c>
      <c r="BA436" t="n">
        <v>2</v>
      </c>
      <c r="BB436" t="n">
        <v>3</v>
      </c>
      <c r="BC436" t="n">
        <v>2</v>
      </c>
      <c r="BD436" t="n">
        <v>2</v>
      </c>
      <c r="BE436" t="n">
        <v>2</v>
      </c>
      <c r="BF436" t="n">
        <v>2</v>
      </c>
      <c r="BG436" t="n">
        <v>3</v>
      </c>
      <c r="BH436" t="n">
        <v>3</v>
      </c>
      <c r="BI436" t="n">
        <v>2</v>
      </c>
      <c r="BJ436" t="n">
        <v>2</v>
      </c>
      <c r="BK436" t="n">
        <v>4</v>
      </c>
      <c r="BL436" t="n">
        <v>3</v>
      </c>
      <c r="BM436" t="n">
        <v>4</v>
      </c>
      <c r="BN436" t="n">
        <v>2</v>
      </c>
      <c r="BO436" t="n">
        <v>4</v>
      </c>
      <c r="BP436" t="n">
        <v>2</v>
      </c>
      <c r="BQ436" t="n">
        <v>3</v>
      </c>
      <c r="BR436" t="n">
        <v>3</v>
      </c>
      <c r="BS436" s="56">
        <f>IF(COUNT(N436:W436)&gt;=8,AVERAGE(N436:W436),"")</f>
        <v/>
      </c>
      <c r="BT436" s="56">
        <f>IF(COUNT(X436:AE436)&gt;=7,AVERAGE(X436:AE436),"")</f>
        <v/>
      </c>
      <c r="BU436" s="56">
        <f>IF(COUNT(AF436:AM436)&gt;=7,AVERAGE(AF436:AM436),"")</f>
        <v/>
      </c>
      <c r="BV436" s="56">
        <f>IF(COUNT(AN436:AV436)&gt;=8,AVERAGE(AN436:AV436),"")</f>
        <v/>
      </c>
      <c r="BW436" s="56">
        <f>IF(COUNT(AW436:BD436)&gt;=7,AVERAGE(AW436:BD436),"")</f>
        <v/>
      </c>
      <c r="BX436" s="56">
        <f>IF(COUNT(BE436:BJ436)&gt;=5,AVERAGE(BE436:BJ436),"")</f>
        <v/>
      </c>
      <c r="BY436" s="56">
        <f>IF(COUNT(BK436:BR436)&gt;=7,AVERAGE(BK436:BR436),"")</f>
        <v/>
      </c>
    </row>
    <row r="437">
      <c r="A437" t="inlineStr">
        <is>
          <t>R406</t>
        </is>
      </c>
      <c r="B437" t="inlineStr">
        <is>
          <t>Yes</t>
        </is>
      </c>
      <c r="C437" t="inlineStr">
        <is>
          <t>Yes</t>
        </is>
      </c>
      <c r="D437" t="inlineStr">
        <is>
          <t>Female</t>
        </is>
      </c>
      <c r="E437" t="inlineStr">
        <is>
          <t>35-44</t>
        </is>
      </c>
      <c r="F437" t="inlineStr">
        <is>
          <t>Bachelor/HND</t>
        </is>
      </c>
      <c r="G437" t="inlineStr">
        <is>
          <t>Merchant bank</t>
        </is>
      </c>
      <c r="H437" t="inlineStr">
        <is>
          <t>Management/Strategy</t>
        </is>
      </c>
      <c r="I437" t="inlineStr">
        <is>
          <t>11-15</t>
        </is>
      </c>
      <c r="J437" t="inlineStr">
        <is>
          <t>Yes</t>
        </is>
      </c>
      <c r="K437" t="n">
        <v>2</v>
      </c>
      <c r="L437" t="inlineStr">
        <is>
          <t>Yes</t>
        </is>
      </c>
      <c r="M437" t="inlineStr">
        <is>
          <t>Yes</t>
        </is>
      </c>
      <c r="N437" t="n">
        <v>1</v>
      </c>
      <c r="O437" t="n">
        <v>2</v>
      </c>
      <c r="P437" t="n">
        <v>2</v>
      </c>
      <c r="Q437" t="n">
        <v>1</v>
      </c>
      <c r="R437" t="n">
        <v>2</v>
      </c>
      <c r="S437" t="n">
        <v>3</v>
      </c>
      <c r="T437" t="n">
        <v>2</v>
      </c>
      <c r="U437" t="n">
        <v>3</v>
      </c>
      <c r="V437" t="n">
        <v>2</v>
      </c>
      <c r="W437" t="n">
        <v>2</v>
      </c>
      <c r="X437" t="n">
        <v>4</v>
      </c>
      <c r="Y437" t="n">
        <v>4</v>
      </c>
      <c r="Z437" t="n">
        <v>5</v>
      </c>
      <c r="AA437" t="n">
        <v>4</v>
      </c>
      <c r="AB437" t="n">
        <v>5</v>
      </c>
      <c r="AC437" t="n">
        <v>4</v>
      </c>
      <c r="AD437" t="n">
        <v>3</v>
      </c>
      <c r="AE437" t="n">
        <v>3</v>
      </c>
      <c r="AF437" t="n">
        <v>4</v>
      </c>
      <c r="AG437" t="n">
        <v>5</v>
      </c>
      <c r="AH437" t="n">
        <v>3</v>
      </c>
      <c r="AI437" t="n">
        <v>4</v>
      </c>
      <c r="AJ437" t="n">
        <v>5</v>
      </c>
      <c r="AK437" t="n">
        <v>5</v>
      </c>
      <c r="AL437" t="n">
        <v>4</v>
      </c>
      <c r="AN437" t="n">
        <v>3</v>
      </c>
      <c r="AO437" t="n">
        <v>3</v>
      </c>
      <c r="AP437" t="n">
        <v>2</v>
      </c>
      <c r="AQ437" t="n">
        <v>2</v>
      </c>
      <c r="AR437" t="n">
        <v>3</v>
      </c>
      <c r="AS437" t="n">
        <v>3</v>
      </c>
      <c r="AT437" t="n">
        <v>3</v>
      </c>
      <c r="AU437" t="n">
        <v>4</v>
      </c>
      <c r="AV437" t="n">
        <v>3</v>
      </c>
      <c r="AW437" t="n">
        <v>4</v>
      </c>
      <c r="AX437" t="n">
        <v>4</v>
      </c>
      <c r="AY437" t="n">
        <v>4</v>
      </c>
      <c r="AZ437" t="n">
        <v>5</v>
      </c>
      <c r="BA437" t="n">
        <v>5</v>
      </c>
      <c r="BB437" t="n">
        <v>3</v>
      </c>
      <c r="BC437" t="n">
        <v>5</v>
      </c>
      <c r="BD437" t="n">
        <v>3</v>
      </c>
      <c r="BE437" t="n">
        <v>5</v>
      </c>
      <c r="BF437" t="n">
        <v>4</v>
      </c>
      <c r="BG437" t="n">
        <v>4</v>
      </c>
      <c r="BH437" t="n">
        <v>5</v>
      </c>
      <c r="BI437" t="n">
        <v>4</v>
      </c>
      <c r="BJ437" t="n">
        <v>4</v>
      </c>
      <c r="BK437" t="n">
        <v>3</v>
      </c>
      <c r="BL437" t="n">
        <v>2</v>
      </c>
      <c r="BM437" t="n">
        <v>2</v>
      </c>
      <c r="BN437" t="n">
        <v>3</v>
      </c>
      <c r="BO437" t="n">
        <v>3</v>
      </c>
      <c r="BP437" t="n">
        <v>3</v>
      </c>
      <c r="BQ437" t="n">
        <v>3</v>
      </c>
      <c r="BR437" t="n">
        <v>2</v>
      </c>
      <c r="BS437" s="56">
        <f>IF(COUNT(N437:W437)&gt;=8,AVERAGE(N437:W437),"")</f>
        <v/>
      </c>
      <c r="BT437" s="56">
        <f>IF(COUNT(X437:AE437)&gt;=7,AVERAGE(X437:AE437),"")</f>
        <v/>
      </c>
      <c r="BU437" s="56">
        <f>IF(COUNT(AF437:AM437)&gt;=7,AVERAGE(AF437:AM437),"")</f>
        <v/>
      </c>
      <c r="BV437" s="56">
        <f>IF(COUNT(AN437:AV437)&gt;=8,AVERAGE(AN437:AV437),"")</f>
        <v/>
      </c>
      <c r="BW437" s="56">
        <f>IF(COUNT(AW437:BD437)&gt;=7,AVERAGE(AW437:BD437),"")</f>
        <v/>
      </c>
      <c r="BX437" s="56">
        <f>IF(COUNT(BE437:BJ437)&gt;=5,AVERAGE(BE437:BJ437),"")</f>
        <v/>
      </c>
      <c r="BY437" s="56">
        <f>IF(COUNT(BK437:BR437)&gt;=7,AVERAGE(BK437:BR437),"")</f>
        <v/>
      </c>
    </row>
    <row r="438">
      <c r="A438" t="inlineStr">
        <is>
          <t>R407</t>
        </is>
      </c>
      <c r="B438" t="inlineStr">
        <is>
          <t>Yes</t>
        </is>
      </c>
      <c r="C438" t="inlineStr">
        <is>
          <t>Yes</t>
        </is>
      </c>
      <c r="D438" t="inlineStr">
        <is>
          <t>Female</t>
        </is>
      </c>
      <c r="E438" t="inlineStr">
        <is>
          <t>25-34</t>
        </is>
      </c>
      <c r="F438" t="inlineStr">
        <is>
          <t>Master's</t>
        </is>
      </c>
      <c r="G438" t="inlineStr">
        <is>
          <t>Fintech/payment provider</t>
        </is>
      </c>
      <c r="H438" t="inlineStr">
        <is>
          <t>Relationship/Marketing</t>
        </is>
      </c>
      <c r="I438" t="inlineStr">
        <is>
          <t>11-15</t>
        </is>
      </c>
      <c r="J438" t="inlineStr">
        <is>
          <t>Yes</t>
        </is>
      </c>
      <c r="K438" t="n">
        <v>1</v>
      </c>
      <c r="L438" t="inlineStr">
        <is>
          <t>No</t>
        </is>
      </c>
      <c r="M438" t="inlineStr">
        <is>
          <t>Yes</t>
        </is>
      </c>
      <c r="N438" t="n">
        <v>2</v>
      </c>
      <c r="O438" t="n">
        <v>3</v>
      </c>
      <c r="P438" t="n">
        <v>5</v>
      </c>
      <c r="Q438" t="n">
        <v>2</v>
      </c>
      <c r="R438" t="n">
        <v>2</v>
      </c>
      <c r="S438" t="n">
        <v>3</v>
      </c>
      <c r="T438" t="n">
        <v>2</v>
      </c>
      <c r="U438" t="n">
        <v>4</v>
      </c>
      <c r="V438" t="n">
        <v>4</v>
      </c>
      <c r="W438" t="n">
        <v>3</v>
      </c>
      <c r="X438" t="n">
        <v>2</v>
      </c>
      <c r="Y438" t="n">
        <v>1</v>
      </c>
      <c r="Z438" t="n">
        <v>2</v>
      </c>
      <c r="AA438" t="n">
        <v>2</v>
      </c>
      <c r="AB438" t="n">
        <v>3</v>
      </c>
      <c r="AC438" t="n">
        <v>3</v>
      </c>
      <c r="AD438" t="n">
        <v>2</v>
      </c>
      <c r="AE438" t="n">
        <v>1</v>
      </c>
      <c r="AF438" t="n">
        <v>2</v>
      </c>
      <c r="AG438" t="n">
        <v>2</v>
      </c>
      <c r="AH438" t="n">
        <v>2</v>
      </c>
      <c r="AI438" t="n">
        <v>3</v>
      </c>
      <c r="AJ438" t="n">
        <v>3</v>
      </c>
      <c r="AK438" t="n">
        <v>3</v>
      </c>
      <c r="AL438" t="n">
        <v>2</v>
      </c>
      <c r="AM438" t="n">
        <v>2</v>
      </c>
      <c r="AN438" t="n">
        <v>3</v>
      </c>
      <c r="AO438" t="n">
        <v>2</v>
      </c>
      <c r="AP438" t="n">
        <v>3</v>
      </c>
      <c r="AQ438" t="n">
        <v>2</v>
      </c>
      <c r="AR438" t="n">
        <v>4</v>
      </c>
      <c r="AS438" t="n">
        <v>2</v>
      </c>
      <c r="AT438" t="n">
        <v>2</v>
      </c>
      <c r="AU438" t="n">
        <v>1</v>
      </c>
      <c r="AV438" t="n">
        <v>2</v>
      </c>
      <c r="AW438" t="n">
        <v>4</v>
      </c>
      <c r="AX438" t="n">
        <v>2</v>
      </c>
      <c r="AY438" t="n">
        <v>3</v>
      </c>
      <c r="AZ438" t="n">
        <v>3</v>
      </c>
      <c r="BA438" t="n">
        <v>4</v>
      </c>
      <c r="BB438" t="n">
        <v>2</v>
      </c>
      <c r="BC438" t="n">
        <v>2</v>
      </c>
      <c r="BD438" t="n">
        <v>2</v>
      </c>
      <c r="BE438" t="n">
        <v>3</v>
      </c>
      <c r="BF438" t="n">
        <v>3</v>
      </c>
      <c r="BG438" t="n">
        <v>2</v>
      </c>
      <c r="BH438" t="n">
        <v>4</v>
      </c>
      <c r="BI438" t="n">
        <v>3</v>
      </c>
      <c r="BJ438" t="n">
        <v>2</v>
      </c>
      <c r="BK438" t="n">
        <v>4</v>
      </c>
      <c r="BL438" t="n">
        <v>3</v>
      </c>
      <c r="BN438" t="n">
        <v>3</v>
      </c>
      <c r="BO438" t="n">
        <v>3</v>
      </c>
      <c r="BP438" t="n">
        <v>3</v>
      </c>
      <c r="BQ438" t="n">
        <v>4</v>
      </c>
      <c r="BR438" t="n">
        <v>4</v>
      </c>
      <c r="BS438" s="56">
        <f>IF(COUNT(N438:W438)&gt;=8,AVERAGE(N438:W438),"")</f>
        <v/>
      </c>
      <c r="BT438" s="56">
        <f>IF(COUNT(X438:AE438)&gt;=7,AVERAGE(X438:AE438),"")</f>
        <v/>
      </c>
      <c r="BU438" s="56">
        <f>IF(COUNT(AF438:AM438)&gt;=7,AVERAGE(AF438:AM438),"")</f>
        <v/>
      </c>
      <c r="BV438" s="56">
        <f>IF(COUNT(AN438:AV438)&gt;=8,AVERAGE(AN438:AV438),"")</f>
        <v/>
      </c>
      <c r="BW438" s="56">
        <f>IF(COUNT(AW438:BD438)&gt;=7,AVERAGE(AW438:BD438),"")</f>
        <v/>
      </c>
      <c r="BX438" s="56">
        <f>IF(COUNT(BE438:BJ438)&gt;=5,AVERAGE(BE438:BJ438),"")</f>
        <v/>
      </c>
      <c r="BY438" s="56">
        <f>IF(COUNT(BK438:BR438)&gt;=7,AVERAGE(BK438:BR438),"")</f>
        <v/>
      </c>
    </row>
    <row r="439">
      <c r="A439" t="inlineStr">
        <is>
          <t>R408</t>
        </is>
      </c>
      <c r="B439" t="inlineStr">
        <is>
          <t>Yes</t>
        </is>
      </c>
      <c r="C439" t="inlineStr">
        <is>
          <t>Yes</t>
        </is>
      </c>
      <c r="D439" t="inlineStr">
        <is>
          <t>Male</t>
        </is>
      </c>
      <c r="E439" t="inlineStr">
        <is>
          <t>35-44</t>
        </is>
      </c>
      <c r="F439" t="inlineStr">
        <is>
          <t>Master's</t>
        </is>
      </c>
      <c r="G439" t="inlineStr">
        <is>
          <t>Fintech/payment provider</t>
        </is>
      </c>
      <c r="H439" t="inlineStr">
        <is>
          <t>Other</t>
        </is>
      </c>
      <c r="I439" t="inlineStr">
        <is>
          <t>11-15</t>
        </is>
      </c>
      <c r="J439" t="inlineStr">
        <is>
          <t>Yes</t>
        </is>
      </c>
      <c r="K439" t="n">
        <v>3</v>
      </c>
      <c r="L439" t="inlineStr">
        <is>
          <t>Do not know</t>
        </is>
      </c>
      <c r="M439" t="inlineStr">
        <is>
          <t>Yes</t>
        </is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4</v>
      </c>
      <c r="Y439" t="n">
        <v>3</v>
      </c>
      <c r="Z439" t="n">
        <v>5</v>
      </c>
      <c r="AA439" t="n">
        <v>2</v>
      </c>
      <c r="AB439" t="n">
        <v>3</v>
      </c>
      <c r="AC439" t="n">
        <v>3</v>
      </c>
      <c r="AD439" t="n">
        <v>3</v>
      </c>
      <c r="AE439" t="n">
        <v>4</v>
      </c>
      <c r="AF439" t="n">
        <v>3</v>
      </c>
      <c r="AG439" t="n">
        <v>2</v>
      </c>
      <c r="AH439" t="n">
        <v>3</v>
      </c>
      <c r="AI439" t="n">
        <v>4</v>
      </c>
      <c r="AJ439" t="n">
        <v>3</v>
      </c>
      <c r="AK439" t="n">
        <v>4</v>
      </c>
      <c r="AL439" t="n">
        <v>3</v>
      </c>
      <c r="AM439" t="n">
        <v>2</v>
      </c>
      <c r="AN439" t="n">
        <v>3</v>
      </c>
      <c r="AO439" t="n">
        <v>2</v>
      </c>
      <c r="AP439" t="n">
        <v>1</v>
      </c>
      <c r="AQ439" t="n">
        <v>3</v>
      </c>
      <c r="AR439" t="n">
        <v>3</v>
      </c>
      <c r="AS439" t="n">
        <v>3</v>
      </c>
      <c r="AT439" t="n">
        <v>3</v>
      </c>
      <c r="AU439" t="n">
        <v>2</v>
      </c>
      <c r="AV439" t="n">
        <v>2</v>
      </c>
      <c r="AW439" t="n">
        <v>3</v>
      </c>
      <c r="AX439" t="n">
        <v>2</v>
      </c>
      <c r="AY439" t="n">
        <v>2</v>
      </c>
      <c r="AZ439" t="n">
        <v>3</v>
      </c>
      <c r="BA439" t="n">
        <v>3</v>
      </c>
      <c r="BB439" t="n">
        <v>3</v>
      </c>
      <c r="BC439" t="n">
        <v>3</v>
      </c>
      <c r="BD439" t="n">
        <v>1</v>
      </c>
      <c r="BE439" t="n">
        <v>2</v>
      </c>
      <c r="BF439" t="n">
        <v>3</v>
      </c>
      <c r="BG439" t="n">
        <v>3</v>
      </c>
      <c r="BH439" t="n">
        <v>3</v>
      </c>
      <c r="BI439" t="n">
        <v>2</v>
      </c>
      <c r="BJ439" t="n">
        <v>3</v>
      </c>
      <c r="BK439" t="n">
        <v>2</v>
      </c>
      <c r="BL439" t="n">
        <v>2</v>
      </c>
      <c r="BM439" t="n">
        <v>2</v>
      </c>
      <c r="BN439" t="n">
        <v>2</v>
      </c>
      <c r="BO439" t="n">
        <v>2</v>
      </c>
      <c r="BP439" t="n">
        <v>1</v>
      </c>
      <c r="BQ439" t="n">
        <v>2</v>
      </c>
      <c r="BR439" t="n">
        <v>1</v>
      </c>
      <c r="BS439" s="56">
        <f>IF(COUNT(N439:W439)&gt;=8,AVERAGE(N439:W439),"")</f>
        <v/>
      </c>
      <c r="BT439" s="56">
        <f>IF(COUNT(X439:AE439)&gt;=7,AVERAGE(X439:AE439),"")</f>
        <v/>
      </c>
      <c r="BU439" s="56">
        <f>IF(COUNT(AF439:AM439)&gt;=7,AVERAGE(AF439:AM439),"")</f>
        <v/>
      </c>
      <c r="BV439" s="56">
        <f>IF(COUNT(AN439:AV439)&gt;=8,AVERAGE(AN439:AV439),"")</f>
        <v/>
      </c>
      <c r="BW439" s="56">
        <f>IF(COUNT(AW439:BD439)&gt;=7,AVERAGE(AW439:BD439),"")</f>
        <v/>
      </c>
      <c r="BX439" s="56">
        <f>IF(COUNT(BE439:BJ439)&gt;=5,AVERAGE(BE439:BJ439),"")</f>
        <v/>
      </c>
      <c r="BY439" s="56">
        <f>IF(COUNT(BK439:BR439)&gt;=7,AVERAGE(BK439:BR439),"")</f>
        <v/>
      </c>
    </row>
    <row r="440">
      <c r="A440" t="inlineStr">
        <is>
          <t>R409</t>
        </is>
      </c>
      <c r="B440" t="inlineStr">
        <is>
          <t>Yes</t>
        </is>
      </c>
      <c r="C440" t="inlineStr">
        <is>
          <t>Yes</t>
        </is>
      </c>
      <c r="D440" t="inlineStr">
        <is>
          <t>Male</t>
        </is>
      </c>
      <c r="E440" t="inlineStr">
        <is>
          <t>35-44</t>
        </is>
      </c>
      <c r="F440" t="inlineStr">
        <is>
          <t>Diploma/OND/NCE</t>
        </is>
      </c>
      <c r="G440" t="inlineStr">
        <is>
          <t>Microfinance bank</t>
        </is>
      </c>
      <c r="H440" t="inlineStr">
        <is>
          <t>Digital Banking/Product</t>
        </is>
      </c>
      <c r="I440" t="inlineStr">
        <is>
          <t>6-10</t>
        </is>
      </c>
      <c r="J440" t="inlineStr">
        <is>
          <t>Yes</t>
        </is>
      </c>
      <c r="K440" t="n">
        <v>3</v>
      </c>
      <c r="L440" t="inlineStr">
        <is>
          <t>Yes</t>
        </is>
      </c>
      <c r="M440" t="inlineStr">
        <is>
          <t>Yes</t>
        </is>
      </c>
      <c r="N440" t="n">
        <v>3</v>
      </c>
      <c r="O440" t="n">
        <v>3</v>
      </c>
      <c r="P440" t="n">
        <v>4</v>
      </c>
      <c r="Q440" t="n">
        <v>4</v>
      </c>
      <c r="R440" t="n">
        <v>4</v>
      </c>
      <c r="S440" t="n">
        <v>4</v>
      </c>
      <c r="T440" t="n">
        <v>3</v>
      </c>
      <c r="U440" t="n">
        <v>4</v>
      </c>
      <c r="V440" t="n">
        <v>5</v>
      </c>
      <c r="W440" t="n">
        <v>3</v>
      </c>
      <c r="X440" t="n">
        <v>5</v>
      </c>
      <c r="Y440" t="n">
        <v>4</v>
      </c>
      <c r="Z440" t="n">
        <v>5</v>
      </c>
      <c r="AA440" t="n">
        <v>4</v>
      </c>
      <c r="AB440" t="n">
        <v>3</v>
      </c>
      <c r="AC440" t="n">
        <v>4</v>
      </c>
      <c r="AD440" t="n">
        <v>5</v>
      </c>
      <c r="AE440" t="n">
        <v>3</v>
      </c>
      <c r="AF440" t="n">
        <v>2</v>
      </c>
      <c r="AG440" t="n">
        <v>2</v>
      </c>
      <c r="AH440" t="n">
        <v>4</v>
      </c>
      <c r="AI440" t="n">
        <v>4</v>
      </c>
      <c r="AJ440" t="n">
        <v>3</v>
      </c>
      <c r="AK440" t="n">
        <v>4</v>
      </c>
      <c r="AL440" t="n">
        <v>3</v>
      </c>
      <c r="AM440" t="n">
        <v>2</v>
      </c>
      <c r="AN440" t="n">
        <v>4</v>
      </c>
      <c r="AO440" t="n">
        <v>2</v>
      </c>
      <c r="AP440" t="n">
        <v>3</v>
      </c>
      <c r="AQ440" t="n">
        <v>3</v>
      </c>
      <c r="AR440" t="n">
        <v>4</v>
      </c>
      <c r="AS440" t="n">
        <v>4</v>
      </c>
      <c r="AT440" t="n">
        <v>3</v>
      </c>
      <c r="AU440" t="n">
        <v>4</v>
      </c>
      <c r="AV440" t="n">
        <v>4</v>
      </c>
      <c r="AW440" t="n">
        <v>4</v>
      </c>
      <c r="AX440" t="n">
        <v>3</v>
      </c>
      <c r="AY440" t="n">
        <v>3</v>
      </c>
      <c r="AZ440" t="n">
        <v>3</v>
      </c>
      <c r="BA440" t="n">
        <v>4</v>
      </c>
      <c r="BB440" t="n">
        <v>3</v>
      </c>
      <c r="BC440" t="n">
        <v>3</v>
      </c>
      <c r="BD440" t="n">
        <v>4</v>
      </c>
      <c r="BE440" t="n">
        <v>3</v>
      </c>
      <c r="BF440" t="n">
        <v>3</v>
      </c>
      <c r="BG440" t="n">
        <v>4</v>
      </c>
      <c r="BH440" t="n">
        <v>3</v>
      </c>
      <c r="BI440" t="n">
        <v>3</v>
      </c>
      <c r="BJ440" t="n">
        <v>3</v>
      </c>
      <c r="BK440" t="n">
        <v>4</v>
      </c>
      <c r="BL440" t="n">
        <v>3</v>
      </c>
      <c r="BM440" t="n">
        <v>3</v>
      </c>
      <c r="BN440" t="n">
        <v>4</v>
      </c>
      <c r="BO440" t="n">
        <v>4</v>
      </c>
      <c r="BP440" t="n">
        <v>4</v>
      </c>
      <c r="BQ440" t="n">
        <v>3</v>
      </c>
      <c r="BR440" t="n">
        <v>3</v>
      </c>
      <c r="BS440" s="56">
        <f>IF(COUNT(N440:W440)&gt;=8,AVERAGE(N440:W440),"")</f>
        <v/>
      </c>
      <c r="BT440" s="56">
        <f>IF(COUNT(X440:AE440)&gt;=7,AVERAGE(X440:AE440),"")</f>
        <v/>
      </c>
      <c r="BU440" s="56">
        <f>IF(COUNT(AF440:AM440)&gt;=7,AVERAGE(AF440:AM440),"")</f>
        <v/>
      </c>
      <c r="BV440" s="56">
        <f>IF(COUNT(AN440:AV440)&gt;=8,AVERAGE(AN440:AV440),"")</f>
        <v/>
      </c>
      <c r="BW440" s="56">
        <f>IF(COUNT(AW440:BD440)&gt;=7,AVERAGE(AW440:BD440),"")</f>
        <v/>
      </c>
      <c r="BX440" s="56">
        <f>IF(COUNT(BE440:BJ440)&gt;=5,AVERAGE(BE440:BJ440),"")</f>
        <v/>
      </c>
      <c r="BY440" s="56">
        <f>IF(COUNT(BK440:BR440)&gt;=7,AVERAGE(BK440:BR440),"")</f>
        <v/>
      </c>
    </row>
    <row r="441">
      <c r="A441" t="inlineStr">
        <is>
          <t>R410</t>
        </is>
      </c>
      <c r="B441" t="inlineStr">
        <is>
          <t>Yes</t>
        </is>
      </c>
      <c r="C441" t="inlineStr">
        <is>
          <t>Yes</t>
        </is>
      </c>
      <c r="D441" t="inlineStr">
        <is>
          <t>Male</t>
        </is>
      </c>
      <c r="E441" t="inlineStr">
        <is>
          <t>45-54</t>
        </is>
      </c>
      <c r="F441" t="inlineStr">
        <is>
          <t>Other</t>
        </is>
      </c>
      <c r="G441" t="inlineStr">
        <is>
          <t>Commercial bank</t>
        </is>
      </c>
      <c r="H441" t="inlineStr">
        <is>
          <t>Data/Analytics/AI</t>
        </is>
      </c>
      <c r="I441" t="inlineStr">
        <is>
          <t>6-10</t>
        </is>
      </c>
      <c r="J441" t="inlineStr">
        <is>
          <t>Yes</t>
        </is>
      </c>
      <c r="K441" t="n">
        <v>2</v>
      </c>
      <c r="L441" t="inlineStr">
        <is>
          <t>Yes</t>
        </is>
      </c>
      <c r="M441" t="inlineStr">
        <is>
          <t>Yes</t>
        </is>
      </c>
      <c r="N441" t="n">
        <v>4</v>
      </c>
      <c r="O441" t="n">
        <v>3</v>
      </c>
      <c r="P441" t="n">
        <v>4</v>
      </c>
      <c r="Q441" t="n">
        <v>3</v>
      </c>
      <c r="R441" t="n">
        <v>4</v>
      </c>
      <c r="S441" t="n">
        <v>4</v>
      </c>
      <c r="T441" t="n">
        <v>3</v>
      </c>
      <c r="U441" t="n">
        <v>3</v>
      </c>
      <c r="V441" t="n">
        <v>4</v>
      </c>
      <c r="W441" t="n">
        <v>4</v>
      </c>
      <c r="X441" t="n">
        <v>3</v>
      </c>
      <c r="Y441" t="n">
        <v>3</v>
      </c>
      <c r="Z441" t="n">
        <v>4</v>
      </c>
      <c r="AA441" t="n">
        <v>4</v>
      </c>
      <c r="AB441" t="n">
        <v>3</v>
      </c>
      <c r="AC441" t="n">
        <v>3</v>
      </c>
      <c r="AD441" t="n">
        <v>3</v>
      </c>
      <c r="AF441" t="n">
        <v>2</v>
      </c>
      <c r="AG441" t="n">
        <v>3</v>
      </c>
      <c r="AH441" t="n">
        <v>3</v>
      </c>
      <c r="AI441" t="n">
        <v>3</v>
      </c>
      <c r="AJ441" t="n">
        <v>3</v>
      </c>
      <c r="AK441" t="n">
        <v>3</v>
      </c>
      <c r="AL441" t="n">
        <v>1</v>
      </c>
      <c r="AM441" t="n">
        <v>2</v>
      </c>
      <c r="AN441" t="n">
        <v>3</v>
      </c>
      <c r="AO441" t="n">
        <v>3</v>
      </c>
      <c r="AP441" t="n">
        <v>4</v>
      </c>
      <c r="AQ441" t="n">
        <v>3</v>
      </c>
      <c r="AR441" t="n">
        <v>3</v>
      </c>
      <c r="AS441" t="n">
        <v>4</v>
      </c>
      <c r="AT441" t="n">
        <v>3</v>
      </c>
      <c r="AU441" t="n">
        <v>3</v>
      </c>
      <c r="AV441" t="n">
        <v>3</v>
      </c>
      <c r="AW441" t="n">
        <v>1</v>
      </c>
      <c r="AX441" t="n">
        <v>2</v>
      </c>
      <c r="AY441" t="n">
        <v>1</v>
      </c>
      <c r="AZ441" t="n">
        <v>1</v>
      </c>
      <c r="BA441" t="n">
        <v>2</v>
      </c>
      <c r="BB441" t="n">
        <v>2</v>
      </c>
      <c r="BC441" t="n">
        <v>3</v>
      </c>
      <c r="BD441" t="n">
        <v>2</v>
      </c>
      <c r="BE441" t="n">
        <v>3</v>
      </c>
      <c r="BF441" t="n">
        <v>4</v>
      </c>
      <c r="BG441" t="n">
        <v>2</v>
      </c>
      <c r="BH441" t="n">
        <v>2</v>
      </c>
      <c r="BI441" t="n">
        <v>4</v>
      </c>
      <c r="BJ441" t="n">
        <v>3</v>
      </c>
      <c r="BK441" t="n">
        <v>4</v>
      </c>
      <c r="BL441" t="n">
        <v>3</v>
      </c>
      <c r="BM441" t="n">
        <v>4</v>
      </c>
      <c r="BN441" t="n">
        <v>2</v>
      </c>
      <c r="BO441" t="n">
        <v>2</v>
      </c>
      <c r="BP441" t="n">
        <v>3</v>
      </c>
      <c r="BQ441" t="n">
        <v>5</v>
      </c>
      <c r="BR441" t="n">
        <v>3</v>
      </c>
      <c r="BS441" s="56">
        <f>IF(COUNT(N441:W441)&gt;=8,AVERAGE(N441:W441),"")</f>
        <v/>
      </c>
      <c r="BT441" s="56">
        <f>IF(COUNT(X441:AE441)&gt;=7,AVERAGE(X441:AE441),"")</f>
        <v/>
      </c>
      <c r="BU441" s="56">
        <f>IF(COUNT(AF441:AM441)&gt;=7,AVERAGE(AF441:AM441),"")</f>
        <v/>
      </c>
      <c r="BV441" s="56">
        <f>IF(COUNT(AN441:AV441)&gt;=8,AVERAGE(AN441:AV441),"")</f>
        <v/>
      </c>
      <c r="BW441" s="56">
        <f>IF(COUNT(AW441:BD441)&gt;=7,AVERAGE(AW441:BD441),"")</f>
        <v/>
      </c>
      <c r="BX441" s="56">
        <f>IF(COUNT(BE441:BJ441)&gt;=5,AVERAGE(BE441:BJ441),"")</f>
        <v/>
      </c>
      <c r="BY441" s="56">
        <f>IF(COUNT(BK441:BR441)&gt;=7,AVERAGE(BK441:BR441),"")</f>
        <v/>
      </c>
    </row>
    <row r="442">
      <c r="A442" t="inlineStr">
        <is>
          <t>R411</t>
        </is>
      </c>
      <c r="B442" t="inlineStr">
        <is>
          <t>Yes</t>
        </is>
      </c>
      <c r="C442" t="inlineStr">
        <is>
          <t>Yes</t>
        </is>
      </c>
      <c r="D442" t="inlineStr">
        <is>
          <t>Female</t>
        </is>
      </c>
      <c r="E442" t="inlineStr">
        <is>
          <t>18-24</t>
        </is>
      </c>
      <c r="F442" t="inlineStr">
        <is>
          <t>Postgraduate Diploma</t>
        </is>
      </c>
      <c r="G442" t="inlineStr">
        <is>
          <t>Insurance/investment/other licensed financial institution</t>
        </is>
      </c>
      <c r="H442" t="inlineStr">
        <is>
          <t>IT/Technology</t>
        </is>
      </c>
      <c r="I442" t="inlineStr">
        <is>
          <t>16 or more</t>
        </is>
      </c>
      <c r="J442" t="inlineStr">
        <is>
          <t>Yes</t>
        </is>
      </c>
      <c r="K442" t="n">
        <v>4</v>
      </c>
      <c r="L442" t="inlineStr">
        <is>
          <t>Yes</t>
        </is>
      </c>
      <c r="M442" t="inlineStr">
        <is>
          <t>Yes</t>
        </is>
      </c>
      <c r="N442" t="n">
        <v>3</v>
      </c>
      <c r="O442" t="n">
        <v>3</v>
      </c>
      <c r="P442" t="n">
        <v>2</v>
      </c>
      <c r="Q442" t="n">
        <v>3</v>
      </c>
      <c r="R442" t="n">
        <v>3</v>
      </c>
      <c r="S442" t="n">
        <v>4</v>
      </c>
      <c r="T442" t="n">
        <v>3</v>
      </c>
      <c r="U442" t="n">
        <v>4</v>
      </c>
      <c r="V442" t="n">
        <v>4</v>
      </c>
      <c r="W442" t="n">
        <v>4</v>
      </c>
      <c r="X442" t="n">
        <v>3</v>
      </c>
      <c r="Z442" t="n">
        <v>4</v>
      </c>
      <c r="AA442" t="n">
        <v>3</v>
      </c>
      <c r="AB442" t="n">
        <v>4</v>
      </c>
      <c r="AC442" t="n">
        <v>2</v>
      </c>
      <c r="AD442" t="n">
        <v>3</v>
      </c>
      <c r="AE442" t="n">
        <v>3</v>
      </c>
      <c r="AF442" t="n">
        <v>2</v>
      </c>
      <c r="AG442" t="n">
        <v>3</v>
      </c>
      <c r="AH442" t="n">
        <v>3</v>
      </c>
      <c r="AI442" t="n">
        <v>3</v>
      </c>
      <c r="AJ442" t="n">
        <v>3</v>
      </c>
      <c r="AK442" t="n">
        <v>2</v>
      </c>
      <c r="AL442" t="n">
        <v>2</v>
      </c>
      <c r="AM442" t="n">
        <v>2</v>
      </c>
      <c r="AN442" t="n">
        <v>5</v>
      </c>
      <c r="AO442" t="n">
        <v>4</v>
      </c>
      <c r="AP442" t="n">
        <v>4</v>
      </c>
      <c r="AQ442" t="n">
        <v>4</v>
      </c>
      <c r="AR442" t="n">
        <v>4</v>
      </c>
      <c r="AS442" t="n">
        <v>4</v>
      </c>
      <c r="AT442" t="n">
        <v>5</v>
      </c>
      <c r="AU442" t="n">
        <v>3</v>
      </c>
      <c r="AV442" t="n">
        <v>5</v>
      </c>
      <c r="AW442" t="n">
        <v>3</v>
      </c>
      <c r="AX442" t="n">
        <v>3</v>
      </c>
      <c r="AY442" t="n">
        <v>3</v>
      </c>
      <c r="AZ442" t="n">
        <v>1</v>
      </c>
      <c r="BB442" t="n">
        <v>3</v>
      </c>
      <c r="BC442" t="n">
        <v>2</v>
      </c>
      <c r="BD442" t="n">
        <v>3</v>
      </c>
      <c r="BE442" t="n">
        <v>4</v>
      </c>
      <c r="BF442" t="n">
        <v>3</v>
      </c>
      <c r="BG442" t="n">
        <v>3</v>
      </c>
      <c r="BH442" t="n">
        <v>4</v>
      </c>
      <c r="BI442" t="n">
        <v>4</v>
      </c>
      <c r="BJ442" t="n">
        <v>5</v>
      </c>
      <c r="BK442" t="n">
        <v>2</v>
      </c>
      <c r="BL442" t="n">
        <v>1</v>
      </c>
      <c r="BM442" t="n">
        <v>2</v>
      </c>
      <c r="BN442" t="n">
        <v>2</v>
      </c>
      <c r="BO442" t="n">
        <v>3</v>
      </c>
      <c r="BP442" t="n">
        <v>2</v>
      </c>
      <c r="BQ442" t="n">
        <v>3</v>
      </c>
      <c r="BR442" t="n">
        <v>1</v>
      </c>
      <c r="BS442" s="56">
        <f>IF(COUNT(N442:W442)&gt;=8,AVERAGE(N442:W442),"")</f>
        <v/>
      </c>
      <c r="BT442" s="56">
        <f>IF(COUNT(X442:AE442)&gt;=7,AVERAGE(X442:AE442),"")</f>
        <v/>
      </c>
      <c r="BU442" s="56">
        <f>IF(COUNT(AF442:AM442)&gt;=7,AVERAGE(AF442:AM442),"")</f>
        <v/>
      </c>
      <c r="BV442" s="56">
        <f>IF(COUNT(AN442:AV442)&gt;=8,AVERAGE(AN442:AV442),"")</f>
        <v/>
      </c>
      <c r="BW442" s="56">
        <f>IF(COUNT(AW442:BD442)&gt;=7,AVERAGE(AW442:BD442),"")</f>
        <v/>
      </c>
      <c r="BX442" s="56">
        <f>IF(COUNT(BE442:BJ442)&gt;=5,AVERAGE(BE442:BJ442),"")</f>
        <v/>
      </c>
      <c r="BY442" s="56">
        <f>IF(COUNT(BK442:BR442)&gt;=7,AVERAGE(BK442:BR442),"")</f>
        <v/>
      </c>
    </row>
    <row r="443">
      <c r="A443" t="inlineStr">
        <is>
          <t>R412</t>
        </is>
      </c>
      <c r="B443" t="inlineStr">
        <is>
          <t>Yes</t>
        </is>
      </c>
      <c r="C443" t="inlineStr">
        <is>
          <t>Yes</t>
        </is>
      </c>
      <c r="D443" t="inlineStr">
        <is>
          <t>Female</t>
        </is>
      </c>
      <c r="E443" t="inlineStr">
        <is>
          <t>25-34</t>
        </is>
      </c>
      <c r="F443" t="inlineStr">
        <is>
          <t>Bachelor/HND</t>
        </is>
      </c>
      <c r="G443" t="inlineStr">
        <is>
          <t>Commercial bank</t>
        </is>
      </c>
      <c r="H443" t="inlineStr">
        <is>
          <t>IT/Technology</t>
        </is>
      </c>
      <c r="I443" t="inlineStr">
        <is>
          <t>2-5</t>
        </is>
      </c>
      <c r="J443" t="inlineStr">
        <is>
          <t>Yes</t>
        </is>
      </c>
      <c r="K443" t="n">
        <v>0</v>
      </c>
      <c r="L443" t="inlineStr">
        <is>
          <t>No</t>
        </is>
      </c>
      <c r="M443" t="inlineStr">
        <is>
          <t>Yes</t>
        </is>
      </c>
      <c r="N443" t="n">
        <v>3</v>
      </c>
      <c r="O443" t="n">
        <v>3</v>
      </c>
      <c r="P443" t="n">
        <v>4</v>
      </c>
      <c r="Q443" t="n">
        <v>3</v>
      </c>
      <c r="R443" t="n">
        <v>2</v>
      </c>
      <c r="S443" t="n">
        <v>2</v>
      </c>
      <c r="T443" t="n">
        <v>1</v>
      </c>
      <c r="U443" t="n">
        <v>3</v>
      </c>
      <c r="V443" t="n">
        <v>2</v>
      </c>
      <c r="W443" t="n">
        <v>3</v>
      </c>
      <c r="X443" t="n">
        <v>5</v>
      </c>
      <c r="Y443" t="n">
        <v>3</v>
      </c>
      <c r="Z443" t="n">
        <v>3</v>
      </c>
      <c r="AB443" t="n">
        <v>3</v>
      </c>
      <c r="AC443" t="n">
        <v>2</v>
      </c>
      <c r="AD443" t="n">
        <v>2</v>
      </c>
      <c r="AE443" t="n">
        <v>3</v>
      </c>
      <c r="AF443" t="n">
        <v>3</v>
      </c>
      <c r="AG443" t="n">
        <v>3</v>
      </c>
      <c r="AH443" t="n">
        <v>1</v>
      </c>
      <c r="AI443" t="n">
        <v>4</v>
      </c>
      <c r="AJ443" t="n">
        <v>3</v>
      </c>
      <c r="AK443" t="n">
        <v>2</v>
      </c>
      <c r="AL443" t="n">
        <v>2</v>
      </c>
      <c r="AM443" t="n">
        <v>3</v>
      </c>
      <c r="AN443" t="n">
        <v>3</v>
      </c>
      <c r="AO443" t="n">
        <v>3</v>
      </c>
      <c r="AP443" t="n">
        <v>3</v>
      </c>
      <c r="AQ443" t="n">
        <v>2</v>
      </c>
      <c r="AR443" t="n">
        <v>3</v>
      </c>
      <c r="AS443" t="n">
        <v>3</v>
      </c>
      <c r="AT443" t="n">
        <v>4</v>
      </c>
      <c r="AU443" t="n">
        <v>3</v>
      </c>
      <c r="AV443" t="n">
        <v>3</v>
      </c>
      <c r="AW443" t="n">
        <v>3</v>
      </c>
      <c r="AX443" t="n">
        <v>2</v>
      </c>
      <c r="AY443" t="n">
        <v>2</v>
      </c>
      <c r="AZ443" t="n">
        <v>2</v>
      </c>
      <c r="BA443" t="n">
        <v>3</v>
      </c>
      <c r="BB443" t="n">
        <v>2</v>
      </c>
      <c r="BC443" t="n">
        <v>3</v>
      </c>
      <c r="BD443" t="n">
        <v>2</v>
      </c>
      <c r="BE443" t="n">
        <v>2</v>
      </c>
      <c r="BF443" t="n">
        <v>2</v>
      </c>
      <c r="BG443" t="n">
        <v>2</v>
      </c>
      <c r="BH443" t="n">
        <v>3</v>
      </c>
      <c r="BI443" t="n">
        <v>3</v>
      </c>
      <c r="BJ443" t="n">
        <v>1</v>
      </c>
      <c r="BK443" t="n">
        <v>2</v>
      </c>
      <c r="BL443" t="n">
        <v>3</v>
      </c>
      <c r="BM443" t="n">
        <v>4</v>
      </c>
      <c r="BN443" t="n">
        <v>2</v>
      </c>
      <c r="BO443" t="n">
        <v>4</v>
      </c>
      <c r="BP443" t="n">
        <v>2</v>
      </c>
      <c r="BQ443" t="n">
        <v>4</v>
      </c>
      <c r="BR443" t="n">
        <v>3</v>
      </c>
      <c r="BS443" s="56">
        <f>IF(COUNT(N443:W443)&gt;=8,AVERAGE(N443:W443),"")</f>
        <v/>
      </c>
      <c r="BT443" s="56">
        <f>IF(COUNT(X443:AE443)&gt;=7,AVERAGE(X443:AE443),"")</f>
        <v/>
      </c>
      <c r="BU443" s="56">
        <f>IF(COUNT(AF443:AM443)&gt;=7,AVERAGE(AF443:AM443),"")</f>
        <v/>
      </c>
      <c r="BV443" s="56">
        <f>IF(COUNT(AN443:AV443)&gt;=8,AVERAGE(AN443:AV443),"")</f>
        <v/>
      </c>
      <c r="BW443" s="56">
        <f>IF(COUNT(AW443:BD443)&gt;=7,AVERAGE(AW443:BD443),"")</f>
        <v/>
      </c>
      <c r="BX443" s="56">
        <f>IF(COUNT(BE443:BJ443)&gt;=5,AVERAGE(BE443:BJ443),"")</f>
        <v/>
      </c>
      <c r="BY443" s="56">
        <f>IF(COUNT(BK443:BR443)&gt;=7,AVERAGE(BK443:BR443),"")</f>
        <v/>
      </c>
    </row>
    <row r="444">
      <c r="A444" t="inlineStr">
        <is>
          <t>R413</t>
        </is>
      </c>
      <c r="B444" t="inlineStr">
        <is>
          <t>Yes</t>
        </is>
      </c>
      <c r="C444" t="inlineStr">
        <is>
          <t>Yes</t>
        </is>
      </c>
      <c r="D444" t="inlineStr">
        <is>
          <t>Male</t>
        </is>
      </c>
      <c r="E444" t="inlineStr">
        <is>
          <t>25-34</t>
        </is>
      </c>
      <c r="F444" t="inlineStr">
        <is>
          <t>Master's</t>
        </is>
      </c>
      <c r="G444" t="inlineStr">
        <is>
          <t>Merchant bank</t>
        </is>
      </c>
      <c r="H444" t="inlineStr">
        <is>
          <t>Management/Strategy</t>
        </is>
      </c>
      <c r="I444" t="inlineStr">
        <is>
          <t>6-10</t>
        </is>
      </c>
      <c r="J444" t="inlineStr">
        <is>
          <t>Yes</t>
        </is>
      </c>
      <c r="K444" t="n">
        <v>4</v>
      </c>
      <c r="L444" t="inlineStr">
        <is>
          <t>No</t>
        </is>
      </c>
      <c r="M444" t="inlineStr">
        <is>
          <t>Yes</t>
        </is>
      </c>
      <c r="N444" t="n">
        <v>3</v>
      </c>
      <c r="O444" t="n">
        <v>2</v>
      </c>
      <c r="P444" t="n">
        <v>3</v>
      </c>
      <c r="Q444" t="n">
        <v>1</v>
      </c>
      <c r="R444" t="n">
        <v>2</v>
      </c>
      <c r="S444" t="n">
        <v>2</v>
      </c>
      <c r="T444" t="n">
        <v>1</v>
      </c>
      <c r="U444" t="n">
        <v>2</v>
      </c>
      <c r="V444" t="n">
        <v>2</v>
      </c>
      <c r="W444" t="n">
        <v>3</v>
      </c>
      <c r="X444" t="n">
        <v>2</v>
      </c>
      <c r="Y444" t="n">
        <v>3</v>
      </c>
      <c r="Z444" t="n">
        <v>4</v>
      </c>
      <c r="AA444" t="n">
        <v>3</v>
      </c>
      <c r="AB444" t="n">
        <v>3</v>
      </c>
      <c r="AC444" t="n">
        <v>4</v>
      </c>
      <c r="AD444" t="n">
        <v>4</v>
      </c>
      <c r="AE444" t="n">
        <v>3</v>
      </c>
      <c r="AF444" t="n">
        <v>3</v>
      </c>
      <c r="AG444" t="n">
        <v>4</v>
      </c>
      <c r="AH444" t="n">
        <v>3</v>
      </c>
      <c r="AI444" t="n">
        <v>5</v>
      </c>
      <c r="AJ444" t="n">
        <v>3</v>
      </c>
      <c r="AK444" t="n">
        <v>3</v>
      </c>
      <c r="AL444" t="n">
        <v>4</v>
      </c>
      <c r="AM444" t="n">
        <v>3</v>
      </c>
      <c r="AN444" t="n">
        <v>5</v>
      </c>
      <c r="AO444" t="n">
        <v>4</v>
      </c>
      <c r="AP444" t="n">
        <v>4</v>
      </c>
      <c r="AQ444" t="n">
        <v>3</v>
      </c>
      <c r="AR444" t="n">
        <v>4</v>
      </c>
      <c r="AS444" t="n">
        <v>3</v>
      </c>
      <c r="AT444" t="n">
        <v>3</v>
      </c>
      <c r="AU444" t="n">
        <v>4</v>
      </c>
      <c r="AV444" t="n">
        <v>4</v>
      </c>
      <c r="AW444" t="n">
        <v>4</v>
      </c>
      <c r="AX444" t="n">
        <v>2</v>
      </c>
      <c r="AY444" t="n">
        <v>4</v>
      </c>
      <c r="AZ444" t="n">
        <v>3</v>
      </c>
      <c r="BA444" t="n">
        <v>2</v>
      </c>
      <c r="BB444" t="n">
        <v>4</v>
      </c>
      <c r="BC444" t="n">
        <v>3</v>
      </c>
      <c r="BD444" t="n">
        <v>2</v>
      </c>
      <c r="BE444" t="n">
        <v>2</v>
      </c>
      <c r="BF444" t="n">
        <v>3</v>
      </c>
      <c r="BG444" t="n">
        <v>3</v>
      </c>
      <c r="BH444" t="n">
        <v>3</v>
      </c>
      <c r="BI444" t="n">
        <v>3</v>
      </c>
      <c r="BJ444" t="n">
        <v>4</v>
      </c>
      <c r="BK444" t="n">
        <v>5</v>
      </c>
      <c r="BL444" t="n">
        <v>5</v>
      </c>
      <c r="BM444" t="n">
        <v>5</v>
      </c>
      <c r="BN444" t="n">
        <v>5</v>
      </c>
      <c r="BO444" t="n">
        <v>4</v>
      </c>
      <c r="BP444" t="n">
        <v>4</v>
      </c>
      <c r="BQ444" t="n">
        <v>5</v>
      </c>
      <c r="BR444" t="n">
        <v>3</v>
      </c>
      <c r="BS444" s="56">
        <f>IF(COUNT(N444:W444)&gt;=8,AVERAGE(N444:W444),"")</f>
        <v/>
      </c>
      <c r="BT444" s="56">
        <f>IF(COUNT(X444:AE444)&gt;=7,AVERAGE(X444:AE444),"")</f>
        <v/>
      </c>
      <c r="BU444" s="56">
        <f>IF(COUNT(AF444:AM444)&gt;=7,AVERAGE(AF444:AM444),"")</f>
        <v/>
      </c>
      <c r="BV444" s="56">
        <f>IF(COUNT(AN444:AV444)&gt;=8,AVERAGE(AN444:AV444),"")</f>
        <v/>
      </c>
      <c r="BW444" s="56">
        <f>IF(COUNT(AW444:BD444)&gt;=7,AVERAGE(AW444:BD444),"")</f>
        <v/>
      </c>
      <c r="BX444" s="56">
        <f>IF(COUNT(BE444:BJ444)&gt;=5,AVERAGE(BE444:BJ444),"")</f>
        <v/>
      </c>
      <c r="BY444" s="56">
        <f>IF(COUNT(BK444:BR444)&gt;=7,AVERAGE(BK444:BR444),"")</f>
        <v/>
      </c>
    </row>
    <row r="445">
      <c r="A445" t="inlineStr">
        <is>
          <t>R414</t>
        </is>
      </c>
      <c r="B445" t="inlineStr">
        <is>
          <t>Yes</t>
        </is>
      </c>
      <c r="C445" t="inlineStr">
        <is>
          <t>Yes</t>
        </is>
      </c>
      <c r="D445" t="inlineStr">
        <is>
          <t>Female</t>
        </is>
      </c>
      <c r="E445" t="inlineStr">
        <is>
          <t>35-44</t>
        </is>
      </c>
      <c r="F445" t="inlineStr">
        <is>
          <t>Master's</t>
        </is>
      </c>
      <c r="G445" t="inlineStr">
        <is>
          <t>Microfinance bank</t>
        </is>
      </c>
      <c r="H445" t="inlineStr">
        <is>
          <t>Digital Banking/Product</t>
        </is>
      </c>
      <c r="I445" t="inlineStr">
        <is>
          <t>11-15</t>
        </is>
      </c>
      <c r="J445" t="inlineStr">
        <is>
          <t>Yes</t>
        </is>
      </c>
      <c r="K445" t="n">
        <v>2</v>
      </c>
      <c r="L445" t="inlineStr">
        <is>
          <t>Yes</t>
        </is>
      </c>
      <c r="M445" t="inlineStr">
        <is>
          <t>Yes</t>
        </is>
      </c>
      <c r="N445" t="n">
        <v>3</v>
      </c>
      <c r="O445" t="n">
        <v>4</v>
      </c>
      <c r="P445" t="n">
        <v>3</v>
      </c>
      <c r="Q445" t="n">
        <v>3</v>
      </c>
      <c r="R445" t="n">
        <v>3</v>
      </c>
      <c r="S445" t="n">
        <v>3</v>
      </c>
      <c r="T445" t="n">
        <v>2</v>
      </c>
      <c r="U445" t="n">
        <v>3</v>
      </c>
      <c r="V445" t="n">
        <v>4</v>
      </c>
      <c r="W445" t="n">
        <v>3</v>
      </c>
      <c r="X445" t="n">
        <v>3</v>
      </c>
      <c r="Y445" t="n">
        <v>4</v>
      </c>
      <c r="Z445" t="n">
        <v>4</v>
      </c>
      <c r="AA445" t="n">
        <v>3</v>
      </c>
      <c r="AB445" t="n">
        <v>3</v>
      </c>
      <c r="AC445" t="n">
        <v>4</v>
      </c>
      <c r="AD445" t="n">
        <v>3</v>
      </c>
      <c r="AE445" t="n">
        <v>4</v>
      </c>
      <c r="AF445" t="n">
        <v>3</v>
      </c>
      <c r="AG445" t="n">
        <v>4</v>
      </c>
      <c r="AH445" t="n">
        <v>4</v>
      </c>
      <c r="AI445" t="n">
        <v>4</v>
      </c>
      <c r="AJ445" t="n">
        <v>3</v>
      </c>
      <c r="AK445" t="n">
        <v>5</v>
      </c>
      <c r="AL445" t="n">
        <v>4</v>
      </c>
      <c r="AM445" t="n">
        <v>3</v>
      </c>
      <c r="AN445" t="n">
        <v>2</v>
      </c>
      <c r="AO445" t="n">
        <v>2</v>
      </c>
      <c r="AP445" t="n">
        <v>2</v>
      </c>
      <c r="AQ445" t="n">
        <v>2</v>
      </c>
      <c r="AR445" t="n">
        <v>2</v>
      </c>
      <c r="AS445" t="n">
        <v>3</v>
      </c>
      <c r="AT445" t="n">
        <v>2</v>
      </c>
      <c r="AU445" t="n">
        <v>3</v>
      </c>
      <c r="AV445" t="n">
        <v>4</v>
      </c>
      <c r="AW445" t="n">
        <v>4</v>
      </c>
      <c r="AX445" t="n">
        <v>4</v>
      </c>
      <c r="AY445" t="n">
        <v>4</v>
      </c>
      <c r="AZ445" t="n">
        <v>3</v>
      </c>
      <c r="BA445" t="n">
        <v>3</v>
      </c>
      <c r="BB445" t="n">
        <v>5</v>
      </c>
      <c r="BC445" t="n">
        <v>4</v>
      </c>
      <c r="BD445" t="n">
        <v>3</v>
      </c>
      <c r="BE445" t="n">
        <v>2</v>
      </c>
      <c r="BF445" t="n">
        <v>3</v>
      </c>
      <c r="BG445" t="n">
        <v>2</v>
      </c>
      <c r="BH445" t="n">
        <v>4</v>
      </c>
      <c r="BI445" t="n">
        <v>4</v>
      </c>
      <c r="BJ445" t="n">
        <v>5</v>
      </c>
      <c r="BK445" t="n">
        <v>3</v>
      </c>
      <c r="BL445" t="n">
        <v>1</v>
      </c>
      <c r="BM445" t="n">
        <v>3</v>
      </c>
      <c r="BN445" t="n">
        <v>2</v>
      </c>
      <c r="BO445" t="n">
        <v>3</v>
      </c>
      <c r="BP445" t="n">
        <v>1</v>
      </c>
      <c r="BQ445" t="n">
        <v>3</v>
      </c>
      <c r="BR445" t="n">
        <v>3</v>
      </c>
      <c r="BS445" s="56">
        <f>IF(COUNT(N445:W445)&gt;=8,AVERAGE(N445:W445),"")</f>
        <v/>
      </c>
      <c r="BT445" s="56">
        <f>IF(COUNT(X445:AE445)&gt;=7,AVERAGE(X445:AE445),"")</f>
        <v/>
      </c>
      <c r="BU445" s="56">
        <f>IF(COUNT(AF445:AM445)&gt;=7,AVERAGE(AF445:AM445),"")</f>
        <v/>
      </c>
      <c r="BV445" s="56">
        <f>IF(COUNT(AN445:AV445)&gt;=8,AVERAGE(AN445:AV445),"")</f>
        <v/>
      </c>
      <c r="BW445" s="56">
        <f>IF(COUNT(AW445:BD445)&gt;=7,AVERAGE(AW445:BD445),"")</f>
        <v/>
      </c>
      <c r="BX445" s="56">
        <f>IF(COUNT(BE445:BJ445)&gt;=5,AVERAGE(BE445:BJ445),"")</f>
        <v/>
      </c>
      <c r="BY445" s="56">
        <f>IF(COUNT(BK445:BR445)&gt;=7,AVERAGE(BK445:BR445),"")</f>
        <v/>
      </c>
    </row>
    <row r="446">
      <c r="A446" t="inlineStr">
        <is>
          <t>R415</t>
        </is>
      </c>
      <c r="B446" t="inlineStr">
        <is>
          <t>Yes</t>
        </is>
      </c>
      <c r="C446" t="inlineStr">
        <is>
          <t>Yes</t>
        </is>
      </c>
      <c r="D446" t="inlineStr">
        <is>
          <t>Female</t>
        </is>
      </c>
      <c r="E446" t="inlineStr">
        <is>
          <t>45-54</t>
        </is>
      </c>
      <c r="F446" t="inlineStr">
        <is>
          <t>Bachelor/HND</t>
        </is>
      </c>
      <c r="G446" t="inlineStr">
        <is>
          <t>Commercial bank</t>
        </is>
      </c>
      <c r="H446" t="inlineStr">
        <is>
          <t>Data/Analytics/AI</t>
        </is>
      </c>
      <c r="I446" t="inlineStr">
        <is>
          <t>Less than 2</t>
        </is>
      </c>
      <c r="J446" t="inlineStr">
        <is>
          <t>Yes</t>
        </is>
      </c>
      <c r="K446" t="n">
        <v>2</v>
      </c>
      <c r="L446" t="inlineStr">
        <is>
          <t>Yes</t>
        </is>
      </c>
      <c r="M446" t="inlineStr">
        <is>
          <t>Yes</t>
        </is>
      </c>
      <c r="N446" t="n">
        <v>4</v>
      </c>
      <c r="O446" t="n">
        <v>3</v>
      </c>
      <c r="P446" t="n">
        <v>3</v>
      </c>
      <c r="Q446" t="n">
        <v>3</v>
      </c>
      <c r="R446" t="n">
        <v>3</v>
      </c>
      <c r="S446" t="n">
        <v>3</v>
      </c>
      <c r="T446" t="n">
        <v>2</v>
      </c>
      <c r="U446" t="n">
        <v>4</v>
      </c>
      <c r="V446" t="n">
        <v>4</v>
      </c>
      <c r="W446" t="n">
        <v>3</v>
      </c>
      <c r="X446" t="n">
        <v>3</v>
      </c>
      <c r="Y446" t="n">
        <v>3</v>
      </c>
      <c r="Z446" t="n">
        <v>3</v>
      </c>
      <c r="AA446" t="n">
        <v>1</v>
      </c>
      <c r="AB446" t="n">
        <v>2</v>
      </c>
      <c r="AC446" t="n">
        <v>3</v>
      </c>
      <c r="AD446" t="n">
        <v>3</v>
      </c>
      <c r="AE446" t="n">
        <v>1</v>
      </c>
      <c r="AF446" t="n">
        <v>2</v>
      </c>
      <c r="AG446" t="n">
        <v>4</v>
      </c>
      <c r="AH446" t="n">
        <v>2</v>
      </c>
      <c r="AI446" t="n">
        <v>4</v>
      </c>
      <c r="AJ446" t="n">
        <v>2</v>
      </c>
      <c r="AL446" t="n">
        <v>3</v>
      </c>
      <c r="AM446" t="n">
        <v>2</v>
      </c>
      <c r="AN446" t="n">
        <v>3</v>
      </c>
      <c r="AO446" t="n">
        <v>3</v>
      </c>
      <c r="AP446" t="n">
        <v>2</v>
      </c>
      <c r="AQ446" t="n">
        <v>1</v>
      </c>
      <c r="AR446" t="n">
        <v>4</v>
      </c>
      <c r="AS446" t="n">
        <v>2</v>
      </c>
      <c r="AT446" t="n">
        <v>3</v>
      </c>
      <c r="AU446" t="n">
        <v>3</v>
      </c>
      <c r="AV446" t="n">
        <v>4</v>
      </c>
      <c r="AW446" t="n">
        <v>3</v>
      </c>
      <c r="AX446" t="n">
        <v>3</v>
      </c>
      <c r="AY446" t="n">
        <v>3</v>
      </c>
      <c r="AZ446" t="n">
        <v>1</v>
      </c>
      <c r="BA446" t="n">
        <v>2</v>
      </c>
      <c r="BB446" t="n">
        <v>2</v>
      </c>
      <c r="BC446" t="n">
        <v>2</v>
      </c>
      <c r="BD446" t="n">
        <v>2</v>
      </c>
      <c r="BE446" t="n">
        <v>2</v>
      </c>
      <c r="BF446" t="n">
        <v>3</v>
      </c>
      <c r="BG446" t="n">
        <v>2</v>
      </c>
      <c r="BH446" t="n">
        <v>3</v>
      </c>
      <c r="BI446" t="n">
        <v>3</v>
      </c>
      <c r="BJ446" t="n">
        <v>2</v>
      </c>
      <c r="BK446" t="n">
        <v>1</v>
      </c>
      <c r="BL446" t="n">
        <v>2</v>
      </c>
      <c r="BM446" t="n">
        <v>2</v>
      </c>
      <c r="BN446" t="n">
        <v>3</v>
      </c>
      <c r="BO446" t="n">
        <v>1</v>
      </c>
      <c r="BP446" t="n">
        <v>1</v>
      </c>
      <c r="BQ446" t="n">
        <v>2</v>
      </c>
      <c r="BR446" t="n">
        <v>1</v>
      </c>
      <c r="BS446" s="56">
        <f>IF(COUNT(N446:W446)&gt;=8,AVERAGE(N446:W446),"")</f>
        <v/>
      </c>
      <c r="BT446" s="56">
        <f>IF(COUNT(X446:AE446)&gt;=7,AVERAGE(X446:AE446),"")</f>
        <v/>
      </c>
      <c r="BU446" s="56">
        <f>IF(COUNT(AF446:AM446)&gt;=7,AVERAGE(AF446:AM446),"")</f>
        <v/>
      </c>
      <c r="BV446" s="56">
        <f>IF(COUNT(AN446:AV446)&gt;=8,AVERAGE(AN446:AV446),"")</f>
        <v/>
      </c>
      <c r="BW446" s="56">
        <f>IF(COUNT(AW446:BD446)&gt;=7,AVERAGE(AW446:BD446),"")</f>
        <v/>
      </c>
      <c r="BX446" s="56">
        <f>IF(COUNT(BE446:BJ446)&gt;=5,AVERAGE(BE446:BJ446),"")</f>
        <v/>
      </c>
      <c r="BY446" s="56">
        <f>IF(COUNT(BK446:BR446)&gt;=7,AVERAGE(BK446:BR446),"")</f>
        <v/>
      </c>
    </row>
    <row r="447">
      <c r="A447" t="inlineStr">
        <is>
          <t>R416</t>
        </is>
      </c>
      <c r="B447" t="inlineStr">
        <is>
          <t>Yes</t>
        </is>
      </c>
      <c r="C447" t="inlineStr">
        <is>
          <t>Yes</t>
        </is>
      </c>
      <c r="D447" t="inlineStr">
        <is>
          <t>Male</t>
        </is>
      </c>
      <c r="E447" t="inlineStr">
        <is>
          <t>18-24</t>
        </is>
      </c>
      <c r="F447" t="inlineStr">
        <is>
          <t>Master's</t>
        </is>
      </c>
      <c r="G447" t="inlineStr">
        <is>
          <t>Commercial bank</t>
        </is>
      </c>
      <c r="H447" t="inlineStr">
        <is>
          <t>Digital Banking/Product</t>
        </is>
      </c>
      <c r="I447" t="inlineStr">
        <is>
          <t>Less than 2</t>
        </is>
      </c>
      <c r="J447" t="inlineStr">
        <is>
          <t>Yes</t>
        </is>
      </c>
      <c r="K447" t="n">
        <v>2</v>
      </c>
      <c r="L447" t="inlineStr">
        <is>
          <t>No</t>
        </is>
      </c>
      <c r="M447" t="inlineStr">
        <is>
          <t>Yes</t>
        </is>
      </c>
      <c r="N447" t="n">
        <v>4</v>
      </c>
      <c r="O447" t="n">
        <v>4</v>
      </c>
      <c r="P447" t="n">
        <v>5</v>
      </c>
      <c r="Q447" t="n">
        <v>3</v>
      </c>
      <c r="R447" t="n">
        <v>4</v>
      </c>
      <c r="S447" t="n">
        <v>4</v>
      </c>
      <c r="T447" t="n">
        <v>4</v>
      </c>
      <c r="U447" t="n">
        <v>4</v>
      </c>
      <c r="V447" t="n">
        <v>3</v>
      </c>
      <c r="W447" t="n">
        <v>4</v>
      </c>
      <c r="X447" t="n">
        <v>1</v>
      </c>
      <c r="Y447" t="n">
        <v>4</v>
      </c>
      <c r="Z447" t="n">
        <v>3</v>
      </c>
      <c r="AA447" t="n">
        <v>2</v>
      </c>
      <c r="AB447" t="n">
        <v>3</v>
      </c>
      <c r="AC447" t="n">
        <v>3</v>
      </c>
      <c r="AD447" t="n">
        <v>2</v>
      </c>
      <c r="AE447" t="n">
        <v>3</v>
      </c>
      <c r="AF447" t="n">
        <v>2</v>
      </c>
      <c r="AG447" t="n">
        <v>3</v>
      </c>
      <c r="AH447" t="n">
        <v>1</v>
      </c>
      <c r="AI447" t="n">
        <v>3</v>
      </c>
      <c r="AJ447" t="n">
        <v>2</v>
      </c>
      <c r="AK447" t="n">
        <v>1</v>
      </c>
      <c r="AL447" t="n">
        <v>2</v>
      </c>
      <c r="AM447" t="n">
        <v>2</v>
      </c>
      <c r="AN447" t="n">
        <v>4</v>
      </c>
      <c r="AO447" t="n">
        <v>3</v>
      </c>
      <c r="AP447" t="n">
        <v>4</v>
      </c>
      <c r="AQ447" t="n">
        <v>3</v>
      </c>
      <c r="AR447" t="n">
        <v>4</v>
      </c>
      <c r="AS447" t="n">
        <v>3</v>
      </c>
      <c r="AT447" t="n">
        <v>3</v>
      </c>
      <c r="AU447" t="n">
        <v>4</v>
      </c>
      <c r="AV447" t="n">
        <v>4</v>
      </c>
      <c r="AW447" t="n">
        <v>2</v>
      </c>
      <c r="AX447" t="n">
        <v>2</v>
      </c>
      <c r="AY447" t="n">
        <v>4</v>
      </c>
      <c r="AZ447" t="n">
        <v>2</v>
      </c>
      <c r="BA447" t="n">
        <v>2</v>
      </c>
      <c r="BB447" t="n">
        <v>2</v>
      </c>
      <c r="BC447" t="n">
        <v>3</v>
      </c>
      <c r="BD447" t="n">
        <v>2</v>
      </c>
      <c r="BE447" t="n">
        <v>2</v>
      </c>
      <c r="BF447" t="n">
        <v>4</v>
      </c>
      <c r="BG447" t="n">
        <v>2</v>
      </c>
      <c r="BH447" t="n">
        <v>4</v>
      </c>
      <c r="BI447" t="n">
        <v>2</v>
      </c>
      <c r="BJ447" t="n">
        <v>1</v>
      </c>
      <c r="BK447" t="n">
        <v>2</v>
      </c>
      <c r="BL447" t="n">
        <v>1</v>
      </c>
      <c r="BM447" t="n">
        <v>3</v>
      </c>
      <c r="BN447" t="n">
        <v>2</v>
      </c>
      <c r="BO447" t="n">
        <v>2</v>
      </c>
      <c r="BP447" t="n">
        <v>3</v>
      </c>
      <c r="BQ447" t="n">
        <v>3</v>
      </c>
      <c r="BR447" t="n">
        <v>2</v>
      </c>
      <c r="BS447" s="56">
        <f>IF(COUNT(N447:W447)&gt;=8,AVERAGE(N447:W447),"")</f>
        <v/>
      </c>
      <c r="BT447" s="56">
        <f>IF(COUNT(X447:AE447)&gt;=7,AVERAGE(X447:AE447),"")</f>
        <v/>
      </c>
      <c r="BU447" s="56">
        <f>IF(COUNT(AF447:AM447)&gt;=7,AVERAGE(AF447:AM447),"")</f>
        <v/>
      </c>
      <c r="BV447" s="56">
        <f>IF(COUNT(AN447:AV447)&gt;=8,AVERAGE(AN447:AV447),"")</f>
        <v/>
      </c>
      <c r="BW447" s="56">
        <f>IF(COUNT(AW447:BD447)&gt;=7,AVERAGE(AW447:BD447),"")</f>
        <v/>
      </c>
      <c r="BX447" s="56">
        <f>IF(COUNT(BE447:BJ447)&gt;=5,AVERAGE(BE447:BJ447),"")</f>
        <v/>
      </c>
      <c r="BY447" s="56">
        <f>IF(COUNT(BK447:BR447)&gt;=7,AVERAGE(BK447:BR447),"")</f>
        <v/>
      </c>
    </row>
    <row r="448">
      <c r="A448" t="inlineStr">
        <is>
          <t>R417</t>
        </is>
      </c>
      <c r="B448" t="inlineStr">
        <is>
          <t>Yes</t>
        </is>
      </c>
      <c r="C448" t="inlineStr">
        <is>
          <t>Yes</t>
        </is>
      </c>
      <c r="D448" t="inlineStr">
        <is>
          <t>Male</t>
        </is>
      </c>
      <c r="E448" t="inlineStr">
        <is>
          <t>35-44</t>
        </is>
      </c>
      <c r="F448" t="inlineStr">
        <is>
          <t>Master's</t>
        </is>
      </c>
      <c r="G448" t="inlineStr">
        <is>
          <t>Microfinance bank</t>
        </is>
      </c>
      <c r="H448" t="inlineStr">
        <is>
          <t>IT/Technology</t>
        </is>
      </c>
      <c r="I448" t="inlineStr">
        <is>
          <t>2-5</t>
        </is>
      </c>
      <c r="J448" t="inlineStr">
        <is>
          <t>Yes</t>
        </is>
      </c>
      <c r="K448" t="n">
        <v>1</v>
      </c>
      <c r="L448" t="inlineStr">
        <is>
          <t>No</t>
        </is>
      </c>
      <c r="M448" t="inlineStr">
        <is>
          <t>Yes</t>
        </is>
      </c>
      <c r="N448" t="n">
        <v>2</v>
      </c>
      <c r="O448" t="n">
        <v>2</v>
      </c>
      <c r="P448" t="n">
        <v>2</v>
      </c>
      <c r="R448" t="n">
        <v>2</v>
      </c>
      <c r="S448" t="n">
        <v>3</v>
      </c>
      <c r="T448" t="n">
        <v>1</v>
      </c>
      <c r="U448" t="n">
        <v>2</v>
      </c>
      <c r="V448" t="n">
        <v>3</v>
      </c>
      <c r="W448" t="n">
        <v>3</v>
      </c>
      <c r="X448" t="n">
        <v>1</v>
      </c>
      <c r="Y448" t="n">
        <v>2</v>
      </c>
      <c r="Z448" t="n">
        <v>4</v>
      </c>
      <c r="AA448" t="n">
        <v>2</v>
      </c>
      <c r="AB448" t="n">
        <v>3</v>
      </c>
      <c r="AC448" t="n">
        <v>2</v>
      </c>
      <c r="AD448" t="n">
        <v>2</v>
      </c>
      <c r="AE448" t="n">
        <v>1</v>
      </c>
      <c r="AF448" t="n">
        <v>2</v>
      </c>
      <c r="AG448" t="n">
        <v>3</v>
      </c>
      <c r="AH448" t="n">
        <v>2</v>
      </c>
      <c r="AI448" t="n">
        <v>4</v>
      </c>
      <c r="AJ448" t="n">
        <v>3</v>
      </c>
      <c r="AK448" t="n">
        <v>2</v>
      </c>
      <c r="AL448" t="n">
        <v>2</v>
      </c>
      <c r="AM448" t="n">
        <v>2</v>
      </c>
      <c r="AN448" t="n">
        <v>3</v>
      </c>
      <c r="AO448" t="n">
        <v>2</v>
      </c>
      <c r="AP448" t="n">
        <v>2</v>
      </c>
      <c r="AQ448" t="n">
        <v>2</v>
      </c>
      <c r="AR448" t="n">
        <v>2</v>
      </c>
      <c r="AS448" t="n">
        <v>3</v>
      </c>
      <c r="AT448" t="n">
        <v>2</v>
      </c>
      <c r="AU448" t="n">
        <v>2</v>
      </c>
      <c r="AV448" t="n">
        <v>3</v>
      </c>
      <c r="AW448" t="n">
        <v>4</v>
      </c>
      <c r="AX448" t="n">
        <v>2</v>
      </c>
      <c r="AY448" t="n">
        <v>4</v>
      </c>
      <c r="AZ448" t="n">
        <v>3</v>
      </c>
      <c r="BA448" t="n">
        <v>3</v>
      </c>
      <c r="BB448" t="n">
        <v>2</v>
      </c>
      <c r="BC448" t="n">
        <v>3</v>
      </c>
      <c r="BD448" t="n">
        <v>2</v>
      </c>
      <c r="BE448" t="n">
        <v>2</v>
      </c>
      <c r="BF448" t="n">
        <v>3</v>
      </c>
      <c r="BG448" t="n">
        <v>3</v>
      </c>
      <c r="BH448" t="n">
        <v>3</v>
      </c>
      <c r="BI448" t="n">
        <v>3</v>
      </c>
      <c r="BJ448" t="n">
        <v>3</v>
      </c>
      <c r="BK448" t="n">
        <v>3</v>
      </c>
      <c r="BL448" t="n">
        <v>2</v>
      </c>
      <c r="BM448" t="n">
        <v>2</v>
      </c>
      <c r="BN448" t="n">
        <v>2</v>
      </c>
      <c r="BO448" t="n">
        <v>3</v>
      </c>
      <c r="BP448" t="n">
        <v>3</v>
      </c>
      <c r="BQ448" t="n">
        <v>4</v>
      </c>
      <c r="BR448" t="n">
        <v>3</v>
      </c>
      <c r="BS448" s="56">
        <f>IF(COUNT(N448:W448)&gt;=8,AVERAGE(N448:W448),"")</f>
        <v/>
      </c>
      <c r="BT448" s="56">
        <f>IF(COUNT(X448:AE448)&gt;=7,AVERAGE(X448:AE448),"")</f>
        <v/>
      </c>
      <c r="BU448" s="56">
        <f>IF(COUNT(AF448:AM448)&gt;=7,AVERAGE(AF448:AM448),"")</f>
        <v/>
      </c>
      <c r="BV448" s="56">
        <f>IF(COUNT(AN448:AV448)&gt;=8,AVERAGE(AN448:AV448),"")</f>
        <v/>
      </c>
      <c r="BW448" s="56">
        <f>IF(COUNT(AW448:BD448)&gt;=7,AVERAGE(AW448:BD448),"")</f>
        <v/>
      </c>
      <c r="BX448" s="56">
        <f>IF(COUNT(BE448:BJ448)&gt;=5,AVERAGE(BE448:BJ448),"")</f>
        <v/>
      </c>
      <c r="BY448" s="56">
        <f>IF(COUNT(BK448:BR448)&gt;=7,AVERAGE(BK448:BR448),"")</f>
        <v/>
      </c>
    </row>
    <row r="449">
      <c r="A449" t="inlineStr">
        <is>
          <t>R418</t>
        </is>
      </c>
      <c r="B449" t="inlineStr">
        <is>
          <t>Yes</t>
        </is>
      </c>
      <c r="C449" t="inlineStr">
        <is>
          <t>Yes</t>
        </is>
      </c>
      <c r="D449" t="inlineStr">
        <is>
          <t>Male</t>
        </is>
      </c>
      <c r="E449" t="inlineStr">
        <is>
          <t>45-54</t>
        </is>
      </c>
      <c r="F449" t="inlineStr">
        <is>
          <t>Postgraduate Diploma</t>
        </is>
      </c>
      <c r="G449" t="inlineStr">
        <is>
          <t>Microfinance bank</t>
        </is>
      </c>
      <c r="H449" t="inlineStr">
        <is>
          <t>Customer Experience/Service</t>
        </is>
      </c>
      <c r="I449" t="inlineStr">
        <is>
          <t>Less than 2</t>
        </is>
      </c>
      <c r="J449" t="inlineStr">
        <is>
          <t>Yes</t>
        </is>
      </c>
      <c r="K449" t="n">
        <v>1</v>
      </c>
      <c r="L449" t="inlineStr">
        <is>
          <t>Yes</t>
        </is>
      </c>
      <c r="M449" t="inlineStr">
        <is>
          <t>Yes</t>
        </is>
      </c>
      <c r="N449" t="n">
        <v>3</v>
      </c>
      <c r="O449" t="n">
        <v>3</v>
      </c>
      <c r="P449" t="n">
        <v>4</v>
      </c>
      <c r="Q449" t="n">
        <v>3</v>
      </c>
      <c r="R449" t="n">
        <v>4</v>
      </c>
      <c r="S449" t="n">
        <v>3</v>
      </c>
      <c r="T449" t="n">
        <v>3</v>
      </c>
      <c r="U449" t="n">
        <v>3</v>
      </c>
      <c r="V449" t="n">
        <v>4</v>
      </c>
      <c r="W449" t="n">
        <v>2</v>
      </c>
      <c r="X449" t="n">
        <v>4</v>
      </c>
      <c r="Z449" t="n">
        <v>5</v>
      </c>
      <c r="AA449" t="n">
        <v>3</v>
      </c>
      <c r="AB449" t="n">
        <v>4</v>
      </c>
      <c r="AC449" t="n">
        <v>4</v>
      </c>
      <c r="AD449" t="n">
        <v>4</v>
      </c>
      <c r="AE449" t="n">
        <v>3</v>
      </c>
      <c r="AF449" t="n">
        <v>3</v>
      </c>
      <c r="AG449" t="n">
        <v>3</v>
      </c>
      <c r="AH449" t="n">
        <v>2</v>
      </c>
      <c r="AI449" t="n">
        <v>3</v>
      </c>
      <c r="AJ449" t="n">
        <v>3</v>
      </c>
      <c r="AK449" t="n">
        <v>3</v>
      </c>
      <c r="AL449" t="n">
        <v>3</v>
      </c>
      <c r="AM449" t="n">
        <v>3</v>
      </c>
      <c r="AN449" t="n">
        <v>3</v>
      </c>
      <c r="AO449" t="n">
        <v>1</v>
      </c>
      <c r="AP449" t="n">
        <v>3</v>
      </c>
      <c r="AR449" t="n">
        <v>3</v>
      </c>
      <c r="AS449" t="n">
        <v>3</v>
      </c>
      <c r="AT449" t="n">
        <v>2</v>
      </c>
      <c r="AU449" t="n">
        <v>1</v>
      </c>
      <c r="AV449" t="n">
        <v>2</v>
      </c>
      <c r="AW449" t="n">
        <v>2</v>
      </c>
      <c r="AX449" t="n">
        <v>3</v>
      </c>
      <c r="AY449" t="n">
        <v>2</v>
      </c>
      <c r="AZ449" t="n">
        <v>3</v>
      </c>
      <c r="BB449" t="n">
        <v>3</v>
      </c>
      <c r="BD449" t="n">
        <v>3</v>
      </c>
      <c r="BE449" t="n">
        <v>3</v>
      </c>
      <c r="BF449" t="n">
        <v>3</v>
      </c>
      <c r="BG449" t="n">
        <v>2</v>
      </c>
      <c r="BH449" t="n">
        <v>3</v>
      </c>
      <c r="BI449" t="n">
        <v>2</v>
      </c>
      <c r="BJ449" t="n">
        <v>4</v>
      </c>
      <c r="BK449" t="n">
        <v>5</v>
      </c>
      <c r="BL449" t="n">
        <v>3</v>
      </c>
      <c r="BM449" t="n">
        <v>5</v>
      </c>
      <c r="BN449" t="n">
        <v>4</v>
      </c>
      <c r="BO449" t="n">
        <v>5</v>
      </c>
      <c r="BP449" t="n">
        <v>4</v>
      </c>
      <c r="BQ449" t="n">
        <v>5</v>
      </c>
      <c r="BR449" t="n">
        <v>4</v>
      </c>
      <c r="BS449" s="56">
        <f>IF(COUNT(N449:W449)&gt;=8,AVERAGE(N449:W449),"")</f>
        <v/>
      </c>
      <c r="BT449" s="56">
        <f>IF(COUNT(X449:AE449)&gt;=7,AVERAGE(X449:AE449),"")</f>
        <v/>
      </c>
      <c r="BU449" s="56">
        <f>IF(COUNT(AF449:AM449)&gt;=7,AVERAGE(AF449:AM449),"")</f>
        <v/>
      </c>
      <c r="BV449" s="56">
        <f>IF(COUNT(AN449:AV449)&gt;=8,AVERAGE(AN449:AV449),"")</f>
        <v/>
      </c>
      <c r="BW449" s="56">
        <f>IF(COUNT(AW449:BD449)&gt;=7,AVERAGE(AW449:BD449),"")</f>
        <v/>
      </c>
      <c r="BX449" s="56">
        <f>IF(COUNT(BE449:BJ449)&gt;=5,AVERAGE(BE449:BJ449),"")</f>
        <v/>
      </c>
      <c r="BY449" s="56">
        <f>IF(COUNT(BK449:BR449)&gt;=7,AVERAGE(BK449:BR449),"")</f>
        <v/>
      </c>
    </row>
    <row r="450">
      <c r="A450" t="inlineStr">
        <is>
          <t>R419</t>
        </is>
      </c>
      <c r="B450" t="inlineStr">
        <is>
          <t>Yes</t>
        </is>
      </c>
      <c r="C450" t="inlineStr">
        <is>
          <t>Yes</t>
        </is>
      </c>
      <c r="D450" t="inlineStr">
        <is>
          <t>Female</t>
        </is>
      </c>
      <c r="E450" t="inlineStr">
        <is>
          <t>35-44</t>
        </is>
      </c>
      <c r="F450" t="inlineStr">
        <is>
          <t>Bachelor/HND</t>
        </is>
      </c>
      <c r="G450" t="inlineStr">
        <is>
          <t>Commercial bank</t>
        </is>
      </c>
      <c r="H450" t="inlineStr">
        <is>
          <t>Management/Strategy</t>
        </is>
      </c>
      <c r="I450" t="inlineStr">
        <is>
          <t>11-15</t>
        </is>
      </c>
      <c r="J450" t="inlineStr">
        <is>
          <t>Yes</t>
        </is>
      </c>
      <c r="K450" t="n">
        <v>3</v>
      </c>
      <c r="L450" t="inlineStr">
        <is>
          <t>Yes</t>
        </is>
      </c>
      <c r="M450" t="inlineStr">
        <is>
          <t>Yes</t>
        </is>
      </c>
      <c r="N450" t="n">
        <v>4</v>
      </c>
      <c r="O450" t="n">
        <v>3</v>
      </c>
      <c r="P450" t="n">
        <v>4</v>
      </c>
      <c r="R450" t="n">
        <v>3</v>
      </c>
      <c r="S450" t="n">
        <v>3</v>
      </c>
      <c r="T450" t="n">
        <v>3</v>
      </c>
      <c r="U450" t="n">
        <v>5</v>
      </c>
      <c r="V450" t="n">
        <v>4</v>
      </c>
      <c r="W450" t="n">
        <v>2</v>
      </c>
      <c r="X450" t="n">
        <v>5</v>
      </c>
      <c r="Y450" t="n">
        <v>5</v>
      </c>
      <c r="Z450" t="n">
        <v>4</v>
      </c>
      <c r="AA450" t="n">
        <v>4</v>
      </c>
      <c r="AB450" t="n">
        <v>4</v>
      </c>
      <c r="AC450" t="n">
        <v>4</v>
      </c>
      <c r="AD450" t="n">
        <v>4</v>
      </c>
      <c r="AE450" t="n">
        <v>5</v>
      </c>
      <c r="AF450" t="n">
        <v>4</v>
      </c>
      <c r="AG450" t="n">
        <v>4</v>
      </c>
      <c r="AH450" t="n">
        <v>3</v>
      </c>
      <c r="AI450" t="n">
        <v>4</v>
      </c>
      <c r="AJ450" t="n">
        <v>4</v>
      </c>
      <c r="AK450" t="n">
        <v>4</v>
      </c>
      <c r="AL450" t="n">
        <v>4</v>
      </c>
      <c r="AM450" t="n">
        <v>4</v>
      </c>
      <c r="AN450" t="n">
        <v>5</v>
      </c>
      <c r="AO450" t="n">
        <v>4</v>
      </c>
      <c r="AP450" t="n">
        <v>5</v>
      </c>
      <c r="AQ450" t="n">
        <v>3</v>
      </c>
      <c r="AR450" t="n">
        <v>5</v>
      </c>
      <c r="AS450" t="n">
        <v>3</v>
      </c>
      <c r="AT450" t="n">
        <v>5</v>
      </c>
      <c r="AU450" t="n">
        <v>4</v>
      </c>
      <c r="AV450" t="n">
        <v>5</v>
      </c>
      <c r="AW450" t="n">
        <v>5</v>
      </c>
      <c r="AX450" t="n">
        <v>4</v>
      </c>
      <c r="AY450" t="n">
        <v>4</v>
      </c>
      <c r="AZ450" t="n">
        <v>4</v>
      </c>
      <c r="BA450" t="n">
        <v>4</v>
      </c>
      <c r="BB450" t="n">
        <v>5</v>
      </c>
      <c r="BC450" t="n">
        <v>4</v>
      </c>
      <c r="BD450" t="n">
        <v>3</v>
      </c>
      <c r="BE450" t="n">
        <v>3</v>
      </c>
      <c r="BF450" t="n">
        <v>2</v>
      </c>
      <c r="BG450" t="n">
        <v>2</v>
      </c>
      <c r="BH450" t="n">
        <v>3</v>
      </c>
      <c r="BI450" t="n">
        <v>2</v>
      </c>
      <c r="BJ450" t="n">
        <v>3</v>
      </c>
      <c r="BK450" t="n">
        <v>3</v>
      </c>
      <c r="BL450" t="n">
        <v>2</v>
      </c>
      <c r="BM450" t="n">
        <v>3</v>
      </c>
      <c r="BN450" t="n">
        <v>3</v>
      </c>
      <c r="BO450" t="n">
        <v>3</v>
      </c>
      <c r="BP450" t="n">
        <v>2</v>
      </c>
      <c r="BQ450" t="n">
        <v>3</v>
      </c>
      <c r="BR450" t="n">
        <v>3</v>
      </c>
      <c r="BS450" s="56">
        <f>IF(COUNT(N450:W450)&gt;=8,AVERAGE(N450:W450),"")</f>
        <v/>
      </c>
      <c r="BT450" s="56">
        <f>IF(COUNT(X450:AE450)&gt;=7,AVERAGE(X450:AE450),"")</f>
        <v/>
      </c>
      <c r="BU450" s="56">
        <f>IF(COUNT(AF450:AM450)&gt;=7,AVERAGE(AF450:AM450),"")</f>
        <v/>
      </c>
      <c r="BV450" s="56">
        <f>IF(COUNT(AN450:AV450)&gt;=8,AVERAGE(AN450:AV450),"")</f>
        <v/>
      </c>
      <c r="BW450" s="56">
        <f>IF(COUNT(AW450:BD450)&gt;=7,AVERAGE(AW450:BD450),"")</f>
        <v/>
      </c>
      <c r="BX450" s="56">
        <f>IF(COUNT(BE450:BJ450)&gt;=5,AVERAGE(BE450:BJ450),"")</f>
        <v/>
      </c>
      <c r="BY450" s="56">
        <f>IF(COUNT(BK450:BR450)&gt;=7,AVERAGE(BK450:BR450),"")</f>
        <v/>
      </c>
    </row>
    <row r="451">
      <c r="A451" t="inlineStr">
        <is>
          <t>R420</t>
        </is>
      </c>
      <c r="B451" t="inlineStr">
        <is>
          <t>Yes</t>
        </is>
      </c>
      <c r="C451" t="inlineStr">
        <is>
          <t>Yes</t>
        </is>
      </c>
      <c r="D451" t="inlineStr">
        <is>
          <t>Male</t>
        </is>
      </c>
      <c r="E451" t="inlineStr">
        <is>
          <t>25-34</t>
        </is>
      </c>
      <c r="F451" t="inlineStr">
        <is>
          <t>Master's</t>
        </is>
      </c>
      <c r="G451" t="inlineStr">
        <is>
          <t>Digital bank/neobank</t>
        </is>
      </c>
      <c r="H451" t="inlineStr">
        <is>
          <t>Relationship/Marketing</t>
        </is>
      </c>
      <c r="I451" t="inlineStr">
        <is>
          <t>6-10</t>
        </is>
      </c>
      <c r="J451" t="inlineStr">
        <is>
          <t>Yes</t>
        </is>
      </c>
      <c r="K451" t="n">
        <v>1</v>
      </c>
      <c r="L451" t="inlineStr">
        <is>
          <t>Yes</t>
        </is>
      </c>
      <c r="M451" t="inlineStr">
        <is>
          <t>Yes</t>
        </is>
      </c>
      <c r="N451" t="n">
        <v>4</v>
      </c>
      <c r="O451" t="n">
        <v>3</v>
      </c>
      <c r="P451" t="n">
        <v>3</v>
      </c>
      <c r="R451" t="n">
        <v>3</v>
      </c>
      <c r="S451" t="n">
        <v>4</v>
      </c>
      <c r="T451" t="n">
        <v>2</v>
      </c>
      <c r="U451" t="n">
        <v>4</v>
      </c>
      <c r="V451" t="n">
        <v>2</v>
      </c>
      <c r="W451" t="n">
        <v>3</v>
      </c>
      <c r="X451" t="n">
        <v>4</v>
      </c>
      <c r="Y451" t="n">
        <v>2</v>
      </c>
      <c r="Z451" t="n">
        <v>2</v>
      </c>
      <c r="AA451" t="n">
        <v>2</v>
      </c>
      <c r="AB451" t="n">
        <v>2</v>
      </c>
      <c r="AC451" t="n">
        <v>3</v>
      </c>
      <c r="AD451" t="n">
        <v>3</v>
      </c>
      <c r="AE451" t="n">
        <v>2</v>
      </c>
      <c r="AF451" t="n">
        <v>3</v>
      </c>
      <c r="AG451" t="n">
        <v>3</v>
      </c>
      <c r="AH451" t="n">
        <v>1</v>
      </c>
      <c r="AI451" t="n">
        <v>3</v>
      </c>
      <c r="AJ451" t="n">
        <v>3</v>
      </c>
      <c r="AK451" t="n">
        <v>3</v>
      </c>
      <c r="AL451" t="n">
        <v>2</v>
      </c>
      <c r="AM451" t="n">
        <v>2</v>
      </c>
      <c r="AN451" t="n">
        <v>4</v>
      </c>
      <c r="AO451" t="n">
        <v>5</v>
      </c>
      <c r="AP451" t="n">
        <v>3</v>
      </c>
      <c r="AQ451" t="n">
        <v>3</v>
      </c>
      <c r="AR451" t="n">
        <v>4</v>
      </c>
      <c r="AS451" t="n">
        <v>4</v>
      </c>
      <c r="AT451" t="n">
        <v>3</v>
      </c>
      <c r="AU451" t="n">
        <v>3</v>
      </c>
      <c r="AV451" t="n">
        <v>3</v>
      </c>
      <c r="AW451" t="n">
        <v>2</v>
      </c>
      <c r="AX451" t="n">
        <v>1</v>
      </c>
      <c r="AY451" t="n">
        <v>4</v>
      </c>
      <c r="AZ451" t="n">
        <v>2</v>
      </c>
      <c r="BA451" t="n">
        <v>2</v>
      </c>
      <c r="BB451" t="n">
        <v>3</v>
      </c>
      <c r="BC451" t="n">
        <v>2</v>
      </c>
      <c r="BD451" t="n">
        <v>2</v>
      </c>
      <c r="BE451" t="n">
        <v>2</v>
      </c>
      <c r="BF451" t="n">
        <v>3</v>
      </c>
      <c r="BG451" t="n">
        <v>2</v>
      </c>
      <c r="BH451" t="n">
        <v>3</v>
      </c>
      <c r="BI451" t="n">
        <v>2</v>
      </c>
      <c r="BJ451" t="n">
        <v>2</v>
      </c>
      <c r="BK451" t="n">
        <v>5</v>
      </c>
      <c r="BL451" t="n">
        <v>4</v>
      </c>
      <c r="BM451" t="n">
        <v>4</v>
      </c>
      <c r="BN451" t="n">
        <v>4</v>
      </c>
      <c r="BO451" t="n">
        <v>4</v>
      </c>
      <c r="BP451" t="n">
        <v>3</v>
      </c>
      <c r="BQ451" t="n">
        <v>4</v>
      </c>
      <c r="BR451" t="n">
        <v>3</v>
      </c>
      <c r="BS451" s="56">
        <f>IF(COUNT(N451:W451)&gt;=8,AVERAGE(N451:W451),"")</f>
        <v/>
      </c>
      <c r="BT451" s="56">
        <f>IF(COUNT(X451:AE451)&gt;=7,AVERAGE(X451:AE451),"")</f>
        <v/>
      </c>
      <c r="BU451" s="56">
        <f>IF(COUNT(AF451:AM451)&gt;=7,AVERAGE(AF451:AM451),"")</f>
        <v/>
      </c>
      <c r="BV451" s="56">
        <f>IF(COUNT(AN451:AV451)&gt;=8,AVERAGE(AN451:AV451),"")</f>
        <v/>
      </c>
      <c r="BW451" s="56">
        <f>IF(COUNT(AW451:BD451)&gt;=7,AVERAGE(AW451:BD451),"")</f>
        <v/>
      </c>
      <c r="BX451" s="56">
        <f>IF(COUNT(BE451:BJ451)&gt;=5,AVERAGE(BE451:BJ451),"")</f>
        <v/>
      </c>
      <c r="BY451" s="56">
        <f>IF(COUNT(BK451:BR451)&gt;=7,AVERAGE(BK451:BR451),"")</f>
        <v/>
      </c>
    </row>
    <row r="452">
      <c r="BS452" s="56" t="n"/>
      <c r="BT452" s="56" t="n"/>
      <c r="BU452" s="56" t="n"/>
      <c r="BV452" s="56" t="n"/>
      <c r="BW452" s="56" t="n"/>
      <c r="BX452" s="56" t="n"/>
      <c r="BY452" s="56" t="n"/>
    </row>
    <row r="453">
      <c r="BS453" s="56" t="n"/>
      <c r="BT453" s="56" t="n"/>
      <c r="BU453" s="56" t="n"/>
      <c r="BV453" s="56" t="n"/>
      <c r="BW453" s="56" t="n"/>
      <c r="BX453" s="56" t="n"/>
      <c r="BY453" s="56" t="n"/>
    </row>
    <row r="454">
      <c r="BS454" s="56" t="n"/>
      <c r="BT454" s="56" t="n"/>
      <c r="BU454" s="56" t="n"/>
      <c r="BV454" s="56" t="n"/>
      <c r="BW454" s="56" t="n"/>
      <c r="BX454" s="56" t="n"/>
      <c r="BY454" s="56" t="n"/>
    </row>
    <row r="455">
      <c r="BS455" s="56" t="n"/>
      <c r="BT455" s="56" t="n"/>
      <c r="BU455" s="56" t="n"/>
      <c r="BV455" s="56" t="n"/>
      <c r="BW455" s="56" t="n"/>
      <c r="BX455" s="56" t="n"/>
      <c r="BY455" s="56" t="n"/>
    </row>
    <row r="456">
      <c r="BS456" s="56" t="n"/>
      <c r="BT456" s="56" t="n"/>
      <c r="BU456" s="56" t="n"/>
      <c r="BV456" s="56" t="n"/>
      <c r="BW456" s="56" t="n"/>
      <c r="BX456" s="56" t="n"/>
      <c r="BY456" s="56" t="n"/>
    </row>
    <row r="457">
      <c r="BS457" s="56" t="n"/>
      <c r="BT457" s="56" t="n"/>
      <c r="BU457" s="56" t="n"/>
      <c r="BV457" s="56" t="n"/>
      <c r="BW457" s="56" t="n"/>
      <c r="BX457" s="56" t="n"/>
      <c r="BY457" s="56" t="n"/>
    </row>
    <row r="458">
      <c r="BS458" s="56" t="n"/>
      <c r="BT458" s="56" t="n"/>
      <c r="BU458" s="56" t="n"/>
      <c r="BV458" s="56" t="n"/>
      <c r="BW458" s="56" t="n"/>
      <c r="BX458" s="56" t="n"/>
      <c r="BY458" s="56" t="n"/>
    </row>
    <row r="459">
      <c r="BS459" s="56" t="n"/>
      <c r="BT459" s="56" t="n"/>
      <c r="BU459" s="56" t="n"/>
      <c r="BV459" s="56" t="n"/>
      <c r="BW459" s="56" t="n"/>
      <c r="BX459" s="56" t="n"/>
      <c r="BY459" s="56" t="n"/>
    </row>
    <row r="460">
      <c r="BS460" s="56" t="n"/>
      <c r="BT460" s="56" t="n"/>
      <c r="BU460" s="56" t="n"/>
      <c r="BV460" s="56" t="n"/>
      <c r="BW460" s="56" t="n"/>
      <c r="BX460" s="56" t="n"/>
      <c r="BY460" s="56" t="n"/>
    </row>
    <row r="461">
      <c r="BS461" s="56" t="n"/>
      <c r="BT461" s="56" t="n"/>
      <c r="BU461" s="56" t="n"/>
      <c r="BV461" s="56" t="n"/>
      <c r="BW461" s="56" t="n"/>
      <c r="BX461" s="56" t="n"/>
      <c r="BY461" s="56" t="n"/>
    </row>
    <row r="462">
      <c r="BS462" s="56" t="n"/>
      <c r="BT462" s="56" t="n"/>
      <c r="BU462" s="56" t="n"/>
      <c r="BV462" s="56" t="n"/>
      <c r="BW462" s="56" t="n"/>
      <c r="BX462" s="56" t="n"/>
      <c r="BY462" s="56" t="n"/>
    </row>
    <row r="463">
      <c r="BS463" s="56" t="n"/>
      <c r="BT463" s="56" t="n"/>
      <c r="BU463" s="56" t="n"/>
      <c r="BV463" s="56" t="n"/>
      <c r="BW463" s="56" t="n"/>
      <c r="BX463" s="56" t="n"/>
      <c r="BY463" s="56" t="n"/>
    </row>
    <row r="464">
      <c r="BS464" s="56" t="n"/>
      <c r="BT464" s="56" t="n"/>
      <c r="BU464" s="56" t="n"/>
      <c r="BV464" s="56" t="n"/>
      <c r="BW464" s="56" t="n"/>
      <c r="BX464" s="56" t="n"/>
      <c r="BY464" s="56" t="n"/>
    </row>
    <row r="465">
      <c r="BS465" s="56" t="n"/>
      <c r="BT465" s="56" t="n"/>
      <c r="BU465" s="56" t="n"/>
      <c r="BV465" s="56" t="n"/>
      <c r="BW465" s="56" t="n"/>
      <c r="BX465" s="56" t="n"/>
      <c r="BY465" s="56" t="n"/>
    </row>
    <row r="466">
      <c r="BS466" s="56" t="n"/>
      <c r="BT466" s="56" t="n"/>
      <c r="BU466" s="56" t="n"/>
      <c r="BV466" s="56" t="n"/>
      <c r="BW466" s="56" t="n"/>
      <c r="BX466" s="56" t="n"/>
      <c r="BY466" s="56" t="n"/>
    </row>
    <row r="467">
      <c r="BS467" s="56" t="n"/>
      <c r="BT467" s="56" t="n"/>
      <c r="BU467" s="56" t="n"/>
      <c r="BV467" s="56" t="n"/>
      <c r="BW467" s="56" t="n"/>
      <c r="BX467" s="56" t="n"/>
      <c r="BY467" s="56" t="n"/>
    </row>
    <row r="468">
      <c r="BS468" s="56" t="n"/>
      <c r="BT468" s="56" t="n"/>
      <c r="BU468" s="56" t="n"/>
      <c r="BV468" s="56" t="n"/>
      <c r="BW468" s="56" t="n"/>
      <c r="BX468" s="56" t="n"/>
      <c r="BY468" s="56" t="n"/>
    </row>
    <row r="469">
      <c r="BS469" s="56" t="n"/>
      <c r="BT469" s="56" t="n"/>
      <c r="BU469" s="56" t="n"/>
      <c r="BV469" s="56" t="n"/>
      <c r="BW469" s="56" t="n"/>
      <c r="BX469" s="56" t="n"/>
      <c r="BY469" s="56" t="n"/>
    </row>
    <row r="470">
      <c r="BS470" s="56" t="n"/>
      <c r="BT470" s="56" t="n"/>
      <c r="BU470" s="56" t="n"/>
      <c r="BV470" s="56" t="n"/>
      <c r="BW470" s="56" t="n"/>
      <c r="BX470" s="56" t="n"/>
      <c r="BY470" s="56" t="n"/>
    </row>
    <row r="471">
      <c r="BS471" s="56" t="n"/>
      <c r="BT471" s="56" t="n"/>
      <c r="BU471" s="56" t="n"/>
      <c r="BV471" s="56" t="n"/>
      <c r="BW471" s="56" t="n"/>
      <c r="BX471" s="56" t="n"/>
      <c r="BY471" s="56" t="n"/>
    </row>
    <row r="472">
      <c r="BS472" s="56" t="n"/>
      <c r="BT472" s="56" t="n"/>
      <c r="BU472" s="56" t="n"/>
      <c r="BV472" s="56" t="n"/>
      <c r="BW472" s="56" t="n"/>
      <c r="BX472" s="56" t="n"/>
      <c r="BY472" s="56" t="n"/>
    </row>
    <row r="473">
      <c r="BS473" s="56" t="n"/>
      <c r="BT473" s="56" t="n"/>
      <c r="BU473" s="56" t="n"/>
      <c r="BV473" s="56" t="n"/>
      <c r="BW473" s="56" t="n"/>
      <c r="BX473" s="56" t="n"/>
      <c r="BY473" s="56" t="n"/>
    </row>
    <row r="474">
      <c r="BS474" s="56" t="n"/>
      <c r="BT474" s="56" t="n"/>
      <c r="BU474" s="56" t="n"/>
      <c r="BV474" s="56" t="n"/>
      <c r="BW474" s="56" t="n"/>
      <c r="BX474" s="56" t="n"/>
      <c r="BY474" s="56" t="n"/>
    </row>
    <row r="475">
      <c r="BS475" s="56" t="n"/>
      <c r="BT475" s="56" t="n"/>
      <c r="BU475" s="56" t="n"/>
      <c r="BV475" s="56" t="n"/>
      <c r="BW475" s="56" t="n"/>
      <c r="BX475" s="56" t="n"/>
      <c r="BY475" s="56" t="n"/>
    </row>
    <row r="476">
      <c r="BS476" s="56" t="n"/>
      <c r="BT476" s="56" t="n"/>
      <c r="BU476" s="56" t="n"/>
      <c r="BV476" s="56" t="n"/>
      <c r="BW476" s="56" t="n"/>
      <c r="BX476" s="56" t="n"/>
      <c r="BY476" s="56" t="n"/>
    </row>
    <row r="477">
      <c r="BS477" s="56" t="n"/>
      <c r="BT477" s="56" t="n"/>
      <c r="BU477" s="56" t="n"/>
      <c r="BV477" s="56" t="n"/>
      <c r="BW477" s="56" t="n"/>
      <c r="BX477" s="56" t="n"/>
      <c r="BY477" s="56" t="n"/>
    </row>
    <row r="478">
      <c r="BS478" s="56" t="n"/>
      <c r="BT478" s="56" t="n"/>
      <c r="BU478" s="56" t="n"/>
      <c r="BV478" s="56" t="n"/>
      <c r="BW478" s="56" t="n"/>
      <c r="BX478" s="56" t="n"/>
      <c r="BY478" s="56" t="n"/>
    </row>
    <row r="479">
      <c r="BS479" s="56" t="n"/>
      <c r="BT479" s="56" t="n"/>
      <c r="BU479" s="56" t="n"/>
      <c r="BV479" s="56" t="n"/>
      <c r="BW479" s="56" t="n"/>
      <c r="BX479" s="56" t="n"/>
      <c r="BY479" s="56" t="n"/>
    </row>
    <row r="480">
      <c r="BS480" s="56" t="n"/>
      <c r="BT480" s="56" t="n"/>
      <c r="BU480" s="56" t="n"/>
      <c r="BV480" s="56" t="n"/>
      <c r="BW480" s="56" t="n"/>
      <c r="BX480" s="56" t="n"/>
      <c r="BY480" s="56" t="n"/>
    </row>
    <row r="481">
      <c r="BS481" s="56" t="n"/>
      <c r="BT481" s="56" t="n"/>
      <c r="BU481" s="56" t="n"/>
      <c r="BV481" s="56" t="n"/>
      <c r="BW481" s="56" t="n"/>
      <c r="BX481" s="56" t="n"/>
      <c r="BY481" s="56" t="n"/>
    </row>
    <row r="482">
      <c r="BS482" s="56" t="n"/>
      <c r="BT482" s="56" t="n"/>
      <c r="BU482" s="56" t="n"/>
      <c r="BV482" s="56" t="n"/>
      <c r="BW482" s="56" t="n"/>
      <c r="BX482" s="56" t="n"/>
      <c r="BY482" s="56" t="n"/>
    </row>
    <row r="483">
      <c r="BS483" s="56" t="n"/>
      <c r="BT483" s="56" t="n"/>
      <c r="BU483" s="56" t="n"/>
      <c r="BV483" s="56" t="n"/>
      <c r="BW483" s="56" t="n"/>
      <c r="BX483" s="56" t="n"/>
      <c r="BY483" s="56" t="n"/>
    </row>
    <row r="484">
      <c r="BS484" s="56" t="n"/>
      <c r="BT484" s="56" t="n"/>
      <c r="BU484" s="56" t="n"/>
      <c r="BV484" s="56" t="n"/>
      <c r="BW484" s="56" t="n"/>
      <c r="BX484" s="56" t="n"/>
      <c r="BY484" s="56" t="n"/>
    </row>
    <row r="485">
      <c r="BS485" s="56" t="n"/>
      <c r="BT485" s="56" t="n"/>
      <c r="BU485" s="56" t="n"/>
      <c r="BV485" s="56" t="n"/>
      <c r="BW485" s="56" t="n"/>
      <c r="BX485" s="56" t="n"/>
      <c r="BY485" s="56" t="n"/>
    </row>
    <row r="486">
      <c r="BS486" s="56" t="n"/>
      <c r="BT486" s="56" t="n"/>
      <c r="BU486" s="56" t="n"/>
      <c r="BV486" s="56" t="n"/>
      <c r="BW486" s="56" t="n"/>
      <c r="BX486" s="56" t="n"/>
      <c r="BY486" s="56" t="n"/>
    </row>
    <row r="487">
      <c r="BS487" s="56" t="n"/>
      <c r="BT487" s="56" t="n"/>
      <c r="BU487" s="56" t="n"/>
      <c r="BV487" s="56" t="n"/>
      <c r="BW487" s="56" t="n"/>
      <c r="BX487" s="56" t="n"/>
      <c r="BY487" s="56" t="n"/>
    </row>
    <row r="488">
      <c r="BS488" s="56" t="n"/>
      <c r="BT488" s="56" t="n"/>
      <c r="BU488" s="56" t="n"/>
      <c r="BV488" s="56" t="n"/>
      <c r="BW488" s="56" t="n"/>
      <c r="BX488" s="56" t="n"/>
      <c r="BY488" s="56" t="n"/>
    </row>
    <row r="489">
      <c r="BS489" s="56" t="n"/>
      <c r="BT489" s="56" t="n"/>
      <c r="BU489" s="56" t="n"/>
      <c r="BV489" s="56" t="n"/>
      <c r="BW489" s="56" t="n"/>
      <c r="BX489" s="56" t="n"/>
      <c r="BY489" s="56" t="n"/>
    </row>
    <row r="490">
      <c r="BS490" s="56" t="n"/>
      <c r="BT490" s="56" t="n"/>
      <c r="BU490" s="56" t="n"/>
      <c r="BV490" s="56" t="n"/>
      <c r="BW490" s="56" t="n"/>
      <c r="BX490" s="56" t="n"/>
      <c r="BY490" s="56" t="n"/>
    </row>
    <row r="491">
      <c r="BS491" s="56" t="n"/>
      <c r="BT491" s="56" t="n"/>
      <c r="BU491" s="56" t="n"/>
      <c r="BV491" s="56" t="n"/>
      <c r="BW491" s="56" t="n"/>
      <c r="BX491" s="56" t="n"/>
      <c r="BY491" s="56" t="n"/>
    </row>
    <row r="492">
      <c r="BS492" s="56" t="n"/>
      <c r="BT492" s="56" t="n"/>
      <c r="BU492" s="56" t="n"/>
      <c r="BV492" s="56" t="n"/>
      <c r="BW492" s="56" t="n"/>
      <c r="BX492" s="56" t="n"/>
      <c r="BY492" s="56" t="n"/>
    </row>
    <row r="493">
      <c r="BS493" s="56" t="n"/>
      <c r="BT493" s="56" t="n"/>
      <c r="BU493" s="56" t="n"/>
      <c r="BV493" s="56" t="n"/>
      <c r="BW493" s="56" t="n"/>
      <c r="BX493" s="56" t="n"/>
      <c r="BY493" s="56" t="n"/>
    </row>
    <row r="494">
      <c r="BS494" s="56" t="n"/>
      <c r="BT494" s="56" t="n"/>
      <c r="BU494" s="56" t="n"/>
      <c r="BV494" s="56" t="n"/>
      <c r="BW494" s="56" t="n"/>
      <c r="BX494" s="56" t="n"/>
      <c r="BY494" s="56" t="n"/>
    </row>
    <row r="495">
      <c r="BS495" s="56" t="n"/>
      <c r="BT495" s="56" t="n"/>
      <c r="BU495" s="56" t="n"/>
      <c r="BV495" s="56" t="n"/>
      <c r="BW495" s="56" t="n"/>
      <c r="BX495" s="56" t="n"/>
      <c r="BY495" s="56" t="n"/>
    </row>
    <row r="496">
      <c r="BS496" s="56" t="n"/>
      <c r="BT496" s="56" t="n"/>
      <c r="BU496" s="56" t="n"/>
      <c r="BV496" s="56" t="n"/>
      <c r="BW496" s="56" t="n"/>
      <c r="BX496" s="56" t="n"/>
      <c r="BY496" s="56" t="n"/>
    </row>
    <row r="497">
      <c r="BS497" s="56" t="n"/>
      <c r="BT497" s="56" t="n"/>
      <c r="BU497" s="56" t="n"/>
      <c r="BV497" s="56" t="n"/>
      <c r="BW497" s="56" t="n"/>
      <c r="BX497" s="56" t="n"/>
      <c r="BY497" s="56" t="n"/>
    </row>
    <row r="498">
      <c r="BS498" s="56" t="n"/>
      <c r="BT498" s="56" t="n"/>
      <c r="BU498" s="56" t="n"/>
      <c r="BV498" s="56" t="n"/>
      <c r="BW498" s="56" t="n"/>
      <c r="BX498" s="56" t="n"/>
      <c r="BY498" s="56" t="n"/>
    </row>
    <row r="499">
      <c r="BS499" s="56" t="n"/>
      <c r="BT499" s="56" t="n"/>
      <c r="BU499" s="56" t="n"/>
      <c r="BV499" s="56" t="n"/>
      <c r="BW499" s="56" t="n"/>
      <c r="BX499" s="56" t="n"/>
      <c r="BY499" s="56" t="n"/>
    </row>
    <row r="500">
      <c r="BS500" s="56" t="n"/>
      <c r="BT500" s="56" t="n"/>
      <c r="BU500" s="56" t="n"/>
      <c r="BV500" s="56" t="n"/>
      <c r="BW500" s="56" t="n"/>
      <c r="BX500" s="56" t="n"/>
      <c r="BY500" s="56" t="n"/>
    </row>
    <row r="501">
      <c r="BS501" s="56" t="n"/>
      <c r="BT501" s="56" t="n"/>
      <c r="BU501" s="56" t="n"/>
      <c r="BV501" s="56" t="n"/>
      <c r="BW501" s="56" t="n"/>
      <c r="BX501" s="56" t="n"/>
      <c r="BY501" s="56" t="n"/>
    </row>
  </sheetData>
  <conditionalFormatting sqref="B2:B501">
    <cfRule type="expression" priority="1" dxfId="0">
      <formula>B2="No"</formula>
    </cfRule>
    <cfRule type="expression" priority="2" dxfId="1">
      <formula>B2="Yes"</formula>
    </cfRule>
  </conditionalFormatting>
  <dataValidations count="69">
    <dataValidation sqref="B2:B501" showDropDown="0" showInputMessage="0" showErrorMessage="0" allowBlank="0" type="list">
      <formula1>"Yes,No"</formula1>
    </dataValidation>
    <dataValidation sqref="C2:C501" showDropDown="0" showInputMessage="0" showErrorMessage="0" allowBlank="0" type="list">
      <formula1>"Yes,No"</formula1>
    </dataValidation>
    <dataValidation sqref="D2:D501" showDropDown="0" showInputMessage="0" showErrorMessage="0" allowBlank="0" type="list">
      <formula1>"Male,Female,Prefer not to say,Other"</formula1>
    </dataValidation>
    <dataValidation sqref="E2:E501" showDropDown="0" showInputMessage="0" showErrorMessage="0" allowBlank="0" type="list">
      <formula1>"18-24,25-34,35-44,45-54,55 or above"</formula1>
    </dataValidation>
    <dataValidation sqref="F2:F501" showDropDown="0" showInputMessage="0" showErrorMessage="0" allowBlank="0" type="list">
      <formula1>"Diploma/OND/NCE,Bachelor/HND,Postgraduate Diploma,Master's,Doctorate,Other"</formula1>
    </dataValidation>
    <dataValidation sqref="G2:G501" showDropDown="0" showInputMessage="0" showErrorMessage="0" allowBlank="0" type="list">
      <formula1>"Commercial bank,Digital bank/neobank,Merchant bank,Microfinance bank,Fintech/payment provider,Insurance/investment/other licensed financial institution"</formula1>
    </dataValidation>
    <dataValidation sqref="H2:H501" showDropDown="0" showInputMessage="0" showErrorMessage="0" allowBlank="0" type="list">
      <formula1>"Digital Banking/Product,Data/Analytics/AI,IT/Technology,Customer Experience/Service,Relationship/Marketing,Risk/Compliance,Management/Strategy,Other"</formula1>
    </dataValidation>
    <dataValidation sqref="I2:I501" showDropDown="0" showInputMessage="0" showErrorMessage="0" allowBlank="0" type="list">
      <formula1>"Less than 2,2-5,6-10,11-15,16 or more"</formula1>
    </dataValidation>
    <dataValidation sqref="J2:J501" showDropDown="0" showInputMessage="0" showErrorMessage="0" allowBlank="0" type="list">
      <formula1>"Yes,No"</formula1>
    </dataValidation>
    <dataValidation sqref="K2:K501" showDropDown="0" showInputMessage="0" showErrorMessage="0" allowBlank="0" type="list">
      <formula1>"0,1,2,3,4"</formula1>
    </dataValidation>
    <dataValidation sqref="L2:L501" showDropDown="0" showInputMessage="0" showErrorMessage="0" allowBlank="0" type="list">
      <formula1>"Yes,No,Do not know"</formula1>
    </dataValidation>
    <dataValidation sqref="M2:M501" showDropDown="0" showInputMessage="0" showErrorMessage="0" allowBlank="0" type="list">
      <formula1>"Yes,No"</formula1>
    </dataValidation>
    <dataValidation sqref="N2:N501" showDropDown="0" showInputMessage="0" showErrorMessage="0" allowBlank="0" type="list">
      <formula1>"1,2,3,4,5"</formula1>
    </dataValidation>
    <dataValidation sqref="O2:O501" showDropDown="0" showInputMessage="0" showErrorMessage="0" allowBlank="0" type="list">
      <formula1>"1,2,3,4,5"</formula1>
    </dataValidation>
    <dataValidation sqref="P2:P501" showDropDown="0" showInputMessage="0" showErrorMessage="0" allowBlank="0" type="list">
      <formula1>"1,2,3,4,5"</formula1>
    </dataValidation>
    <dataValidation sqref="Q2:Q501" showDropDown="0" showInputMessage="0" showErrorMessage="0" allowBlank="0" type="list">
      <formula1>"1,2,3,4,5"</formula1>
    </dataValidation>
    <dataValidation sqref="R2:R501" showDropDown="0" showInputMessage="0" showErrorMessage="0" allowBlank="0" type="list">
      <formula1>"1,2,3,4,5"</formula1>
    </dataValidation>
    <dataValidation sqref="S2:S501" showDropDown="0" showInputMessage="0" showErrorMessage="0" allowBlank="0" type="list">
      <formula1>"1,2,3,4,5"</formula1>
    </dataValidation>
    <dataValidation sqref="T2:T501" showDropDown="0" showInputMessage="0" showErrorMessage="0" allowBlank="0" type="list">
      <formula1>"1,2,3,4,5"</formula1>
    </dataValidation>
    <dataValidation sqref="U2:U501" showDropDown="0" showInputMessage="0" showErrorMessage="0" allowBlank="0" type="list">
      <formula1>"1,2,3,4,5"</formula1>
    </dataValidation>
    <dataValidation sqref="V2:V501" showDropDown="0" showInputMessage="0" showErrorMessage="0" allowBlank="0" type="list">
      <formula1>"1,2,3,4,5"</formula1>
    </dataValidation>
    <dataValidation sqref="W2:W501" showDropDown="0" showInputMessage="0" showErrorMessage="0" allowBlank="0" type="list">
      <formula1>"1,2,3,4,5"</formula1>
    </dataValidation>
    <dataValidation sqref="X2:X501" showDropDown="0" showInputMessage="0" showErrorMessage="0" allowBlank="0" type="list">
      <formula1>"1,2,3,4,5"</formula1>
    </dataValidation>
    <dataValidation sqref="Y2:Y501" showDropDown="0" showInputMessage="0" showErrorMessage="0" allowBlank="0" type="list">
      <formula1>"1,2,3,4,5"</formula1>
    </dataValidation>
    <dataValidation sqref="Z2:Z501" showDropDown="0" showInputMessage="0" showErrorMessage="0" allowBlank="0" type="list">
      <formula1>"1,2,3,4,5"</formula1>
    </dataValidation>
    <dataValidation sqref="AA2:AA501" showDropDown="0" showInputMessage="0" showErrorMessage="0" allowBlank="0" type="list">
      <formula1>"1,2,3,4,5"</formula1>
    </dataValidation>
    <dataValidation sqref="AB2:AB501" showDropDown="0" showInputMessage="0" showErrorMessage="0" allowBlank="0" type="list">
      <formula1>"1,2,3,4,5"</formula1>
    </dataValidation>
    <dataValidation sqref="AC2:AC501" showDropDown="0" showInputMessage="0" showErrorMessage="0" allowBlank="0" type="list">
      <formula1>"1,2,3,4,5"</formula1>
    </dataValidation>
    <dataValidation sqref="AD2:AD501" showDropDown="0" showInputMessage="0" showErrorMessage="0" allowBlank="0" type="list">
      <formula1>"1,2,3,4,5"</formula1>
    </dataValidation>
    <dataValidation sqref="AE2:AE501" showDropDown="0" showInputMessage="0" showErrorMessage="0" allowBlank="0" type="list">
      <formula1>"1,2,3,4,5"</formula1>
    </dataValidation>
    <dataValidation sqref="AF2:AF501" showDropDown="0" showInputMessage="0" showErrorMessage="0" allowBlank="0" type="list">
      <formula1>"1,2,3,4,5"</formula1>
    </dataValidation>
    <dataValidation sqref="AG2:AG501" showDropDown="0" showInputMessage="0" showErrorMessage="0" allowBlank="0" type="list">
      <formula1>"1,2,3,4,5"</formula1>
    </dataValidation>
    <dataValidation sqref="AH2:AH501" showDropDown="0" showInputMessage="0" showErrorMessage="0" allowBlank="0" type="list">
      <formula1>"1,2,3,4,5"</formula1>
    </dataValidation>
    <dataValidation sqref="AI2:AI501" showDropDown="0" showInputMessage="0" showErrorMessage="0" allowBlank="0" type="list">
      <formula1>"1,2,3,4,5"</formula1>
    </dataValidation>
    <dataValidation sqref="AJ2:AJ501" showDropDown="0" showInputMessage="0" showErrorMessage="0" allowBlank="0" type="list">
      <formula1>"1,2,3,4,5"</formula1>
    </dataValidation>
    <dataValidation sqref="AK2:AK501" showDropDown="0" showInputMessage="0" showErrorMessage="0" allowBlank="0" type="list">
      <formula1>"1,2,3,4,5"</formula1>
    </dataValidation>
    <dataValidation sqref="AL2:AL501" showDropDown="0" showInputMessage="0" showErrorMessage="0" allowBlank="0" type="list">
      <formula1>"1,2,3,4,5"</formula1>
    </dataValidation>
    <dataValidation sqref="AM2:AM501" showDropDown="0" showInputMessage="0" showErrorMessage="0" allowBlank="0" type="list">
      <formula1>"1,2,3,4,5"</formula1>
    </dataValidation>
    <dataValidation sqref="AN2:AN501" showDropDown="0" showInputMessage="0" showErrorMessage="0" allowBlank="0" type="list">
      <formula1>"1,2,3,4,5"</formula1>
    </dataValidation>
    <dataValidation sqref="AO2:AO501" showDropDown="0" showInputMessage="0" showErrorMessage="0" allowBlank="0" type="list">
      <formula1>"1,2,3,4,5"</formula1>
    </dataValidation>
    <dataValidation sqref="AP2:AP501" showDropDown="0" showInputMessage="0" showErrorMessage="0" allowBlank="0" type="list">
      <formula1>"1,2,3,4,5"</formula1>
    </dataValidation>
    <dataValidation sqref="AQ2:AQ501" showDropDown="0" showInputMessage="0" showErrorMessage="0" allowBlank="0" type="list">
      <formula1>"1,2,3,4,5"</formula1>
    </dataValidation>
    <dataValidation sqref="AR2:AR501" showDropDown="0" showInputMessage="0" showErrorMessage="0" allowBlank="0" type="list">
      <formula1>"1,2,3,4,5"</formula1>
    </dataValidation>
    <dataValidation sqref="AS2:AS501" showDropDown="0" showInputMessage="0" showErrorMessage="0" allowBlank="0" type="list">
      <formula1>"1,2,3,4,5"</formula1>
    </dataValidation>
    <dataValidation sqref="AT2:AT501" showDropDown="0" showInputMessage="0" showErrorMessage="0" allowBlank="0" type="list">
      <formula1>"1,2,3,4,5"</formula1>
    </dataValidation>
    <dataValidation sqref="AU2:AU501" showDropDown="0" showInputMessage="0" showErrorMessage="0" allowBlank="0" type="list">
      <formula1>"1,2,3,4,5"</formula1>
    </dataValidation>
    <dataValidation sqref="AV2:AV501" showDropDown="0" showInputMessage="0" showErrorMessage="0" allowBlank="0" type="list">
      <formula1>"1,2,3,4,5"</formula1>
    </dataValidation>
    <dataValidation sqref="AW2:AW501" showDropDown="0" showInputMessage="0" showErrorMessage="0" allowBlank="0" type="list">
      <formula1>"1,2,3,4,5"</formula1>
    </dataValidation>
    <dataValidation sqref="AX2:AX501" showDropDown="0" showInputMessage="0" showErrorMessage="0" allowBlank="0" type="list">
      <formula1>"1,2,3,4,5"</formula1>
    </dataValidation>
    <dataValidation sqref="AY2:AY501" showDropDown="0" showInputMessage="0" showErrorMessage="0" allowBlank="0" type="list">
      <formula1>"1,2,3,4,5"</formula1>
    </dataValidation>
    <dataValidation sqref="AZ2:AZ501" showDropDown="0" showInputMessage="0" showErrorMessage="0" allowBlank="0" type="list">
      <formula1>"1,2,3,4,5"</formula1>
    </dataValidation>
    <dataValidation sqref="BA2:BA501" showDropDown="0" showInputMessage="0" showErrorMessage="0" allowBlank="0" type="list">
      <formula1>"1,2,3,4,5"</formula1>
    </dataValidation>
    <dataValidation sqref="BB2:BB501" showDropDown="0" showInputMessage="0" showErrorMessage="0" allowBlank="0" type="list">
      <formula1>"1,2,3,4,5"</formula1>
    </dataValidation>
    <dataValidation sqref="BC2:BC501" showDropDown="0" showInputMessage="0" showErrorMessage="0" allowBlank="0" type="list">
      <formula1>"1,2,3,4,5"</formula1>
    </dataValidation>
    <dataValidation sqref="BD2:BD501" showDropDown="0" showInputMessage="0" showErrorMessage="0" allowBlank="0" type="list">
      <formula1>"1,2,3,4,5"</formula1>
    </dataValidation>
    <dataValidation sqref="BE2:BE501" showDropDown="0" showInputMessage="0" showErrorMessage="0" allowBlank="0" type="list">
      <formula1>"1,2,3,4,5"</formula1>
    </dataValidation>
    <dataValidation sqref="BF2:BF501" showDropDown="0" showInputMessage="0" showErrorMessage="0" allowBlank="0" type="list">
      <formula1>"1,2,3,4,5"</formula1>
    </dataValidation>
    <dataValidation sqref="BG2:BG501" showDropDown="0" showInputMessage="0" showErrorMessage="0" allowBlank="0" type="list">
      <formula1>"1,2,3,4,5"</formula1>
    </dataValidation>
    <dataValidation sqref="BH2:BH501" showDropDown="0" showInputMessage="0" showErrorMessage="0" allowBlank="0" type="list">
      <formula1>"1,2,3,4,5"</formula1>
    </dataValidation>
    <dataValidation sqref="BI2:BI501" showDropDown="0" showInputMessage="0" showErrorMessage="0" allowBlank="0" type="list">
      <formula1>"1,2,3,4,5"</formula1>
    </dataValidation>
    <dataValidation sqref="BJ2:BJ501" showDropDown="0" showInputMessage="0" showErrorMessage="0" allowBlank="0" type="list">
      <formula1>"1,2,3,4,5"</formula1>
    </dataValidation>
    <dataValidation sqref="BK2:BK501" showDropDown="0" showInputMessage="0" showErrorMessage="0" allowBlank="0" type="list">
      <formula1>"1,2,3,4,5"</formula1>
    </dataValidation>
    <dataValidation sqref="BL2:BL501" showDropDown="0" showInputMessage="0" showErrorMessage="0" allowBlank="0" type="list">
      <formula1>"1,2,3,4,5"</formula1>
    </dataValidation>
    <dataValidation sqref="BM2:BM501" showDropDown="0" showInputMessage="0" showErrorMessage="0" allowBlank="0" type="list">
      <formula1>"1,2,3,4,5"</formula1>
    </dataValidation>
    <dataValidation sqref="BN2:BN501" showDropDown="0" showInputMessage="0" showErrorMessage="0" allowBlank="0" type="list">
      <formula1>"1,2,3,4,5"</formula1>
    </dataValidation>
    <dataValidation sqref="BO2:BO501" showDropDown="0" showInputMessage="0" showErrorMessage="0" allowBlank="0" type="list">
      <formula1>"1,2,3,4,5"</formula1>
    </dataValidation>
    <dataValidation sqref="BP2:BP501" showDropDown="0" showInputMessage="0" showErrorMessage="0" allowBlank="0" type="list">
      <formula1>"1,2,3,4,5"</formula1>
    </dataValidation>
    <dataValidation sqref="BQ2:BQ501" showDropDown="0" showInputMessage="0" showErrorMessage="0" allowBlank="0" type="list">
      <formula1>"1,2,3,4,5"</formula1>
    </dataValidation>
    <dataValidation sqref="BR2:BR501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4" max="4"/>
    <col width="22" customWidth="1" min="5" max="5"/>
    <col width="22" customWidth="1" min="6" max="6"/>
  </cols>
  <sheetData>
    <row r="1" ht="28" customHeight="1">
      <c r="A1" s="45" t="inlineStr">
        <is>
          <t>RESPONSE COLLECTION TRACKER</t>
        </is>
      </c>
      <c r="B1" s="1" t="n"/>
      <c r="C1" s="1" t="n"/>
      <c r="D1" s="1" t="n"/>
      <c r="E1" s="1" t="n"/>
      <c r="F1" s="1" t="n"/>
    </row>
    <row r="3">
      <c r="A3" s="24" t="inlineStr">
        <is>
          <t>Metric</t>
        </is>
      </c>
      <c r="B3" s="24" t="inlineStr">
        <is>
          <t>Value</t>
        </is>
      </c>
      <c r="D3" s="24" t="inlineStr">
        <is>
          <t>AI Maturity Group</t>
        </is>
      </c>
      <c r="E3" s="24" t="inlineStr">
        <is>
          <t>Code</t>
        </is>
      </c>
      <c r="F3" s="24" t="inlineStr">
        <is>
          <t>Valid N</t>
        </is>
      </c>
    </row>
    <row r="4">
      <c r="A4" s="11" t="inlineStr">
        <is>
          <t>Main sample target</t>
        </is>
      </c>
      <c r="B4" t="n">
        <v>420</v>
      </c>
      <c r="D4" t="inlineStr">
        <is>
          <t>None</t>
        </is>
      </c>
      <c r="E4" t="n">
        <v>0</v>
      </c>
      <c r="F4">
        <f>COUNTIFS(Raw_Data!$B$2:$B$501,"Yes",Raw_Data!$K$2:$K$501,E4)</f>
        <v/>
      </c>
    </row>
    <row r="5">
      <c r="A5" s="11" t="inlineStr">
        <is>
          <t>Pilot target</t>
        </is>
      </c>
      <c r="B5" t="n">
        <v>30</v>
      </c>
      <c r="D5" t="inlineStr">
        <is>
          <t>Exploratory/pilot</t>
        </is>
      </c>
      <c r="E5" t="n">
        <v>1</v>
      </c>
      <c r="F5">
        <f>COUNTIFS(Raw_Data!$B$2:$B$501,"Yes",Raw_Data!$K$2:$K$501,E5)</f>
        <v/>
      </c>
    </row>
    <row r="6">
      <c r="A6" s="11" t="inlineStr">
        <is>
          <t>Records entered</t>
        </is>
      </c>
      <c r="B6">
        <f>COUNTIF(Raw_Data!C2:C501,"&lt;&gt;")</f>
        <v/>
      </c>
      <c r="D6" t="inlineStr">
        <is>
          <t>Limited deployment</t>
        </is>
      </c>
      <c r="E6" t="n">
        <v>2</v>
      </c>
      <c r="F6">
        <f>COUNTIFS(Raw_Data!$B$2:$B$501,"Yes",Raw_Data!$K$2:$K$501,E6)</f>
        <v/>
      </c>
    </row>
    <row r="7">
      <c r="A7" s="11" t="inlineStr">
        <is>
          <t>Marked valid</t>
        </is>
      </c>
      <c r="B7">
        <f>COUNTIF(Raw_Data!B2:B501,"Yes")</f>
        <v/>
      </c>
      <c r="D7" t="inlineStr">
        <is>
          <t>Established multi-use-case</t>
        </is>
      </c>
      <c r="E7" t="n">
        <v>3</v>
      </c>
      <c r="F7">
        <f>COUNTIFS(Raw_Data!$B$2:$B$501,"Yes",Raw_Data!$K$2:$K$501,E7)</f>
        <v/>
      </c>
    </row>
    <row r="8">
      <c r="A8" s="11" t="inlineStr">
        <is>
          <t>Remaining to target</t>
        </is>
      </c>
      <c r="B8">
        <f>MAX(B4-B7,0)</f>
        <v/>
      </c>
      <c r="D8" t="inlineStr">
        <is>
          <t>Advanced/enterprise-wide</t>
        </is>
      </c>
      <c r="E8" t="n">
        <v>4</v>
      </c>
      <c r="F8">
        <f>COUNTIFS(Raw_Data!$B$2:$B$501,"Yes",Raw_Data!$K$2:$K$501,E8)</f>
        <v/>
      </c>
    </row>
    <row r="9">
      <c r="A9" s="11" t="inlineStr">
        <is>
          <t>Completion %</t>
        </is>
      </c>
      <c r="B9" s="57">
        <f>IF(B4=0,0,B7/B4)</f>
        <v/>
      </c>
    </row>
    <row r="10">
      <c r="A10" s="11" t="inlineStr">
        <is>
          <t>Last updated</t>
        </is>
      </c>
      <c r="B10" s="58" t="n">
        <v>46277.59357806579</v>
      </c>
    </row>
  </sheetData>
  <mergeCells count="1">
    <mergeCell ref="A1:F1"/>
  </mergeCells>
  <conditionalFormatting sqref="B9">
    <cfRule type="dataBar" priority="1">
      <dataBar>
        <cfvo type="min"/>
        <cfvo type="max"/>
        <color rgb="FFA02B93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35" customWidth="1" min="4" max="4"/>
    <col width="22" customWidth="1" min="5" max="5"/>
    <col width="36" customWidth="1" min="6" max="6"/>
  </cols>
  <sheetData>
    <row r="1" ht="28" customHeight="1">
      <c r="A1" s="25" t="inlineStr">
        <is>
          <t>Objective</t>
        </is>
      </c>
      <c r="B1" s="25" t="inlineStr">
        <is>
          <t>Research Question</t>
        </is>
      </c>
      <c r="C1" s="25" t="inlineStr">
        <is>
          <t>Variables</t>
        </is>
      </c>
      <c r="D1" s="25" t="inlineStr">
        <is>
          <t>Analysis</t>
        </is>
      </c>
      <c r="E1" s="25" t="inlineStr">
        <is>
          <t>Hypothesis</t>
        </is>
      </c>
      <c r="F1" s="25" t="inlineStr">
        <is>
          <t>Expected Output</t>
        </is>
      </c>
    </row>
    <row r="2">
      <c r="A2" s="15" t="inlineStr">
        <is>
          <t>1</t>
        </is>
      </c>
      <c r="B2" s="15" t="inlineStr">
        <is>
          <t>What factors influence customer churn?</t>
        </is>
      </c>
      <c r="C2" s="15" t="inlineStr">
        <is>
          <t>CHD1-CHD10; CHD_Mean</t>
        </is>
      </c>
      <c r="D2" s="15" t="inlineStr">
        <is>
          <t>Frequencies, %, mean, SD; rank items by mean</t>
        </is>
      </c>
      <c r="E2" s="15" t="inlineStr">
        <is>
          <t>No formal hypothesis</t>
        </is>
      </c>
      <c r="F2" s="15" t="inlineStr">
        <is>
          <t>Ranked churn determinants</t>
        </is>
      </c>
    </row>
    <row r="3">
      <c r="A3" s="15" t="inlineStr">
        <is>
          <t>2</t>
        </is>
      </c>
      <c r="B3" s="15" t="inlineStr">
        <is>
          <t>How can AI be applied to churn prediction?</t>
        </is>
      </c>
      <c r="C3" s="15" t="inlineStr">
        <is>
          <t>AIA1-AIA8; PAC1-PAC8</t>
        </is>
      </c>
      <c r="D3" s="15" t="inlineStr">
        <is>
          <t>Descriptives + Pearson AIA_Mean vs PAC_Mean</t>
        </is>
      </c>
      <c r="E3" s="15" t="inlineStr">
        <is>
          <t>H01</t>
        </is>
      </c>
      <c r="F3" s="15" t="inlineStr">
        <is>
          <t>Correlation table + interpretation</t>
        </is>
      </c>
    </row>
    <row r="4">
      <c r="A4" s="15" t="inlineStr">
        <is>
          <t>3</t>
        </is>
      </c>
      <c r="B4" s="15" t="inlineStr">
        <is>
          <t>Which AI techniques are most suitable?</t>
        </is>
      </c>
      <c r="C4" s="15" t="inlineStr">
        <is>
          <t>MLU1-MLU9</t>
        </is>
      </c>
      <c r="D4" s="15" t="inlineStr">
        <is>
          <t>Descriptives; rank by mean</t>
        </is>
      </c>
      <c r="E4" s="15" t="inlineStr">
        <is>
          <t>No formal hypothesis</t>
        </is>
      </c>
      <c r="F4" s="15" t="inlineStr">
        <is>
          <t>Technique suitability table</t>
        </is>
      </c>
    </row>
    <row r="5">
      <c r="A5" s="15" t="inlineStr">
        <is>
          <t>4</t>
        </is>
      </c>
      <c r="B5" s="15" t="inlineStr">
        <is>
          <t>How effective are AI-driven models in reducing attrition?</t>
        </is>
      </c>
      <c r="C5" s="15" t="inlineStr">
        <is>
          <t>PAC; CRE; A8</t>
        </is>
      </c>
      <c r="D5" s="15" t="inlineStr">
        <is>
          <t>Descriptives + one-way ANOVA</t>
        </is>
      </c>
      <c r="E5" s="15" t="inlineStr">
        <is>
          <t>H03</t>
        </is>
      </c>
      <c r="F5" s="15" t="inlineStr">
        <is>
          <t>Group means, Levene, ANOVA, effect size/post-hoc</t>
        </is>
      </c>
    </row>
    <row r="6">
      <c r="A6" s="15" t="inlineStr">
        <is>
          <t>5</t>
        </is>
      </c>
      <c r="B6" s="15" t="inlineStr">
        <is>
          <t>How do AI insights contribute to retention optimization?</t>
        </is>
      </c>
      <c r="C6" s="15" t="inlineStr">
        <is>
          <t>AIA; PAC; MLU; RSO</t>
        </is>
      </c>
      <c r="D6" s="15" t="inlineStr">
        <is>
          <t>Multiple regression</t>
        </is>
      </c>
      <c r="E6" s="15" t="inlineStr">
        <is>
          <t>H02</t>
        </is>
      </c>
      <c r="F6" s="15" t="inlineStr">
        <is>
          <t>Model summary, ANOVA, coefficient table</t>
        </is>
      </c>
    </row>
    <row r="7">
      <c r="A7" s="15" t="inlineStr">
        <is>
          <t>6</t>
        </is>
      </c>
      <c r="B7" s="15" t="inlineStr">
        <is>
          <t>What framework supports implementation?</t>
        </is>
      </c>
      <c r="C7" s="15" t="inlineStr">
        <is>
          <t>IMP1-IMP8 + interview themes</t>
        </is>
      </c>
      <c r="D7" s="15" t="inlineStr">
        <is>
          <t>Descriptive + thematic + mixed-method synthesis</t>
        </is>
      </c>
      <c r="E7" s="15" t="inlineStr">
        <is>
          <t>Framework objective</t>
        </is>
      </c>
      <c r="F7" s="15" t="inlineStr">
        <is>
          <t>Implementation framework / joint display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4" customWidth="1" min="4" max="4"/>
    <col width="14" customWidth="1" min="5" max="5"/>
    <col width="28" customWidth="1" min="6" max="6"/>
  </cols>
  <sheetData>
    <row r="1" ht="28" customHeight="1">
      <c r="A1" s="25" t="inlineStr">
        <is>
          <t>Construct</t>
        </is>
      </c>
      <c r="B1" s="25" t="inlineStr">
        <is>
          <t>Item Codes</t>
        </is>
      </c>
      <c r="C1" s="25" t="inlineStr">
        <is>
          <t>No. Items</t>
        </is>
      </c>
      <c r="D1" s="25" t="inlineStr">
        <is>
          <t>Observed Cronbach Alpha</t>
        </is>
      </c>
      <c r="E1" s="25" t="inlineStr">
        <is>
          <t>Threshold</t>
        </is>
      </c>
      <c r="F1" s="25" t="inlineStr">
        <is>
          <t>Decision</t>
        </is>
      </c>
    </row>
    <row r="2">
      <c r="A2" s="15" t="inlineStr">
        <is>
          <t>CHD</t>
        </is>
      </c>
      <c r="B2" s="15" t="inlineStr">
        <is>
          <t>CHD1-CHD10</t>
        </is>
      </c>
      <c r="C2" s="15" t="n">
        <v>10</v>
      </c>
      <c r="D2" s="59" t="n">
        <v>0.93</v>
      </c>
      <c r="E2" s="60" t="n">
        <v>0.7</v>
      </c>
      <c r="F2" s="15" t="inlineStr">
        <is>
          <t>Accept (alpha&gt;=0.70, SYNTHETIC)</t>
        </is>
      </c>
    </row>
    <row r="3">
      <c r="A3" s="15" t="inlineStr">
        <is>
          <t>AIA</t>
        </is>
      </c>
      <c r="B3" s="15" t="inlineStr">
        <is>
          <t>AIA1-AIA8</t>
        </is>
      </c>
      <c r="C3" s="15" t="n">
        <v>8</v>
      </c>
      <c r="D3" s="59" t="n">
        <v>0.912</v>
      </c>
      <c r="E3" s="60" t="n">
        <v>0.7</v>
      </c>
      <c r="F3" s="15" t="inlineStr">
        <is>
          <t>Accept (alpha&gt;=0.70, SYNTHETIC)</t>
        </is>
      </c>
    </row>
    <row r="4">
      <c r="A4" s="15" t="inlineStr">
        <is>
          <t>PAC</t>
        </is>
      </c>
      <c r="B4" s="15" t="inlineStr">
        <is>
          <t>PAC1-PAC8</t>
        </is>
      </c>
      <c r="C4" s="15" t="n">
        <v>8</v>
      </c>
      <c r="D4" s="59" t="n">
        <v>0.864</v>
      </c>
      <c r="E4" s="60" t="n">
        <v>0.7</v>
      </c>
      <c r="F4" s="15" t="inlineStr">
        <is>
          <t>Accept (alpha&gt;=0.70, SYNTHETIC)</t>
        </is>
      </c>
    </row>
    <row r="5">
      <c r="A5" s="15" t="inlineStr">
        <is>
          <t>MLU</t>
        </is>
      </c>
      <c r="B5" s="15" t="inlineStr">
        <is>
          <t>MLU1-MLU9</t>
        </is>
      </c>
      <c r="C5" s="15" t="n">
        <v>9</v>
      </c>
      <c r="D5" s="59" t="n">
        <v>0.931</v>
      </c>
      <c r="E5" s="60" t="n">
        <v>0.7</v>
      </c>
      <c r="F5" s="15" t="inlineStr">
        <is>
          <t>Accept (alpha&gt;=0.70, SYNTHETIC)</t>
        </is>
      </c>
    </row>
    <row r="6">
      <c r="A6" s="15" t="inlineStr">
        <is>
          <t>RSO</t>
        </is>
      </c>
      <c r="B6" s="15" t="inlineStr">
        <is>
          <t>RSO1-RSO8</t>
        </is>
      </c>
      <c r="C6" s="15" t="n">
        <v>8</v>
      </c>
      <c r="D6" s="59" t="n">
        <v>0.93</v>
      </c>
      <c r="E6" s="60" t="n">
        <v>0.7</v>
      </c>
      <c r="F6" s="15" t="inlineStr">
        <is>
          <t>Accept (alpha&gt;=0.70, SYNTHETIC)</t>
        </is>
      </c>
    </row>
    <row r="7">
      <c r="A7" s="15" t="inlineStr">
        <is>
          <t>CRE</t>
        </is>
      </c>
      <c r="B7" s="15" t="inlineStr">
        <is>
          <t>CRE1-CRE6</t>
        </is>
      </c>
      <c r="C7" s="15" t="n">
        <v>6</v>
      </c>
      <c r="D7" s="59" t="n">
        <v>0.852</v>
      </c>
      <c r="E7" s="60" t="n">
        <v>0.7</v>
      </c>
      <c r="F7" s="15" t="inlineStr">
        <is>
          <t>Accept (alpha&gt;=0.70, SYNTHETIC)</t>
        </is>
      </c>
    </row>
    <row r="8">
      <c r="A8" s="15" t="inlineStr">
        <is>
          <t>IMP</t>
        </is>
      </c>
      <c r="B8" s="15" t="inlineStr">
        <is>
          <t>IMP1-IMP8</t>
        </is>
      </c>
      <c r="C8" s="15" t="n">
        <v>8</v>
      </c>
      <c r="D8" s="59" t="n">
        <v>0.846</v>
      </c>
      <c r="E8" s="60" t="n">
        <v>0.7</v>
      </c>
      <c r="F8" s="15" t="inlineStr">
        <is>
          <t>Accept (alpha&gt;=0.70, SYNTHETIC)</t>
        </is>
      </c>
    </row>
    <row r="10">
      <c r="A10" s="22" t="inlineStr">
        <is>
          <t>Pilot rule</t>
        </is>
      </c>
      <c r="B10" s="1" t="n"/>
      <c r="C10" s="1" t="n"/>
      <c r="D10" s="1" t="n"/>
      <c r="E10" s="1" t="n"/>
      <c r="F10" s="1" t="n"/>
    </row>
    <row r="11">
      <c r="A11" s="17" t="inlineStr">
        <is>
          <t>Use approximately 30 eligible professionals outside the main study area. Do not combine pilot responses with the main sample.</t>
        </is>
      </c>
      <c r="B11" s="1" t="n"/>
      <c r="C11" s="1" t="n"/>
      <c r="D11" s="1" t="n"/>
      <c r="E11" s="1" t="n"/>
      <c r="F11" s="1" t="n"/>
    </row>
    <row r="12">
      <c r="A12" s="17" t="inlineStr">
        <is>
          <t>Review alpha together with item-total statistics and conceptual coverage; do not delete an item only to raise alpha.</t>
        </is>
      </c>
      <c r="B12" s="1" t="n"/>
      <c r="C12" s="1" t="n"/>
      <c r="D12" s="1" t="n"/>
      <c r="E12" s="1" t="n"/>
      <c r="F12" s="1" t="n"/>
    </row>
    <row r="13">
      <c r="A13" s="17" t="inlineStr">
        <is>
          <t>Freeze wording after supervisor approval before main data collection.</t>
        </is>
      </c>
      <c r="B13" s="1" t="n"/>
      <c r="C13" s="1" t="n"/>
      <c r="D13" s="1" t="n"/>
      <c r="E13" s="1" t="n"/>
      <c r="F13" s="1" t="n"/>
    </row>
  </sheetData>
  <mergeCells count="4">
    <mergeCell ref="A13:F13"/>
    <mergeCell ref="A11:F11"/>
    <mergeCell ref="A10:F10"/>
    <mergeCell ref="A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5" customWidth="1" min="4" max="4"/>
    <col width="22" customWidth="1" min="5" max="5"/>
    <col width="22" customWidth="1" min="6" max="6"/>
    <col width="22" customWidth="1" min="7" max="7"/>
    <col width="55" customWidth="1" min="8" max="8"/>
    <col width="25" customWidth="1" min="9" max="9"/>
    <col width="18" customWidth="1" min="10" max="10"/>
    <col width="45" customWidth="1" min="11" max="11"/>
  </cols>
  <sheetData>
    <row r="1" ht="28" customHeight="1">
      <c r="A1" s="25" t="inlineStr">
        <is>
          <t>Participant_ID</t>
        </is>
      </c>
      <c r="B1" s="25" t="inlineStr">
        <is>
          <t>Role</t>
        </is>
      </c>
      <c r="C1" s="25" t="inlineStr">
        <is>
          <t>Interview_Date</t>
        </is>
      </c>
      <c r="D1" s="25" t="inlineStr">
        <is>
          <t>Question_Code</t>
        </is>
      </c>
      <c r="E1" s="25" t="inlineStr">
        <is>
          <t>Initial_Code</t>
        </is>
      </c>
      <c r="F1" s="25" t="inlineStr">
        <is>
          <t>Candidate_Theme</t>
        </is>
      </c>
      <c r="G1" s="25" t="inlineStr">
        <is>
          <t>Final_Theme</t>
        </is>
      </c>
      <c r="H1" s="25" t="inlineStr">
        <is>
          <t>Supporting_Quote</t>
        </is>
      </c>
      <c r="I1" s="25" t="inlineStr">
        <is>
          <t>Quant_Finding_Link</t>
        </is>
      </c>
      <c r="J1" s="25" t="inlineStr">
        <is>
          <t>Integration_Type</t>
        </is>
      </c>
      <c r="K1" s="25" t="inlineStr">
        <is>
          <t>Analyst_Note</t>
        </is>
      </c>
    </row>
    <row r="2">
      <c r="A2" s="15" t="inlineStr">
        <is>
          <t>P01</t>
        </is>
      </c>
      <c r="B2" s="15" t="inlineStr">
        <is>
          <t>Digital Banking Manager</t>
        </is>
      </c>
      <c r="C2" s="61" t="inlineStr">
        <is>
          <t>2026-07-19</t>
        </is>
      </c>
      <c r="D2" s="15" t="inlineStr">
        <is>
          <t>IQ1</t>
        </is>
      </c>
      <c r="E2" s="15" t="inlineStr">
        <is>
          <t>IQ1: churn drivers observed in practice - service improvement noted</t>
        </is>
      </c>
      <c r="F2" s="15" t="inlineStr">
        <is>
          <t>Service improvement</t>
        </is>
      </c>
      <c r="G2" s="15" t="inlineStr">
        <is>
          <t>Service improvement</t>
        </is>
      </c>
      <c r="H2" s="15" t="inlineStr">
        <is>
          <t>"Measure saved relationships, not just model AUC." [SYNTHETIC]</t>
        </is>
      </c>
      <c r="I2" s="15" t="inlineStr">
        <is>
          <t>Direct churn-reduction M=2.94</t>
        </is>
      </c>
      <c r="J2" s="15" t="inlineStr">
        <is>
          <t>Complements</t>
        </is>
      </c>
      <c r="K2" s="15" t="inlineStr">
        <is>
          <t>SYNTHETIC demo coding for methods illustration.</t>
        </is>
      </c>
    </row>
    <row r="3">
      <c r="A3" s="15" t="inlineStr">
        <is>
          <t>P01</t>
        </is>
      </c>
      <c r="B3" s="15" t="inlineStr">
        <is>
          <t>Digital Banking Manager</t>
        </is>
      </c>
      <c r="C3" s="61" t="inlineStr">
        <is>
          <t>2026-07-21</t>
        </is>
      </c>
      <c r="D3" s="15" t="inlineStr">
        <is>
          <t>IQ2</t>
        </is>
      </c>
      <c r="E3" s="15" t="inlineStr">
        <is>
          <t>IQ2: silent churn / multi-banking signs - enterprise ownership noted</t>
        </is>
      </c>
      <c r="F3" s="15" t="inlineStr">
        <is>
          <t>Enterprise ownership</t>
        </is>
      </c>
      <c r="G3" s="15" t="inlineStr">
        <is>
          <t>Enterprise ownership</t>
        </is>
      </c>
      <c r="H3" s="15" t="inlineStr">
        <is>
          <t>"RACI and a weekly review beat another model tweak." [SYNTHETIC]</t>
        </is>
      </c>
      <c r="I3" s="15" t="inlineStr">
        <is>
          <t>Cross-functional ownership M=3.42</t>
        </is>
      </c>
      <c r="J3" s="15" t="inlineStr">
        <is>
          <t>Converges</t>
        </is>
      </c>
      <c r="K3" s="15" t="inlineStr">
        <is>
          <t>SYNTHETIC demo coding for methods illustration.</t>
        </is>
      </c>
    </row>
    <row r="4">
      <c r="A4" s="15" t="inlineStr">
        <is>
          <t>P01</t>
        </is>
      </c>
      <c r="B4" s="15" t="inlineStr">
        <is>
          <t>Digital Banking Manager</t>
        </is>
      </c>
      <c r="C4" s="61" t="inlineStr">
        <is>
          <t>2026-07-02</t>
        </is>
      </c>
      <c r="D4" s="15" t="inlineStr">
        <is>
          <t>IQ3</t>
        </is>
      </c>
      <c r="E4" s="15" t="inlineStr">
        <is>
          <t>IQ3: AI use for behavioural monitoring - enterprise ownership noted</t>
        </is>
      </c>
      <c r="F4" s="15" t="inlineStr">
        <is>
          <t>Enterprise ownership</t>
        </is>
      </c>
      <c r="G4" s="15" t="inlineStr">
        <is>
          <t>Enterprise ownership</t>
        </is>
      </c>
      <c r="H4" s="15" t="inlineStr">
        <is>
          <t>"Retention fails when it belongs to nobody; it needs business, data, tech and CX at one table." [SYNTHETIC]</t>
        </is>
      </c>
      <c r="I4" s="15" t="inlineStr">
        <is>
          <t>Cross-functional ownership M=3.42</t>
        </is>
      </c>
      <c r="J4" s="15" t="inlineStr">
        <is>
          <t>Converges</t>
        </is>
      </c>
      <c r="K4" s="15" t="inlineStr">
        <is>
          <t>SYNTHETIC demo coding for methods illustration.</t>
        </is>
      </c>
    </row>
    <row r="5">
      <c r="A5" s="15" t="inlineStr">
        <is>
          <t>P01</t>
        </is>
      </c>
      <c r="B5" s="15" t="inlineStr">
        <is>
          <t>Digital Banking Manager</t>
        </is>
      </c>
      <c r="C5" s="61" t="inlineStr">
        <is>
          <t>2026-07-24</t>
        </is>
      </c>
      <c r="D5" s="15" t="inlineStr">
        <is>
          <t>IQ4</t>
        </is>
      </c>
      <c r="E5" s="15" t="inlineStr">
        <is>
          <t>IQ4: risk scoring and early warning - early warning noted</t>
        </is>
      </c>
      <c r="F5" s="15" t="inlineStr">
        <is>
          <t>Early warning</t>
        </is>
      </c>
      <c r="G5" s="15" t="inlineStr">
        <is>
          <t>Early warning</t>
        </is>
      </c>
      <c r="H5" s="15" t="inlineStr">
        <is>
          <t>"The model can identify a customer who is likely to leave, but if the bank does nothing with that information, the prediction has no commercial value." [P03 seed paraphrase - SYNTHETIC] [SYNTHETIC]</t>
        </is>
      </c>
      <c r="I5" s="15" t="inlineStr">
        <is>
          <t>Risk scoring M=3.38</t>
        </is>
      </c>
      <c r="J5" s="15" t="inlineStr">
        <is>
          <t>Converges</t>
        </is>
      </c>
      <c r="K5" s="15" t="inlineStr">
        <is>
          <t>SYNTHETIC demo coding for methods illustration.</t>
        </is>
      </c>
    </row>
    <row r="6">
      <c r="A6" s="15" t="inlineStr">
        <is>
          <t>P01</t>
        </is>
      </c>
      <c r="B6" s="15" t="inlineStr">
        <is>
          <t>Digital Banking Manager</t>
        </is>
      </c>
      <c r="C6" s="61" t="inlineStr">
        <is>
          <t>2026-07-14</t>
        </is>
      </c>
      <c r="D6" s="15" t="inlineStr">
        <is>
          <t>IQ5</t>
        </is>
      </c>
      <c r="E6" s="15" t="inlineStr">
        <is>
          <t>IQ5: explainability and reason codes - service improvement noted</t>
        </is>
      </c>
      <c r="F6" s="15" t="inlineStr">
        <is>
          <t>Service improvement</t>
        </is>
      </c>
      <c r="G6" s="15" t="inlineStr">
        <is>
          <t>Service improvement</t>
        </is>
      </c>
      <c r="H6" s="15" t="inlineStr">
        <is>
          <t>"No model compensates for persistent downtime - fix service, then optimize offers." [SYNTHETIC]</t>
        </is>
      </c>
      <c r="I6" s="15" t="inlineStr">
        <is>
          <t>Direct churn-reduction M=2.94</t>
        </is>
      </c>
      <c r="J6" s="15" t="inlineStr">
        <is>
          <t>Complements</t>
        </is>
      </c>
      <c r="K6" s="15" t="inlineStr">
        <is>
          <t>SYNTHETIC demo coding for methods illustration.</t>
        </is>
      </c>
    </row>
    <row r="7">
      <c r="A7" s="15" t="inlineStr">
        <is>
          <t>P01</t>
        </is>
      </c>
      <c r="B7" s="15" t="inlineStr">
        <is>
          <t>Digital Banking Manager</t>
        </is>
      </c>
      <c r="C7" s="61" t="inlineStr">
        <is>
          <t>2026-07-22</t>
        </is>
      </c>
      <c r="D7" s="15" t="inlineStr">
        <is>
          <t>IQ6</t>
        </is>
      </c>
      <c r="E7" s="15" t="inlineStr">
        <is>
          <t>IQ6: retention targeting and prioritization - enterprise ownership noted</t>
        </is>
      </c>
      <c r="F7" s="15" t="inlineStr">
        <is>
          <t>Enterprise ownership</t>
        </is>
      </c>
      <c r="G7" s="15" t="inlineStr">
        <is>
          <t>Enterprise ownership</t>
        </is>
      </c>
      <c r="H7" s="15" t="inlineStr">
        <is>
          <t>"Retention fails when it belongs to nobody; it needs business, data, tech and CX at one table." [SYNTHETIC]</t>
        </is>
      </c>
      <c r="I7" s="15" t="inlineStr">
        <is>
          <t>Cross-functional ownership M=3.42</t>
        </is>
      </c>
      <c r="J7" s="15" t="inlineStr">
        <is>
          <t>Converges</t>
        </is>
      </c>
      <c r="K7" s="15" t="inlineStr">
        <is>
          <t>SYNTHETIC demo coding for methods illustration.</t>
        </is>
      </c>
    </row>
    <row r="8">
      <c r="A8" s="15" t="inlineStr">
        <is>
          <t>P01</t>
        </is>
      </c>
      <c r="B8" s="15" t="inlineStr">
        <is>
          <t>Digital Banking Manager</t>
        </is>
      </c>
      <c r="C8" s="61" t="inlineStr">
        <is>
          <t>2026-07-23</t>
        </is>
      </c>
      <c r="D8" s="15" t="inlineStr">
        <is>
          <t>IQ7</t>
        </is>
      </c>
      <c r="E8" s="15" t="inlineStr">
        <is>
          <t>IQ7: treatment selection and timing - trust noted</t>
        </is>
      </c>
      <c r="F8" s="15" t="inlineStr">
        <is>
          <t>Trust</t>
        </is>
      </c>
      <c r="G8" s="15" t="inlineStr">
        <is>
          <t>Trust</t>
        </is>
      </c>
      <c r="H8" s="15" t="inlineStr">
        <is>
          <t>"Once trust drops after a fraud scare, activity migrates quietly." [SYNTHETIC]</t>
        </is>
      </c>
      <c r="I8" s="15" t="inlineStr">
        <is>
          <t>Trust M=3.35</t>
        </is>
      </c>
      <c r="J8" s="15" t="inlineStr">
        <is>
          <t>Converges</t>
        </is>
      </c>
      <c r="K8" s="15" t="inlineStr">
        <is>
          <t>SYNTHETIC demo coding for methods illustration.</t>
        </is>
      </c>
    </row>
    <row r="9">
      <c r="A9" s="15" t="inlineStr">
        <is>
          <t>P01</t>
        </is>
      </c>
      <c r="B9" s="15" t="inlineStr">
        <is>
          <t>Digital Banking Manager</t>
        </is>
      </c>
      <c r="C9" s="61" t="inlineStr">
        <is>
          <t>2026-07-08</t>
        </is>
      </c>
      <c r="D9" s="15" t="inlineStr">
        <is>
          <t>IQ8</t>
        </is>
      </c>
      <c r="E9" s="15" t="inlineStr">
        <is>
          <t>IQ8: human oversight and accountability - early warning noted</t>
        </is>
      </c>
      <c r="F9" s="15" t="inlineStr">
        <is>
          <t>Early warning</t>
        </is>
      </c>
      <c r="G9" s="15" t="inlineStr">
        <is>
          <t>Early warning</t>
        </is>
      </c>
      <c r="H9" s="15" t="inlineStr">
        <is>
          <t>"The model can identify a customer who is likely to leave, but if the bank does nothing with that information, the prediction has no commercial value." [P03 seed paraphrase - SYNTHETIC] [SYNTHETIC]</t>
        </is>
      </c>
      <c r="I9" s="15" t="inlineStr">
        <is>
          <t>Risk scoring M=3.38</t>
        </is>
      </c>
      <c r="J9" s="15" t="inlineStr">
        <is>
          <t>Converges</t>
        </is>
      </c>
      <c r="K9" s="15" t="inlineStr">
        <is>
          <t>SYNTHETIC demo coding for methods illustration.</t>
        </is>
      </c>
    </row>
    <row r="10">
      <c r="A10" s="15" t="inlineStr">
        <is>
          <t>P01</t>
        </is>
      </c>
      <c r="B10" s="15" t="inlineStr">
        <is>
          <t>Digital Banking Manager</t>
        </is>
      </c>
      <c r="C10" s="61" t="inlineStr">
        <is>
          <t>2026-07-27</t>
        </is>
      </c>
      <c r="D10" s="15" t="inlineStr">
        <is>
          <t>IQ9</t>
        </is>
      </c>
      <c r="E10" s="15" t="inlineStr">
        <is>
          <t>IQ9: data integration and quality - human oversight noted</t>
        </is>
      </c>
      <c r="F10" s="15" t="inlineStr">
        <is>
          <t>Human oversight</t>
        </is>
      </c>
      <c r="G10" s="15" t="inlineStr">
        <is>
          <t>Human oversight</t>
        </is>
      </c>
      <c r="H10" s="15" t="inlineStr">
        <is>
          <t>"The data team can build the model, but they cannot be responsible for the entire retention outcome. The business has to own the outcome." [P04 seed paraphrase - SYNTHETIC] [SYNTHETIC]</t>
        </is>
      </c>
      <c r="I10" s="15" t="inlineStr">
        <is>
          <t>Human oversight M=3.18</t>
        </is>
      </c>
      <c r="J10" s="15" t="inlineStr">
        <is>
          <t>Converges</t>
        </is>
      </c>
      <c r="K10" s="15" t="inlineStr">
        <is>
          <t>SYNTHETIC demo coding for methods illustration.</t>
        </is>
      </c>
    </row>
    <row r="11">
      <c r="A11" s="15" t="inlineStr">
        <is>
          <t>P01</t>
        </is>
      </c>
      <c r="B11" s="15" t="inlineStr">
        <is>
          <t>Digital Banking Manager</t>
        </is>
      </c>
      <c r="C11" s="61" t="inlineStr">
        <is>
          <t>2026-07-14</t>
        </is>
      </c>
      <c r="D11" s="15" t="inlineStr">
        <is>
          <t>IQ10</t>
        </is>
      </c>
      <c r="E11" s="15" t="inlineStr">
        <is>
          <t>IQ10: cross-functional ownership - operational action noted</t>
        </is>
      </c>
      <c r="F11" s="15" t="inlineStr">
        <is>
          <t>Operational action</t>
        </is>
      </c>
      <c r="G11" s="15" t="inlineStr">
        <is>
          <t>Operational action</t>
        </is>
      </c>
      <c r="H11" s="15" t="inlineStr">
        <is>
          <t>"Scores sitting in a dashboard change nothing; someone must own the next action." [SYNTHETIC]</t>
        </is>
      </c>
      <c r="I11" s="15" t="inlineStr">
        <is>
          <t>AI insight integration M=2.58</t>
        </is>
      </c>
      <c r="J11" s="15" t="inlineStr">
        <is>
          <t>Complements</t>
        </is>
      </c>
      <c r="K11" s="15" t="inlineStr">
        <is>
          <t>SYNTHETIC demo coding for methods illustration.</t>
        </is>
      </c>
    </row>
    <row r="12">
      <c r="A12" s="15" t="inlineStr">
        <is>
          <t>P01</t>
        </is>
      </c>
      <c r="B12" s="15" t="inlineStr">
        <is>
          <t>Digital Banking Manager</t>
        </is>
      </c>
      <c r="C12" s="61" t="inlineStr">
        <is>
          <t>2026-07-14</t>
        </is>
      </c>
      <c r="D12" s="15" t="inlineStr">
        <is>
          <t>IQ11</t>
        </is>
      </c>
      <c r="E12" s="15" t="inlineStr">
        <is>
          <t>IQ11: governance, NDPA compliance, fairness - targeting noted</t>
        </is>
      </c>
      <c r="F12" s="15" t="inlineStr">
        <is>
          <t>Targeting</t>
        </is>
      </c>
      <c r="G12" s="15" t="inlineStr">
        <is>
          <t>Targeting</t>
        </is>
      </c>
      <c r="H12" s="15" t="inlineStr">
        <is>
          <t>"Treat everyone the same and you waste budget and annoy customers." [SYNTHETIC]</t>
        </is>
      </c>
      <c r="I12" s="15" t="inlineStr">
        <is>
          <t>Risk plus value M=3.40</t>
        </is>
      </c>
      <c r="J12" s="15" t="inlineStr">
        <is>
          <t>Converges</t>
        </is>
      </c>
      <c r="K12" s="15" t="inlineStr">
        <is>
          <t>SYNTHETIC demo coding for methods illustration.</t>
        </is>
      </c>
    </row>
    <row r="13">
      <c r="A13" s="15" t="inlineStr">
        <is>
          <t>P01</t>
        </is>
      </c>
      <c r="B13" s="15" t="inlineStr">
        <is>
          <t>Digital Banking Manager</t>
        </is>
      </c>
      <c r="C13" s="61" t="inlineStr">
        <is>
          <t>2026-07-22</t>
        </is>
      </c>
      <c r="D13" s="15" t="inlineStr">
        <is>
          <t>IQ12</t>
        </is>
      </c>
      <c r="E13" s="15" t="inlineStr">
        <is>
          <t>IQ12: what would prove value (pilot/metrics) - service improvement noted</t>
        </is>
      </c>
      <c r="F13" s="15" t="inlineStr">
        <is>
          <t>Service improvement</t>
        </is>
      </c>
      <c r="G13" s="15" t="inlineStr">
        <is>
          <t>Service improvement</t>
        </is>
      </c>
      <c r="H13" s="15" t="inlineStr">
        <is>
          <t>"Measure saved relationships, not just model AUC." [SYNTHETIC]</t>
        </is>
      </c>
      <c r="I13" s="15" t="inlineStr">
        <is>
          <t>Direct churn-reduction M=2.94</t>
        </is>
      </c>
      <c r="J13" s="15" t="inlineStr">
        <is>
          <t>Complements</t>
        </is>
      </c>
      <c r="K13" s="15" t="inlineStr">
        <is>
          <t>SYNTHETIC demo coding for methods illustration.</t>
        </is>
      </c>
    </row>
    <row r="14">
      <c r="A14" s="15" t="inlineStr">
        <is>
          <t>P02</t>
        </is>
      </c>
      <c r="B14" s="15" t="inlineStr">
        <is>
          <t>Data Scientist</t>
        </is>
      </c>
      <c r="C14" s="61" t="inlineStr">
        <is>
          <t>2026-07-10</t>
        </is>
      </c>
      <c r="D14" s="15" t="inlineStr">
        <is>
          <t>IQ1</t>
        </is>
      </c>
      <c r="E14" s="15" t="inlineStr">
        <is>
          <t>IQ1: churn drivers observed in practice - human oversight noted</t>
        </is>
      </c>
      <c r="F14" s="15" t="inlineStr">
        <is>
          <t>Human oversight</t>
        </is>
      </c>
      <c r="G14" s="15" t="inlineStr">
        <is>
          <t>Human oversight</t>
        </is>
      </c>
      <c r="H14" s="15" t="inlineStr">
        <is>
          <t>"AI proposes, a named human disposes - especially on complaints." [SYNTHETIC]</t>
        </is>
      </c>
      <c r="I14" s="15" t="inlineStr">
        <is>
          <t>Human oversight M=3.18</t>
        </is>
      </c>
      <c r="J14" s="15" t="inlineStr">
        <is>
          <t>Converges</t>
        </is>
      </c>
      <c r="K14" s="15" t="inlineStr">
        <is>
          <t>SYNTHETIC demo coding for methods illustration.</t>
        </is>
      </c>
    </row>
    <row r="15">
      <c r="A15" s="15" t="inlineStr">
        <is>
          <t>P02</t>
        </is>
      </c>
      <c r="B15" s="15" t="inlineStr">
        <is>
          <t>Data Scientist</t>
        </is>
      </c>
      <c r="C15" s="61" t="inlineStr">
        <is>
          <t>2026-07-06</t>
        </is>
      </c>
      <c r="D15" s="15" t="inlineStr">
        <is>
          <t>IQ2</t>
        </is>
      </c>
      <c r="E15" s="15" t="inlineStr">
        <is>
          <t>IQ2: silent churn / multi-banking signs - service improvement noted</t>
        </is>
      </c>
      <c r="F15" s="15" t="inlineStr">
        <is>
          <t>Service improvement</t>
        </is>
      </c>
      <c r="G15" s="15" t="inlineStr">
        <is>
          <t>Service improvement</t>
        </is>
      </c>
      <c r="H15" s="15" t="inlineStr">
        <is>
          <t>"No model compensates for persistent downtime - fix service, then optimize offers." [SYNTHETIC]</t>
        </is>
      </c>
      <c r="I15" s="15" t="inlineStr">
        <is>
          <t>Direct churn-reduction M=2.94</t>
        </is>
      </c>
      <c r="J15" s="15" t="inlineStr">
        <is>
          <t>Complements</t>
        </is>
      </c>
      <c r="K15" s="15" t="inlineStr">
        <is>
          <t>SYNTHETIC demo coding for methods illustration.</t>
        </is>
      </c>
    </row>
    <row r="16">
      <c r="A16" s="15" t="inlineStr">
        <is>
          <t>P02</t>
        </is>
      </c>
      <c r="B16" s="15" t="inlineStr">
        <is>
          <t>Data Scientist</t>
        </is>
      </c>
      <c r="C16" s="61" t="inlineStr">
        <is>
          <t>2026-07-24</t>
        </is>
      </c>
      <c r="D16" s="15" t="inlineStr">
        <is>
          <t>IQ3</t>
        </is>
      </c>
      <c r="E16" s="15" t="inlineStr">
        <is>
          <t>IQ3: AI use for behavioural monitoring - enterprise ownership noted</t>
        </is>
      </c>
      <c r="F16" s="15" t="inlineStr">
        <is>
          <t>Enterprise ownership</t>
        </is>
      </c>
      <c r="G16" s="15" t="inlineStr">
        <is>
          <t>Enterprise ownership</t>
        </is>
      </c>
      <c r="H16" s="15" t="inlineStr">
        <is>
          <t>"Retention fails when it belongs to nobody; it needs business, data, tech and CX at one table." [SYNTHETIC]</t>
        </is>
      </c>
      <c r="I16" s="15" t="inlineStr">
        <is>
          <t>Cross-functional ownership M=3.42</t>
        </is>
      </c>
      <c r="J16" s="15" t="inlineStr">
        <is>
          <t>Converges</t>
        </is>
      </c>
      <c r="K16" s="15" t="inlineStr">
        <is>
          <t>SYNTHETIC demo coding for methods illustration.</t>
        </is>
      </c>
    </row>
    <row r="17">
      <c r="A17" s="15" t="inlineStr">
        <is>
          <t>P02</t>
        </is>
      </c>
      <c r="B17" s="15" t="inlineStr">
        <is>
          <t>Data Scientist</t>
        </is>
      </c>
      <c r="C17" s="61" t="inlineStr">
        <is>
          <t>2026-07-02</t>
        </is>
      </c>
      <c r="D17" s="15" t="inlineStr">
        <is>
          <t>IQ4</t>
        </is>
      </c>
      <c r="E17" s="15" t="inlineStr">
        <is>
          <t>IQ4: risk scoring and early warning - targeting noted</t>
        </is>
      </c>
      <c r="F17" s="15" t="inlineStr">
        <is>
          <t>Targeting</t>
        </is>
      </c>
      <c r="G17" s="15" t="inlineStr">
        <is>
          <t>Targeting</t>
        </is>
      </c>
      <c r="H17" s="15" t="inlineStr">
        <is>
          <t>"Risk times value tells me who gets the scarce retention slot." [SYNTHETIC]</t>
        </is>
      </c>
      <c r="I17" s="15" t="inlineStr">
        <is>
          <t>Risk plus value M=3.40</t>
        </is>
      </c>
      <c r="J17" s="15" t="inlineStr">
        <is>
          <t>Converges</t>
        </is>
      </c>
      <c r="K17" s="15" t="inlineStr">
        <is>
          <t>SYNTHETIC demo coding for methods illustration.</t>
        </is>
      </c>
    </row>
    <row r="18">
      <c r="A18" s="15" t="inlineStr">
        <is>
          <t>P02</t>
        </is>
      </c>
      <c r="B18" s="15" t="inlineStr">
        <is>
          <t>Data Scientist</t>
        </is>
      </c>
      <c r="C18" s="61" t="inlineStr">
        <is>
          <t>2026-07-04</t>
        </is>
      </c>
      <c r="D18" s="15" t="inlineStr">
        <is>
          <t>IQ5</t>
        </is>
      </c>
      <c r="E18" s="15" t="inlineStr">
        <is>
          <t>IQ5: explainability and reason codes - operational action noted</t>
        </is>
      </c>
      <c r="F18" s="15" t="inlineStr">
        <is>
          <t>Operational action</t>
        </is>
      </c>
      <c r="G18" s="15" t="inlineStr">
        <is>
          <t>Operational action</t>
        </is>
      </c>
      <c r="H18" s="15" t="inlineStr">
        <is>
          <t>"Scores sitting in a dashboard change nothing; someone must own the next action." [SYNTHETIC]</t>
        </is>
      </c>
      <c r="I18" s="15" t="inlineStr">
        <is>
          <t>AI insight integration M=2.58</t>
        </is>
      </c>
      <c r="J18" s="15" t="inlineStr">
        <is>
          <t>Complements</t>
        </is>
      </c>
      <c r="K18" s="15" t="inlineStr">
        <is>
          <t>SYNTHETIC demo coding for methods illustration.</t>
        </is>
      </c>
    </row>
    <row r="19">
      <c r="A19" s="15" t="inlineStr">
        <is>
          <t>P02</t>
        </is>
      </c>
      <c r="B19" s="15" t="inlineStr">
        <is>
          <t>Data Scientist</t>
        </is>
      </c>
      <c r="C19" s="61" t="inlineStr">
        <is>
          <t>2026-07-13</t>
        </is>
      </c>
      <c r="D19" s="15" t="inlineStr">
        <is>
          <t>IQ6</t>
        </is>
      </c>
      <c r="E19" s="15" t="inlineStr">
        <is>
          <t>IQ6: retention targeting and prioritization - explainability noted</t>
        </is>
      </c>
      <c r="F19" s="15" t="inlineStr">
        <is>
          <t>Explainability</t>
        </is>
      </c>
      <c r="G19" s="15" t="inlineStr">
        <is>
          <t>Explainability</t>
        </is>
      </c>
      <c r="H19" s="15" t="inlineStr">
        <is>
          <t>"Reason codes decide whether I call, visit, or fix a fee." [SYNTHETIC]</t>
        </is>
      </c>
      <c r="I19" s="15" t="inlineStr">
        <is>
          <t>Explainable AI M=3.14</t>
        </is>
      </c>
      <c r="J19" s="15" t="inlineStr">
        <is>
          <t>Complements</t>
        </is>
      </c>
      <c r="K19" s="15" t="inlineStr">
        <is>
          <t>SYNTHETIC demo coding for methods illustration.</t>
        </is>
      </c>
    </row>
    <row r="20">
      <c r="A20" s="15" t="inlineStr">
        <is>
          <t>P02</t>
        </is>
      </c>
      <c r="B20" s="15" t="inlineStr">
        <is>
          <t>Data Scientist</t>
        </is>
      </c>
      <c r="C20" s="61" t="inlineStr">
        <is>
          <t>2026-07-23</t>
        </is>
      </c>
      <c r="D20" s="15" t="inlineStr">
        <is>
          <t>IQ7</t>
        </is>
      </c>
      <c r="E20" s="15" t="inlineStr">
        <is>
          <t>IQ7: treatment selection and timing - data integration noted</t>
        </is>
      </c>
      <c r="F20" s="15" t="inlineStr">
        <is>
          <t>Data integration</t>
        </is>
      </c>
      <c r="G20" s="15" t="inlineStr">
        <is>
          <t>Data integration</t>
        </is>
      </c>
      <c r="H20" s="15" t="inlineStr">
        <is>
          <t>"USSD versus app behaviour must be read differently." [SYNTHETIC]</t>
        </is>
      </c>
      <c r="I20" s="15" t="inlineStr">
        <is>
          <t>Data integration M=2.70</t>
        </is>
      </c>
      <c r="J20" s="15" t="inlineStr">
        <is>
          <t>Complements</t>
        </is>
      </c>
      <c r="K20" s="15" t="inlineStr">
        <is>
          <t>SYNTHETIC demo coding for methods illustration.</t>
        </is>
      </c>
    </row>
    <row r="21">
      <c r="A21" s="15" t="inlineStr">
        <is>
          <t>P02</t>
        </is>
      </c>
      <c r="B21" s="15" t="inlineStr">
        <is>
          <t>Data Scientist</t>
        </is>
      </c>
      <c r="C21" s="61" t="inlineStr">
        <is>
          <t>2026-07-14</t>
        </is>
      </c>
      <c r="D21" s="15" t="inlineStr">
        <is>
          <t>IQ8</t>
        </is>
      </c>
      <c r="E21" s="15" t="inlineStr">
        <is>
          <t>IQ8: human oversight and accountability - targeting noted</t>
        </is>
      </c>
      <c r="F21" s="15" t="inlineStr">
        <is>
          <t>Targeting</t>
        </is>
      </c>
      <c r="G21" s="15" t="inlineStr">
        <is>
          <t>Targeting</t>
        </is>
      </c>
      <c r="H21" s="15" t="inlineStr">
        <is>
          <t>"Risk times value tells me who gets the scarce retention slot." [SYNTHETIC]</t>
        </is>
      </c>
      <c r="I21" s="15" t="inlineStr">
        <is>
          <t>Risk plus value M=3.40</t>
        </is>
      </c>
      <c r="J21" s="15" t="inlineStr">
        <is>
          <t>Converges</t>
        </is>
      </c>
      <c r="K21" s="15" t="inlineStr">
        <is>
          <t>SYNTHETIC demo coding for methods illustration.</t>
        </is>
      </c>
    </row>
    <row r="22">
      <c r="A22" s="15" t="inlineStr">
        <is>
          <t>P02</t>
        </is>
      </c>
      <c r="B22" s="15" t="inlineStr">
        <is>
          <t>Data Scientist</t>
        </is>
      </c>
      <c r="C22" s="61" t="inlineStr">
        <is>
          <t>2026-07-11</t>
        </is>
      </c>
      <c r="D22" s="15" t="inlineStr">
        <is>
          <t>IQ9</t>
        </is>
      </c>
      <c r="E22" s="15" t="inlineStr">
        <is>
          <t>IQ9: data integration and quality - behavioural signals noted</t>
        </is>
      </c>
      <c r="F22" s="15" t="inlineStr">
        <is>
          <t>Behavioural signals</t>
        </is>
      </c>
      <c r="G22" s="15" t="inlineStr">
        <is>
          <t>Behavioural signals</t>
        </is>
      </c>
      <c r="H22" s="15" t="inlineStr">
        <is>
          <t>"Declining logins and shrinking ticket size show up weeks before exit." [SYNTHETIC]</t>
        </is>
      </c>
      <c r="I22" s="15" t="inlineStr">
        <is>
          <t>Silent-churn detection M=3.18</t>
        </is>
      </c>
      <c r="J22" s="15" t="inlineStr">
        <is>
          <t>Converges</t>
        </is>
      </c>
      <c r="K22" s="15" t="inlineStr">
        <is>
          <t>SYNTHETIC demo coding for methods illustration.</t>
        </is>
      </c>
    </row>
    <row r="23">
      <c r="A23" s="15" t="inlineStr">
        <is>
          <t>P02</t>
        </is>
      </c>
      <c r="B23" s="15" t="inlineStr">
        <is>
          <t>Data Scientist</t>
        </is>
      </c>
      <c r="C23" s="61" t="inlineStr">
        <is>
          <t>2026-07-01</t>
        </is>
      </c>
      <c r="D23" s="15" t="inlineStr">
        <is>
          <t>IQ10</t>
        </is>
      </c>
      <c r="E23" s="15" t="inlineStr">
        <is>
          <t>IQ10: cross-functional ownership - behavioural signals noted</t>
        </is>
      </c>
      <c r="F23" s="15" t="inlineStr">
        <is>
          <t>Behavioural signals</t>
        </is>
      </c>
      <c r="G23" s="15" t="inlineStr">
        <is>
          <t>Behavioural signals</t>
        </is>
      </c>
      <c r="H23" s="15" t="inlineStr">
        <is>
          <t>"Silent churn is the real problem; the account stays open but value leaves." [SYNTHETIC]</t>
        </is>
      </c>
      <c r="I23" s="15" t="inlineStr">
        <is>
          <t>Silent-churn detection M=3.18</t>
        </is>
      </c>
      <c r="J23" s="15" t="inlineStr">
        <is>
          <t>Converges</t>
        </is>
      </c>
      <c r="K23" s="15" t="inlineStr">
        <is>
          <t>SYNTHETIC demo coding for methods illustration.</t>
        </is>
      </c>
    </row>
    <row r="24">
      <c r="A24" s="15" t="inlineStr">
        <is>
          <t>P02</t>
        </is>
      </c>
      <c r="B24" s="15" t="inlineStr">
        <is>
          <t>Data Scientist</t>
        </is>
      </c>
      <c r="C24" s="61" t="inlineStr">
        <is>
          <t>2026-07-27</t>
        </is>
      </c>
      <c r="D24" s="15" t="inlineStr">
        <is>
          <t>IQ11</t>
        </is>
      </c>
      <c r="E24" s="15" t="inlineStr">
        <is>
          <t>IQ11: governance, NDPA compliance, fairness - trust noted</t>
        </is>
      </c>
      <c r="F24" s="15" t="inlineStr">
        <is>
          <t>Trust</t>
        </is>
      </c>
      <c r="G24" s="15" t="inlineStr">
        <is>
          <t>Trust</t>
        </is>
      </c>
      <c r="H24" s="15" t="inlineStr">
        <is>
          <t>"Once trust drops after a fraud scare, activity migrates quietly." [SYNTHETIC]</t>
        </is>
      </c>
      <c r="I24" s="15" t="inlineStr">
        <is>
          <t>Trust M=3.35</t>
        </is>
      </c>
      <c r="J24" s="15" t="inlineStr">
        <is>
          <t>Converges</t>
        </is>
      </c>
      <c r="K24" s="15" t="inlineStr">
        <is>
          <t>SYNTHETIC demo coding for methods illustration.</t>
        </is>
      </c>
    </row>
    <row r="25">
      <c r="A25" s="15" t="inlineStr">
        <is>
          <t>P02</t>
        </is>
      </c>
      <c r="B25" s="15" t="inlineStr">
        <is>
          <t>Data Scientist</t>
        </is>
      </c>
      <c r="C25" s="61" t="inlineStr">
        <is>
          <t>2026-07-06</t>
        </is>
      </c>
      <c r="D25" s="15" t="inlineStr">
        <is>
          <t>IQ12</t>
        </is>
      </c>
      <c r="E25" s="15" t="inlineStr">
        <is>
          <t>IQ12: what would prove value (pilot/metrics) - human oversight noted</t>
        </is>
      </c>
      <c r="F25" s="15" t="inlineStr">
        <is>
          <t>Human oversight</t>
        </is>
      </c>
      <c r="G25" s="15" t="inlineStr">
        <is>
          <t>Human oversight</t>
        </is>
      </c>
      <c r="H25" s="15" t="inlineStr">
        <is>
          <t>"AI proposes, a named human disposes - especially on complaints." [SYNTHETIC]</t>
        </is>
      </c>
      <c r="I25" s="15" t="inlineStr">
        <is>
          <t>Human oversight M=3.18</t>
        </is>
      </c>
      <c r="J25" s="15" t="inlineStr">
        <is>
          <t>Converges</t>
        </is>
      </c>
      <c r="K25" s="15" t="inlineStr">
        <is>
          <t>SYNTHETIC demo coding for methods illustration.</t>
        </is>
      </c>
    </row>
    <row r="26">
      <c r="A26" s="15" t="inlineStr">
        <is>
          <t>P03</t>
        </is>
      </c>
      <c r="B26" s="15" t="inlineStr">
        <is>
          <t>Digital Product Manager</t>
        </is>
      </c>
      <c r="C26" s="61" t="inlineStr">
        <is>
          <t>2026-07-14</t>
        </is>
      </c>
      <c r="D26" s="15" t="inlineStr">
        <is>
          <t>IQ1</t>
        </is>
      </c>
      <c r="E26" s="15" t="inlineStr">
        <is>
          <t>IQ1: churn drivers observed in practice - human oversight noted</t>
        </is>
      </c>
      <c r="F26" s="15" t="inlineStr">
        <is>
          <t>Human oversight</t>
        </is>
      </c>
      <c r="G26" s="15" t="inlineStr">
        <is>
          <t>Human oversight</t>
        </is>
      </c>
      <c r="H26" s="15" t="inlineStr">
        <is>
          <t>"The data team can build the model, but they cannot be responsible for the entire retention outcome. The business has to own the outcome." [P04 seed paraphrase - SYNTHETIC] [SYNTHETIC]</t>
        </is>
      </c>
      <c r="I26" s="15" t="inlineStr">
        <is>
          <t>Human oversight M=3.18</t>
        </is>
      </c>
      <c r="J26" s="15" t="inlineStr">
        <is>
          <t>Converges</t>
        </is>
      </c>
      <c r="K26" s="15" t="inlineStr">
        <is>
          <t>SYNTHETIC demo coding for methods illustration.</t>
        </is>
      </c>
    </row>
    <row r="27">
      <c r="A27" s="15" t="inlineStr">
        <is>
          <t>P03</t>
        </is>
      </c>
      <c r="B27" s="15" t="inlineStr">
        <is>
          <t>Digital Product Manager</t>
        </is>
      </c>
      <c r="C27" s="61" t="inlineStr">
        <is>
          <t>2026-07-23</t>
        </is>
      </c>
      <c r="D27" s="15" t="inlineStr">
        <is>
          <t>IQ2</t>
        </is>
      </c>
      <c r="E27" s="15" t="inlineStr">
        <is>
          <t>IQ2: silent churn / multi-banking signs - service quality noted</t>
        </is>
      </c>
      <c r="F27" s="15" t="inlineStr">
        <is>
          <t>Service quality</t>
        </is>
      </c>
      <c r="G27" s="15" t="inlineStr">
        <is>
          <t>Service quality</t>
        </is>
      </c>
      <c r="H27" s="15" t="inlineStr">
        <is>
          <t>"Our churn cases almost always have an unresolved ticket behind them." [SYNTHETIC]</t>
        </is>
      </c>
      <c r="I27" s="15" t="inlineStr">
        <is>
          <t>Complaint resolution M=3.41</t>
        </is>
      </c>
      <c r="J27" s="15" t="inlineStr">
        <is>
          <t>Converges</t>
        </is>
      </c>
      <c r="K27" s="15" t="inlineStr">
        <is>
          <t>SYNTHETIC demo coding for methods illustration.</t>
        </is>
      </c>
    </row>
    <row r="28">
      <c r="A28" s="15" t="inlineStr">
        <is>
          <t>P03</t>
        </is>
      </c>
      <c r="B28" s="15" t="inlineStr">
        <is>
          <t>Digital Product Manager</t>
        </is>
      </c>
      <c r="C28" s="61" t="inlineStr">
        <is>
          <t>2026-07-15</t>
        </is>
      </c>
      <c r="D28" s="15" t="inlineStr">
        <is>
          <t>IQ3</t>
        </is>
      </c>
      <c r="E28" s="15" t="inlineStr">
        <is>
          <t>IQ3: AI use for behavioural monitoring - human oversight noted</t>
        </is>
      </c>
      <c r="F28" s="15" t="inlineStr">
        <is>
          <t>Human oversight</t>
        </is>
      </c>
      <c r="G28" s="15" t="inlineStr">
        <is>
          <t>Human oversight</t>
        </is>
      </c>
      <c r="H28" s="15" t="inlineStr">
        <is>
          <t>"The data team can build the model, but they cannot be responsible for the entire retention outcome. The business has to own the outcome." [P04 seed paraphrase - SYNTHETIC] [SYNTHETIC]</t>
        </is>
      </c>
      <c r="I28" s="15" t="inlineStr">
        <is>
          <t>Human oversight M=3.18</t>
        </is>
      </c>
      <c r="J28" s="15" t="inlineStr">
        <is>
          <t>Converges</t>
        </is>
      </c>
      <c r="K28" s="15" t="inlineStr">
        <is>
          <t>SYNTHETIC demo coding for methods illustration.</t>
        </is>
      </c>
    </row>
    <row r="29">
      <c r="A29" s="15" t="inlineStr">
        <is>
          <t>P03</t>
        </is>
      </c>
      <c r="B29" s="15" t="inlineStr">
        <is>
          <t>Digital Product Manager</t>
        </is>
      </c>
      <c r="C29" s="61" t="inlineStr">
        <is>
          <t>2026-07-27</t>
        </is>
      </c>
      <c r="D29" s="15" t="inlineStr">
        <is>
          <t>IQ4</t>
        </is>
      </c>
      <c r="E29" s="15" t="inlineStr">
        <is>
          <t>IQ4: risk scoring and early warning - early warning noted</t>
        </is>
      </c>
      <c r="F29" s="15" t="inlineStr">
        <is>
          <t>Early warning</t>
        </is>
      </c>
      <c r="G29" s="15" t="inlineStr">
        <is>
          <t>Early warning</t>
        </is>
      </c>
      <c r="H29" s="15" t="inlineStr">
        <is>
          <t>"The model can identify a customer who is likely to leave, but if the bank does nothing with that information, the prediction has no commercial value." [P03 seed paraphrase - SYNTHETIC] [SYNTHETIC]</t>
        </is>
      </c>
      <c r="I29" s="15" t="inlineStr">
        <is>
          <t>Risk scoring M=3.38</t>
        </is>
      </c>
      <c r="J29" s="15" t="inlineStr">
        <is>
          <t>Converges</t>
        </is>
      </c>
      <c r="K29" s="15" t="inlineStr">
        <is>
          <t>SYNTHETIC demo coding for methods illustration.</t>
        </is>
      </c>
    </row>
    <row r="30">
      <c r="A30" s="15" t="inlineStr">
        <is>
          <t>P03</t>
        </is>
      </c>
      <c r="B30" s="15" t="inlineStr">
        <is>
          <t>Digital Product Manager</t>
        </is>
      </c>
      <c r="C30" s="61" t="inlineStr">
        <is>
          <t>2026-07-14</t>
        </is>
      </c>
      <c r="D30" s="15" t="inlineStr">
        <is>
          <t>IQ5</t>
        </is>
      </c>
      <c r="E30" s="15" t="inlineStr">
        <is>
          <t>IQ5: explainability and reason codes - enterprise ownership noted</t>
        </is>
      </c>
      <c r="F30" s="15" t="inlineStr">
        <is>
          <t>Enterprise ownership</t>
        </is>
      </c>
      <c r="G30" s="15" t="inlineStr">
        <is>
          <t>Enterprise ownership</t>
        </is>
      </c>
      <c r="H30" s="15" t="inlineStr">
        <is>
          <t>"Retention fails when it belongs to nobody; it needs business, data, tech and CX at one table." [SYNTHETIC]</t>
        </is>
      </c>
      <c r="I30" s="15" t="inlineStr">
        <is>
          <t>Cross-functional ownership M=3.42</t>
        </is>
      </c>
      <c r="J30" s="15" t="inlineStr">
        <is>
          <t>Converges</t>
        </is>
      </c>
      <c r="K30" s="15" t="inlineStr">
        <is>
          <t>SYNTHETIC demo coding for methods illustration.</t>
        </is>
      </c>
    </row>
    <row r="31">
      <c r="A31" s="15" t="inlineStr">
        <is>
          <t>P03</t>
        </is>
      </c>
      <c r="B31" s="15" t="inlineStr">
        <is>
          <t>Digital Product Manager</t>
        </is>
      </c>
      <c r="C31" s="61" t="inlineStr">
        <is>
          <t>2026-07-20</t>
        </is>
      </c>
      <c r="D31" s="15" t="inlineStr">
        <is>
          <t>IQ6</t>
        </is>
      </c>
      <c r="E31" s="15" t="inlineStr">
        <is>
          <t>IQ6: retention targeting and prioritization - service improvement noted</t>
        </is>
      </c>
      <c r="F31" s="15" t="inlineStr">
        <is>
          <t>Service improvement</t>
        </is>
      </c>
      <c r="G31" s="15" t="inlineStr">
        <is>
          <t>Service improvement</t>
        </is>
      </c>
      <c r="H31" s="15" t="inlineStr">
        <is>
          <t>"Measure saved relationships, not just model AUC." [SYNTHETIC]</t>
        </is>
      </c>
      <c r="I31" s="15" t="inlineStr">
        <is>
          <t>Direct churn-reduction M=2.94</t>
        </is>
      </c>
      <c r="J31" s="15" t="inlineStr">
        <is>
          <t>Complements</t>
        </is>
      </c>
      <c r="K31" s="15" t="inlineStr">
        <is>
          <t>SYNTHETIC demo coding for methods illustration.</t>
        </is>
      </c>
    </row>
    <row r="32">
      <c r="A32" s="15" t="inlineStr">
        <is>
          <t>P03</t>
        </is>
      </c>
      <c r="B32" s="15" t="inlineStr">
        <is>
          <t>Digital Product Manager</t>
        </is>
      </c>
      <c r="C32" s="61" t="inlineStr">
        <is>
          <t>2026-07-21</t>
        </is>
      </c>
      <c r="D32" s="15" t="inlineStr">
        <is>
          <t>IQ7</t>
        </is>
      </c>
      <c r="E32" s="15" t="inlineStr">
        <is>
          <t>IQ7: treatment selection and timing - human oversight noted</t>
        </is>
      </c>
      <c r="F32" s="15" t="inlineStr">
        <is>
          <t>Human oversight</t>
        </is>
      </c>
      <c r="G32" s="15" t="inlineStr">
        <is>
          <t>Human oversight</t>
        </is>
      </c>
      <c r="H32" s="15" t="inlineStr">
        <is>
          <t>"The data team can build the model, but they cannot be responsible for the entire retention outcome. The business has to own the outcome." [P04 seed paraphrase - SYNTHETIC] [SYNTHETIC]</t>
        </is>
      </c>
      <c r="I32" s="15" t="inlineStr">
        <is>
          <t>Human oversight M=3.18</t>
        </is>
      </c>
      <c r="J32" s="15" t="inlineStr">
        <is>
          <t>Converges</t>
        </is>
      </c>
      <c r="K32" s="15" t="inlineStr">
        <is>
          <t>SYNTHETIC demo coding for methods illustration.</t>
        </is>
      </c>
    </row>
    <row r="33">
      <c r="A33" s="15" t="inlineStr">
        <is>
          <t>P03</t>
        </is>
      </c>
      <c r="B33" s="15" t="inlineStr">
        <is>
          <t>Digital Product Manager</t>
        </is>
      </c>
      <c r="C33" s="61" t="inlineStr">
        <is>
          <t>2026-07-07</t>
        </is>
      </c>
      <c r="D33" s="15" t="inlineStr">
        <is>
          <t>IQ8</t>
        </is>
      </c>
      <c r="E33" s="15" t="inlineStr">
        <is>
          <t>IQ8: human oversight and accountability - explainability noted</t>
        </is>
      </c>
      <c r="F33" s="15" t="inlineStr">
        <is>
          <t>Explainability</t>
        </is>
      </c>
      <c r="G33" s="15" t="inlineStr">
        <is>
          <t>Explainability</t>
        </is>
      </c>
      <c r="H33" s="15" t="inlineStr">
        <is>
          <t>"Give me two or three reasons I can act on, not a black-box number." [SYNTHETIC]</t>
        </is>
      </c>
      <c r="I33" s="15" t="inlineStr">
        <is>
          <t>Explainable AI M=3.14</t>
        </is>
      </c>
      <c r="J33" s="15" t="inlineStr">
        <is>
          <t>Complements</t>
        </is>
      </c>
      <c r="K33" s="15" t="inlineStr">
        <is>
          <t>SYNTHETIC demo coding for methods illustration.</t>
        </is>
      </c>
    </row>
    <row r="34">
      <c r="A34" s="15" t="inlineStr">
        <is>
          <t>P03</t>
        </is>
      </c>
      <c r="B34" s="15" t="inlineStr">
        <is>
          <t>Digital Product Manager</t>
        </is>
      </c>
      <c r="C34" s="61" t="inlineStr">
        <is>
          <t>2026-07-14</t>
        </is>
      </c>
      <c r="D34" s="15" t="inlineStr">
        <is>
          <t>IQ9</t>
        </is>
      </c>
      <c r="E34" s="15" t="inlineStr">
        <is>
          <t>IQ9: data integration and quality - explainability noted</t>
        </is>
      </c>
      <c r="F34" s="15" t="inlineStr">
        <is>
          <t>Explainability</t>
        </is>
      </c>
      <c r="G34" s="15" t="inlineStr">
        <is>
          <t>Explainability</t>
        </is>
      </c>
      <c r="H34" s="15" t="inlineStr">
        <is>
          <t>"Reason codes decide whether I call, visit, or fix a fee." [SYNTHETIC]</t>
        </is>
      </c>
      <c r="I34" s="15" t="inlineStr">
        <is>
          <t>Explainable AI M=3.14</t>
        </is>
      </c>
      <c r="J34" s="15" t="inlineStr">
        <is>
          <t>Complements</t>
        </is>
      </c>
      <c r="K34" s="15" t="inlineStr">
        <is>
          <t>SYNTHETIC demo coding for methods illustration.</t>
        </is>
      </c>
    </row>
    <row r="35">
      <c r="A35" s="15" t="inlineStr">
        <is>
          <t>P03</t>
        </is>
      </c>
      <c r="B35" s="15" t="inlineStr">
        <is>
          <t>Digital Product Manager</t>
        </is>
      </c>
      <c r="C35" s="61" t="inlineStr">
        <is>
          <t>2026-07-19</t>
        </is>
      </c>
      <c r="D35" s="15" t="inlineStr">
        <is>
          <t>IQ10</t>
        </is>
      </c>
      <c r="E35" s="15" t="inlineStr">
        <is>
          <t>IQ10: cross-functional ownership - targeting noted</t>
        </is>
      </c>
      <c r="F35" s="15" t="inlineStr">
        <is>
          <t>Targeting</t>
        </is>
      </c>
      <c r="G35" s="15" t="inlineStr">
        <is>
          <t>Targeting</t>
        </is>
      </c>
      <c r="H35" s="15" t="inlineStr">
        <is>
          <t>"Treat everyone the same and you waste budget and annoy customers." [SYNTHETIC]</t>
        </is>
      </c>
      <c r="I35" s="15" t="inlineStr">
        <is>
          <t>Risk plus value M=3.40</t>
        </is>
      </c>
      <c r="J35" s="15" t="inlineStr">
        <is>
          <t>Converges</t>
        </is>
      </c>
      <c r="K35" s="15" t="inlineStr">
        <is>
          <t>SYNTHETIC demo coding for methods illustration.</t>
        </is>
      </c>
    </row>
    <row r="36">
      <c r="A36" s="15" t="inlineStr">
        <is>
          <t>P03</t>
        </is>
      </c>
      <c r="B36" s="15" t="inlineStr">
        <is>
          <t>Digital Product Manager</t>
        </is>
      </c>
      <c r="C36" s="61" t="inlineStr">
        <is>
          <t>2026-07-17</t>
        </is>
      </c>
      <c r="D36" s="15" t="inlineStr">
        <is>
          <t>IQ11</t>
        </is>
      </c>
      <c r="E36" s="15" t="inlineStr">
        <is>
          <t>IQ11: governance, NDPA compliance, fairness - early warning noted</t>
        </is>
      </c>
      <c r="F36" s="15" t="inlineStr">
        <is>
          <t>Early warning</t>
        </is>
      </c>
      <c r="G36" s="15" t="inlineStr">
        <is>
          <t>Early warning</t>
        </is>
      </c>
      <c r="H36" s="15" t="inlineStr">
        <is>
          <t>"Risk scores buy us time; without them we arrive after the customer has left." [SYNTHETIC]</t>
        </is>
      </c>
      <c r="I36" s="15" t="inlineStr">
        <is>
          <t>Risk scoring M=3.38</t>
        </is>
      </c>
      <c r="J36" s="15" t="inlineStr">
        <is>
          <t>Converges</t>
        </is>
      </c>
      <c r="K36" s="15" t="inlineStr">
        <is>
          <t>SYNTHETIC demo coding for methods illustration.</t>
        </is>
      </c>
    </row>
    <row r="37">
      <c r="A37" s="15" t="inlineStr">
        <is>
          <t>P03</t>
        </is>
      </c>
      <c r="B37" s="15" t="inlineStr">
        <is>
          <t>Digital Product Manager</t>
        </is>
      </c>
      <c r="C37" s="61" t="inlineStr">
        <is>
          <t>2026-07-18</t>
        </is>
      </c>
      <c r="D37" s="15" t="inlineStr">
        <is>
          <t>IQ12</t>
        </is>
      </c>
      <c r="E37" s="15" t="inlineStr">
        <is>
          <t>IQ12: what would prove value (pilot/metrics) - trust noted</t>
        </is>
      </c>
      <c r="F37" s="15" t="inlineStr">
        <is>
          <t>Trust</t>
        </is>
      </c>
      <c r="G37" s="15" t="inlineStr">
        <is>
          <t>Trust</t>
        </is>
      </c>
      <c r="H37" s="15" t="inlineStr">
        <is>
          <t>"Once trust drops after a fraud scare, activity migrates quietly." [SYNTHETIC]</t>
        </is>
      </c>
      <c r="I37" s="15" t="inlineStr">
        <is>
          <t>Trust M=3.35</t>
        </is>
      </c>
      <c r="J37" s="15" t="inlineStr">
        <is>
          <t>Converges</t>
        </is>
      </c>
      <c r="K37" s="15" t="inlineStr">
        <is>
          <t>SYNTHETIC demo coding for methods illustration.</t>
        </is>
      </c>
    </row>
    <row r="38">
      <c r="A38" s="15" t="inlineStr">
        <is>
          <t>P04</t>
        </is>
      </c>
      <c r="B38" s="15" t="inlineStr">
        <is>
          <t>Data/AI Specialist</t>
        </is>
      </c>
      <c r="C38" s="61" t="inlineStr">
        <is>
          <t>2026-07-09</t>
        </is>
      </c>
      <c r="D38" s="15" t="inlineStr">
        <is>
          <t>IQ1</t>
        </is>
      </c>
      <c r="E38" s="15" t="inlineStr">
        <is>
          <t>IQ1: churn drivers observed in practice - operational action noted</t>
        </is>
      </c>
      <c r="F38" s="15" t="inlineStr">
        <is>
          <t>Operational action</t>
        </is>
      </c>
      <c r="G38" s="15" t="inlineStr">
        <is>
          <t>Operational action</t>
        </is>
      </c>
      <c r="H38" s="15" t="inlineStr">
        <is>
          <t>"We need alert-to-action timing tracked like a service SLA." [SYNTHETIC]</t>
        </is>
      </c>
      <c r="I38" s="15" t="inlineStr">
        <is>
          <t>AI insight integration M=2.58</t>
        </is>
      </c>
      <c r="J38" s="15" t="inlineStr">
        <is>
          <t>Complements</t>
        </is>
      </c>
      <c r="K38" s="15" t="inlineStr">
        <is>
          <t>SYNTHETIC demo coding for methods illustration.</t>
        </is>
      </c>
    </row>
    <row r="39">
      <c r="A39" s="15" t="inlineStr">
        <is>
          <t>P04</t>
        </is>
      </c>
      <c r="B39" s="15" t="inlineStr">
        <is>
          <t>Data/AI Specialist</t>
        </is>
      </c>
      <c r="C39" s="61" t="inlineStr">
        <is>
          <t>2026-07-11</t>
        </is>
      </c>
      <c r="D39" s="15" t="inlineStr">
        <is>
          <t>IQ2</t>
        </is>
      </c>
      <c r="E39" s="15" t="inlineStr">
        <is>
          <t>IQ2: silent churn / multi-banking signs - behavioural signals noted</t>
        </is>
      </c>
      <c r="F39" s="15" t="inlineStr">
        <is>
          <t>Behavioural signals</t>
        </is>
      </c>
      <c r="G39" s="15" t="inlineStr">
        <is>
          <t>Behavioural signals</t>
        </is>
      </c>
      <c r="H39" s="15" t="inlineStr">
        <is>
          <t>"Declining logins and shrinking ticket size show up weeks before exit." [SYNTHETIC]</t>
        </is>
      </c>
      <c r="I39" s="15" t="inlineStr">
        <is>
          <t>Silent-churn detection M=3.18</t>
        </is>
      </c>
      <c r="J39" s="15" t="inlineStr">
        <is>
          <t>Converges</t>
        </is>
      </c>
      <c r="K39" s="15" t="inlineStr">
        <is>
          <t>SYNTHETIC demo coding for methods illustration.</t>
        </is>
      </c>
    </row>
    <row r="40">
      <c r="A40" s="15" t="inlineStr">
        <is>
          <t>P04</t>
        </is>
      </c>
      <c r="B40" s="15" t="inlineStr">
        <is>
          <t>Data/AI Specialist</t>
        </is>
      </c>
      <c r="C40" s="61" t="inlineStr">
        <is>
          <t>2026-07-11</t>
        </is>
      </c>
      <c r="D40" s="15" t="inlineStr">
        <is>
          <t>IQ3</t>
        </is>
      </c>
      <c r="E40" s="15" t="inlineStr">
        <is>
          <t>IQ3: AI use for behavioural monitoring - data integration noted</t>
        </is>
      </c>
      <c r="F40" s="15" t="inlineStr">
        <is>
          <t>Data integration</t>
        </is>
      </c>
      <c r="G40" s="15" t="inlineStr">
        <is>
          <t>Data integration</t>
        </is>
      </c>
      <c r="H40" s="15" t="inlineStr">
        <is>
          <t>"Our signals live in five systems; stitching them is half the project." [SYNTHETIC]</t>
        </is>
      </c>
      <c r="I40" s="15" t="inlineStr">
        <is>
          <t>Data integration M=2.70</t>
        </is>
      </c>
      <c r="J40" s="15" t="inlineStr">
        <is>
          <t>Complements</t>
        </is>
      </c>
      <c r="K40" s="15" t="inlineStr">
        <is>
          <t>SYNTHETIC demo coding for methods illustration.</t>
        </is>
      </c>
    </row>
    <row r="41">
      <c r="A41" s="15" t="inlineStr">
        <is>
          <t>P04</t>
        </is>
      </c>
      <c r="B41" s="15" t="inlineStr">
        <is>
          <t>Data/AI Specialist</t>
        </is>
      </c>
      <c r="C41" s="61" t="inlineStr">
        <is>
          <t>2026-07-11</t>
        </is>
      </c>
      <c r="D41" s="15" t="inlineStr">
        <is>
          <t>IQ4</t>
        </is>
      </c>
      <c r="E41" s="15" t="inlineStr">
        <is>
          <t>IQ4: risk scoring and early warning - targeting noted</t>
        </is>
      </c>
      <c r="F41" s="15" t="inlineStr">
        <is>
          <t>Targeting</t>
        </is>
      </c>
      <c r="G41" s="15" t="inlineStr">
        <is>
          <t>Targeting</t>
        </is>
      </c>
      <c r="H41" s="15" t="inlineStr">
        <is>
          <t>"Treat everyone the same and you waste budget and annoy customers." [SYNTHETIC]</t>
        </is>
      </c>
      <c r="I41" s="15" t="inlineStr">
        <is>
          <t>Risk plus value M=3.40</t>
        </is>
      </c>
      <c r="J41" s="15" t="inlineStr">
        <is>
          <t>Converges</t>
        </is>
      </c>
      <c r="K41" s="15" t="inlineStr">
        <is>
          <t>SYNTHETIC demo coding for methods illustration.</t>
        </is>
      </c>
    </row>
    <row r="42">
      <c r="A42" s="15" t="inlineStr">
        <is>
          <t>P04</t>
        </is>
      </c>
      <c r="B42" s="15" t="inlineStr">
        <is>
          <t>Data/AI Specialist</t>
        </is>
      </c>
      <c r="C42" s="61" t="inlineStr">
        <is>
          <t>2026-07-17</t>
        </is>
      </c>
      <c r="D42" s="15" t="inlineStr">
        <is>
          <t>IQ5</t>
        </is>
      </c>
      <c r="E42" s="15" t="inlineStr">
        <is>
          <t>IQ5: explainability and reason codes - targeting noted</t>
        </is>
      </c>
      <c r="F42" s="15" t="inlineStr">
        <is>
          <t>Targeting</t>
        </is>
      </c>
      <c r="G42" s="15" t="inlineStr">
        <is>
          <t>Targeting</t>
        </is>
      </c>
      <c r="H42" s="15" t="inlineStr">
        <is>
          <t>"Risk times value tells me who gets the scarce retention slot." [SYNTHETIC]</t>
        </is>
      </c>
      <c r="I42" s="15" t="inlineStr">
        <is>
          <t>Risk plus value M=3.40</t>
        </is>
      </c>
      <c r="J42" s="15" t="inlineStr">
        <is>
          <t>Converges</t>
        </is>
      </c>
      <c r="K42" s="15" t="inlineStr">
        <is>
          <t>SYNTHETIC demo coding for methods illustration.</t>
        </is>
      </c>
    </row>
    <row r="43">
      <c r="A43" s="15" t="inlineStr">
        <is>
          <t>P04</t>
        </is>
      </c>
      <c r="B43" s="15" t="inlineStr">
        <is>
          <t>Data/AI Specialist</t>
        </is>
      </c>
      <c r="C43" s="61" t="inlineStr">
        <is>
          <t>2026-07-15</t>
        </is>
      </c>
      <c r="D43" s="15" t="inlineStr">
        <is>
          <t>IQ6</t>
        </is>
      </c>
      <c r="E43" s="15" t="inlineStr">
        <is>
          <t>IQ6: retention targeting and prioritization - operational action noted</t>
        </is>
      </c>
      <c r="F43" s="15" t="inlineStr">
        <is>
          <t>Operational action</t>
        </is>
      </c>
      <c r="G43" s="15" t="inlineStr">
        <is>
          <t>Operational action</t>
        </is>
      </c>
      <c r="H43" s="15" t="inlineStr">
        <is>
          <t>"We need alert-to-action timing tracked like a service SLA." [SYNTHETIC]</t>
        </is>
      </c>
      <c r="I43" s="15" t="inlineStr">
        <is>
          <t>AI insight integration M=2.58</t>
        </is>
      </c>
      <c r="J43" s="15" t="inlineStr">
        <is>
          <t>Complements</t>
        </is>
      </c>
      <c r="K43" s="15" t="inlineStr">
        <is>
          <t>SYNTHETIC demo coding for methods illustration.</t>
        </is>
      </c>
    </row>
    <row r="44">
      <c r="A44" s="15" t="inlineStr">
        <is>
          <t>P04</t>
        </is>
      </c>
      <c r="B44" s="15" t="inlineStr">
        <is>
          <t>Data/AI Specialist</t>
        </is>
      </c>
      <c r="C44" s="61" t="inlineStr">
        <is>
          <t>2026-07-05</t>
        </is>
      </c>
      <c r="D44" s="15" t="inlineStr">
        <is>
          <t>IQ7</t>
        </is>
      </c>
      <c r="E44" s="15" t="inlineStr">
        <is>
          <t>IQ7: treatment selection and timing - human oversight noted</t>
        </is>
      </c>
      <c r="F44" s="15" t="inlineStr">
        <is>
          <t>Human oversight</t>
        </is>
      </c>
      <c r="G44" s="15" t="inlineStr">
        <is>
          <t>Human oversight</t>
        </is>
      </c>
      <c r="H44" s="15" t="inlineStr">
        <is>
          <t>"AI proposes, a named human disposes - especially on complaints." [SYNTHETIC]</t>
        </is>
      </c>
      <c r="I44" s="15" t="inlineStr">
        <is>
          <t>Human oversight M=3.18</t>
        </is>
      </c>
      <c r="J44" s="15" t="inlineStr">
        <is>
          <t>Converges</t>
        </is>
      </c>
      <c r="K44" s="15" t="inlineStr">
        <is>
          <t>SYNTHETIC demo coding for methods illustration.</t>
        </is>
      </c>
    </row>
    <row r="45">
      <c r="A45" s="15" t="inlineStr">
        <is>
          <t>P04</t>
        </is>
      </c>
      <c r="B45" s="15" t="inlineStr">
        <is>
          <t>Data/AI Specialist</t>
        </is>
      </c>
      <c r="C45" s="61" t="inlineStr">
        <is>
          <t>2026-07-12</t>
        </is>
      </c>
      <c r="D45" s="15" t="inlineStr">
        <is>
          <t>IQ8</t>
        </is>
      </c>
      <c r="E45" s="15" t="inlineStr">
        <is>
          <t>IQ8: human oversight and accountability - human oversight noted</t>
        </is>
      </c>
      <c r="F45" s="15" t="inlineStr">
        <is>
          <t>Human oversight</t>
        </is>
      </c>
      <c r="G45" s="15" t="inlineStr">
        <is>
          <t>Human oversight</t>
        </is>
      </c>
      <c r="H45" s="15" t="inlineStr">
        <is>
          <t>"The data team can build the model, but they cannot be responsible for the entire retention outcome. The business has to own the outcome." [P04 seed paraphrase - SYNTHETIC] [SYNTHETIC]</t>
        </is>
      </c>
      <c r="I45" s="15" t="inlineStr">
        <is>
          <t>Human oversight M=3.18</t>
        </is>
      </c>
      <c r="J45" s="15" t="inlineStr">
        <is>
          <t>Converges</t>
        </is>
      </c>
      <c r="K45" s="15" t="inlineStr">
        <is>
          <t>SYNTHETIC demo coding for methods illustration.</t>
        </is>
      </c>
    </row>
    <row r="46">
      <c r="A46" s="15" t="inlineStr">
        <is>
          <t>P04</t>
        </is>
      </c>
      <c r="B46" s="15" t="inlineStr">
        <is>
          <t>Data/AI Specialist</t>
        </is>
      </c>
      <c r="C46" s="61" t="inlineStr">
        <is>
          <t>2026-07-02</t>
        </is>
      </c>
      <c r="D46" s="15" t="inlineStr">
        <is>
          <t>IQ9</t>
        </is>
      </c>
      <c r="E46" s="15" t="inlineStr">
        <is>
          <t>IQ9: data integration and quality - early warning noted</t>
        </is>
      </c>
      <c r="F46" s="15" t="inlineStr">
        <is>
          <t>Early warning</t>
        </is>
      </c>
      <c r="G46" s="15" t="inlineStr">
        <is>
          <t>Early warning</t>
        </is>
      </c>
      <c r="H46" s="15" t="inlineStr">
        <is>
          <t>"The model can identify a customer who is likely to leave, but if the bank does nothing with that information, the prediction has no commercial value." [P03 seed paraphrase - SYNTHETIC] [SYNTHETIC]</t>
        </is>
      </c>
      <c r="I46" s="15" t="inlineStr">
        <is>
          <t>Risk scoring M=3.38</t>
        </is>
      </c>
      <c r="J46" s="15" t="inlineStr">
        <is>
          <t>Converges</t>
        </is>
      </c>
      <c r="K46" s="15" t="inlineStr">
        <is>
          <t>SYNTHETIC demo coding for methods illustration.</t>
        </is>
      </c>
    </row>
    <row r="47">
      <c r="A47" s="15" t="inlineStr">
        <is>
          <t>P04</t>
        </is>
      </c>
      <c r="B47" s="15" t="inlineStr">
        <is>
          <t>Data/AI Specialist</t>
        </is>
      </c>
      <c r="C47" s="61" t="inlineStr">
        <is>
          <t>2026-07-03</t>
        </is>
      </c>
      <c r="D47" s="15" t="inlineStr">
        <is>
          <t>IQ10</t>
        </is>
      </c>
      <c r="E47" s="15" t="inlineStr">
        <is>
          <t>IQ10: cross-functional ownership - operational action noted</t>
        </is>
      </c>
      <c r="F47" s="15" t="inlineStr">
        <is>
          <t>Operational action</t>
        </is>
      </c>
      <c r="G47" s="15" t="inlineStr">
        <is>
          <t>Operational action</t>
        </is>
      </c>
      <c r="H47" s="15" t="inlineStr">
        <is>
          <t>"We need alert-to-action timing tracked like a service SLA." [SYNTHETIC]</t>
        </is>
      </c>
      <c r="I47" s="15" t="inlineStr">
        <is>
          <t>AI insight integration M=2.58</t>
        </is>
      </c>
      <c r="J47" s="15" t="inlineStr">
        <is>
          <t>Complements</t>
        </is>
      </c>
      <c r="K47" s="15" t="inlineStr">
        <is>
          <t>SYNTHETIC demo coding for methods illustration.</t>
        </is>
      </c>
    </row>
    <row r="48">
      <c r="A48" s="15" t="inlineStr">
        <is>
          <t>P04</t>
        </is>
      </c>
      <c r="B48" s="15" t="inlineStr">
        <is>
          <t>Data/AI Specialist</t>
        </is>
      </c>
      <c r="C48" s="61" t="inlineStr">
        <is>
          <t>2026-07-26</t>
        </is>
      </c>
      <c r="D48" s="15" t="inlineStr">
        <is>
          <t>IQ11</t>
        </is>
      </c>
      <c r="E48" s="15" t="inlineStr">
        <is>
          <t>IQ11: governance, NDPA compliance, fairness - operational action noted</t>
        </is>
      </c>
      <c r="F48" s="15" t="inlineStr">
        <is>
          <t>Operational action</t>
        </is>
      </c>
      <c r="G48" s="15" t="inlineStr">
        <is>
          <t>Operational action</t>
        </is>
      </c>
      <c r="H48" s="15" t="inlineStr">
        <is>
          <t>"We need alert-to-action timing tracked like a service SLA." [SYNTHETIC]</t>
        </is>
      </c>
      <c r="I48" s="15" t="inlineStr">
        <is>
          <t>AI insight integration M=2.58</t>
        </is>
      </c>
      <c r="J48" s="15" t="inlineStr">
        <is>
          <t>Complements</t>
        </is>
      </c>
      <c r="K48" s="15" t="inlineStr">
        <is>
          <t>SYNTHETIC demo coding for methods illustration.</t>
        </is>
      </c>
    </row>
    <row r="49">
      <c r="A49" s="15" t="inlineStr">
        <is>
          <t>P04</t>
        </is>
      </c>
      <c r="B49" s="15" t="inlineStr">
        <is>
          <t>Data/AI Specialist</t>
        </is>
      </c>
      <c r="C49" s="61" t="inlineStr">
        <is>
          <t>2026-07-19</t>
        </is>
      </c>
      <c r="D49" s="15" t="inlineStr">
        <is>
          <t>IQ12</t>
        </is>
      </c>
      <c r="E49" s="15" t="inlineStr">
        <is>
          <t>IQ12: what would prove value (pilot/metrics) - behavioural signals noted</t>
        </is>
      </c>
      <c r="F49" s="15" t="inlineStr">
        <is>
          <t>Behavioural signals</t>
        </is>
      </c>
      <c r="G49" s="15" t="inlineStr">
        <is>
          <t>Behavioural signals</t>
        </is>
      </c>
      <c r="H49" s="15" t="inlineStr">
        <is>
          <t>"Declining logins and shrinking ticket size show up weeks before exit." [SYNTHETIC]</t>
        </is>
      </c>
      <c r="I49" s="15" t="inlineStr">
        <is>
          <t>Silent-churn detection M=3.18</t>
        </is>
      </c>
      <c r="J49" s="15" t="inlineStr">
        <is>
          <t>Converges</t>
        </is>
      </c>
      <c r="K49" s="15" t="inlineStr">
        <is>
          <t>SYNTHETIC demo coding for methods illustration.</t>
        </is>
      </c>
    </row>
    <row r="50">
      <c r="A50" s="15" t="inlineStr">
        <is>
          <t>P05</t>
        </is>
      </c>
      <c r="B50" s="15" t="inlineStr">
        <is>
          <t>Customer Experience Manager</t>
        </is>
      </c>
      <c r="C50" s="61" t="inlineStr">
        <is>
          <t>2026-07-14</t>
        </is>
      </c>
      <c r="D50" s="15" t="inlineStr">
        <is>
          <t>IQ1</t>
        </is>
      </c>
      <c r="E50" s="15" t="inlineStr">
        <is>
          <t>IQ1: churn drivers observed in practice - service quality noted</t>
        </is>
      </c>
      <c r="F50" s="15" t="inlineStr">
        <is>
          <t>Service quality</t>
        </is>
      </c>
      <c r="G50" s="15" t="inlineStr">
        <is>
          <t>Service quality</t>
        </is>
      </c>
      <c r="H50" s="15" t="inlineStr">
        <is>
          <t>"Repeated failures are what move customers, not one bad day. Fix the complaint loop first." [SYNTHETIC]</t>
        </is>
      </c>
      <c r="I50" s="15" t="inlineStr">
        <is>
          <t>Complaint resolution M=3.41</t>
        </is>
      </c>
      <c r="J50" s="15" t="inlineStr">
        <is>
          <t>Converges</t>
        </is>
      </c>
      <c r="K50" s="15" t="inlineStr">
        <is>
          <t>SYNTHETIC demo coding for methods illustration.</t>
        </is>
      </c>
    </row>
    <row r="51">
      <c r="A51" s="15" t="inlineStr">
        <is>
          <t>P05</t>
        </is>
      </c>
      <c r="B51" s="15" t="inlineStr">
        <is>
          <t>Customer Experience Manager</t>
        </is>
      </c>
      <c r="C51" s="61" t="inlineStr">
        <is>
          <t>2026-07-18</t>
        </is>
      </c>
      <c r="D51" s="15" t="inlineStr">
        <is>
          <t>IQ2</t>
        </is>
      </c>
      <c r="E51" s="15" t="inlineStr">
        <is>
          <t>IQ2: silent churn / multi-banking signs - enterprise ownership noted</t>
        </is>
      </c>
      <c r="F51" s="15" t="inlineStr">
        <is>
          <t>Enterprise ownership</t>
        </is>
      </c>
      <c r="G51" s="15" t="inlineStr">
        <is>
          <t>Enterprise ownership</t>
        </is>
      </c>
      <c r="H51" s="15" t="inlineStr">
        <is>
          <t>"Retention fails when it belongs to nobody; it needs business, data, tech and CX at one table." [SYNTHETIC]</t>
        </is>
      </c>
      <c r="I51" s="15" t="inlineStr">
        <is>
          <t>Cross-functional ownership M=3.42</t>
        </is>
      </c>
      <c r="J51" s="15" t="inlineStr">
        <is>
          <t>Converges</t>
        </is>
      </c>
      <c r="K51" s="15" t="inlineStr">
        <is>
          <t>SYNTHETIC demo coding for methods illustration.</t>
        </is>
      </c>
    </row>
    <row r="52">
      <c r="A52" s="15" t="inlineStr">
        <is>
          <t>P05</t>
        </is>
      </c>
      <c r="B52" s="15" t="inlineStr">
        <is>
          <t>Customer Experience Manager</t>
        </is>
      </c>
      <c r="C52" s="61" t="inlineStr">
        <is>
          <t>2026-07-23</t>
        </is>
      </c>
      <c r="D52" s="15" t="inlineStr">
        <is>
          <t>IQ3</t>
        </is>
      </c>
      <c r="E52" s="15" t="inlineStr">
        <is>
          <t>IQ3: AI use for behavioural monitoring - explainability noted</t>
        </is>
      </c>
      <c r="F52" s="15" t="inlineStr">
        <is>
          <t>Explainability</t>
        </is>
      </c>
      <c r="G52" s="15" t="inlineStr">
        <is>
          <t>Explainability</t>
        </is>
      </c>
      <c r="H52" s="15" t="inlineStr">
        <is>
          <t>"Give me two or three reasons I can act on, not a black-box number." [SYNTHETIC]</t>
        </is>
      </c>
      <c r="I52" s="15" t="inlineStr">
        <is>
          <t>Explainable AI M=3.14</t>
        </is>
      </c>
      <c r="J52" s="15" t="inlineStr">
        <is>
          <t>Complements</t>
        </is>
      </c>
      <c r="K52" s="15" t="inlineStr">
        <is>
          <t>SYNTHETIC demo coding for methods illustration.</t>
        </is>
      </c>
    </row>
    <row r="53">
      <c r="A53" s="15" t="inlineStr">
        <is>
          <t>P05</t>
        </is>
      </c>
      <c r="B53" s="15" t="inlineStr">
        <is>
          <t>Customer Experience Manager</t>
        </is>
      </c>
      <c r="C53" s="61" t="inlineStr">
        <is>
          <t>2026-07-26</t>
        </is>
      </c>
      <c r="D53" s="15" t="inlineStr">
        <is>
          <t>IQ4</t>
        </is>
      </c>
      <c r="E53" s="15" t="inlineStr">
        <is>
          <t>IQ4: risk scoring and early warning - enterprise ownership noted</t>
        </is>
      </c>
      <c r="F53" s="15" t="inlineStr">
        <is>
          <t>Enterprise ownership</t>
        </is>
      </c>
      <c r="G53" s="15" t="inlineStr">
        <is>
          <t>Enterprise ownership</t>
        </is>
      </c>
      <c r="H53" s="15" t="inlineStr">
        <is>
          <t>"Retention fails when it belongs to nobody; it needs business, data, tech and CX at one table." [SYNTHETIC]</t>
        </is>
      </c>
      <c r="I53" s="15" t="inlineStr">
        <is>
          <t>Cross-functional ownership M=3.42</t>
        </is>
      </c>
      <c r="J53" s="15" t="inlineStr">
        <is>
          <t>Converges</t>
        </is>
      </c>
      <c r="K53" s="15" t="inlineStr">
        <is>
          <t>SYNTHETIC demo coding for methods illustration.</t>
        </is>
      </c>
    </row>
    <row r="54">
      <c r="A54" s="15" t="inlineStr">
        <is>
          <t>P05</t>
        </is>
      </c>
      <c r="B54" s="15" t="inlineStr">
        <is>
          <t>Customer Experience Manager</t>
        </is>
      </c>
      <c r="C54" s="61" t="inlineStr">
        <is>
          <t>2026-07-26</t>
        </is>
      </c>
      <c r="D54" s="15" t="inlineStr">
        <is>
          <t>IQ5</t>
        </is>
      </c>
      <c r="E54" s="15" t="inlineStr">
        <is>
          <t>IQ5: explainability and reason codes - targeting noted</t>
        </is>
      </c>
      <c r="F54" s="15" t="inlineStr">
        <is>
          <t>Targeting</t>
        </is>
      </c>
      <c r="G54" s="15" t="inlineStr">
        <is>
          <t>Targeting</t>
        </is>
      </c>
      <c r="H54" s="15" t="inlineStr">
        <is>
          <t>"Treat everyone the same and you waste budget and annoy customers." [SYNTHETIC]</t>
        </is>
      </c>
      <c r="I54" s="15" t="inlineStr">
        <is>
          <t>Risk plus value M=3.40</t>
        </is>
      </c>
      <c r="J54" s="15" t="inlineStr">
        <is>
          <t>Converges</t>
        </is>
      </c>
      <c r="K54" s="15" t="inlineStr">
        <is>
          <t>SYNTHETIC demo coding for methods illustration.</t>
        </is>
      </c>
    </row>
    <row r="55">
      <c r="A55" s="15" t="inlineStr">
        <is>
          <t>P05</t>
        </is>
      </c>
      <c r="B55" s="15" t="inlineStr">
        <is>
          <t>Customer Experience Manager</t>
        </is>
      </c>
      <c r="C55" s="61" t="inlineStr">
        <is>
          <t>2026-07-04</t>
        </is>
      </c>
      <c r="D55" s="15" t="inlineStr">
        <is>
          <t>IQ6</t>
        </is>
      </c>
      <c r="E55" s="15" t="inlineStr">
        <is>
          <t>IQ6: retention targeting and prioritization - targeting noted</t>
        </is>
      </c>
      <c r="F55" s="15" t="inlineStr">
        <is>
          <t>Targeting</t>
        </is>
      </c>
      <c r="G55" s="15" t="inlineStr">
        <is>
          <t>Targeting</t>
        </is>
      </c>
      <c r="H55" s="15" t="inlineStr">
        <is>
          <t>"Risk times value tells me who gets the scarce retention slot." [SYNTHETIC]</t>
        </is>
      </c>
      <c r="I55" s="15" t="inlineStr">
        <is>
          <t>Risk plus value M=3.40</t>
        </is>
      </c>
      <c r="J55" s="15" t="inlineStr">
        <is>
          <t>Converges</t>
        </is>
      </c>
      <c r="K55" s="15" t="inlineStr">
        <is>
          <t>SYNTHETIC demo coding for methods illustration.</t>
        </is>
      </c>
    </row>
    <row r="56">
      <c r="A56" s="15" t="inlineStr">
        <is>
          <t>P05</t>
        </is>
      </c>
      <c r="B56" s="15" t="inlineStr">
        <is>
          <t>Customer Experience Manager</t>
        </is>
      </c>
      <c r="C56" s="61" t="inlineStr">
        <is>
          <t>2026-07-21</t>
        </is>
      </c>
      <c r="D56" s="15" t="inlineStr">
        <is>
          <t>IQ7</t>
        </is>
      </c>
      <c r="E56" s="15" t="inlineStr">
        <is>
          <t>IQ7: treatment selection and timing - targeting noted</t>
        </is>
      </c>
      <c r="F56" s="15" t="inlineStr">
        <is>
          <t>Targeting</t>
        </is>
      </c>
      <c r="G56" s="15" t="inlineStr">
        <is>
          <t>Targeting</t>
        </is>
      </c>
      <c r="H56" s="15" t="inlineStr">
        <is>
          <t>"Risk times value tells me who gets the scarce retention slot." [SYNTHETIC]</t>
        </is>
      </c>
      <c r="I56" s="15" t="inlineStr">
        <is>
          <t>Risk plus value M=3.40</t>
        </is>
      </c>
      <c r="J56" s="15" t="inlineStr">
        <is>
          <t>Converges</t>
        </is>
      </c>
      <c r="K56" s="15" t="inlineStr">
        <is>
          <t>SYNTHETIC demo coding for methods illustration.</t>
        </is>
      </c>
    </row>
    <row r="57">
      <c r="A57" s="15" t="inlineStr">
        <is>
          <t>P05</t>
        </is>
      </c>
      <c r="B57" s="15" t="inlineStr">
        <is>
          <t>Customer Experience Manager</t>
        </is>
      </c>
      <c r="C57" s="61" t="inlineStr">
        <is>
          <t>2026-07-15</t>
        </is>
      </c>
      <c r="D57" s="15" t="inlineStr">
        <is>
          <t>IQ8</t>
        </is>
      </c>
      <c r="E57" s="15" t="inlineStr">
        <is>
          <t>IQ8: human oversight and accountability - service improvement noted</t>
        </is>
      </c>
      <c r="F57" s="15" t="inlineStr">
        <is>
          <t>Service improvement</t>
        </is>
      </c>
      <c r="G57" s="15" t="inlineStr">
        <is>
          <t>Service improvement</t>
        </is>
      </c>
      <c r="H57" s="15" t="inlineStr">
        <is>
          <t>"No model compensates for persistent downtime - fix service, then optimize offers." [SYNTHETIC]</t>
        </is>
      </c>
      <c r="I57" s="15" t="inlineStr">
        <is>
          <t>Direct churn-reduction M=2.94</t>
        </is>
      </c>
      <c r="J57" s="15" t="inlineStr">
        <is>
          <t>Complements</t>
        </is>
      </c>
      <c r="K57" s="15" t="inlineStr">
        <is>
          <t>SYNTHETIC demo coding for methods illustration.</t>
        </is>
      </c>
    </row>
    <row r="58">
      <c r="A58" s="15" t="inlineStr">
        <is>
          <t>P05</t>
        </is>
      </c>
      <c r="B58" s="15" t="inlineStr">
        <is>
          <t>Customer Experience Manager</t>
        </is>
      </c>
      <c r="C58" s="61" t="inlineStr">
        <is>
          <t>2026-07-11</t>
        </is>
      </c>
      <c r="D58" s="15" t="inlineStr">
        <is>
          <t>IQ9</t>
        </is>
      </c>
      <c r="E58" s="15" t="inlineStr">
        <is>
          <t>IQ9: data integration and quality - service quality noted</t>
        </is>
      </c>
      <c r="F58" s="15" t="inlineStr">
        <is>
          <t>Service quality</t>
        </is>
      </c>
      <c r="G58" s="15" t="inlineStr">
        <is>
          <t>Service quality</t>
        </is>
      </c>
      <c r="H58" s="15" t="inlineStr">
        <is>
          <t>"Repeated failures are what move customers, not one bad day. Fix the complaint loop first." [SYNTHETIC]</t>
        </is>
      </c>
      <c r="I58" s="15" t="inlineStr">
        <is>
          <t>Complaint resolution M=3.41</t>
        </is>
      </c>
      <c r="J58" s="15" t="inlineStr">
        <is>
          <t>Converges</t>
        </is>
      </c>
      <c r="K58" s="15" t="inlineStr">
        <is>
          <t>SYNTHETIC demo coding for methods illustration.</t>
        </is>
      </c>
    </row>
    <row r="59">
      <c r="A59" s="15" t="inlineStr">
        <is>
          <t>P05</t>
        </is>
      </c>
      <c r="B59" s="15" t="inlineStr">
        <is>
          <t>Customer Experience Manager</t>
        </is>
      </c>
      <c r="C59" s="61" t="inlineStr">
        <is>
          <t>2026-07-18</t>
        </is>
      </c>
      <c r="D59" s="15" t="inlineStr">
        <is>
          <t>IQ10</t>
        </is>
      </c>
      <c r="E59" s="15" t="inlineStr">
        <is>
          <t>IQ10: cross-functional ownership - enterprise ownership noted</t>
        </is>
      </c>
      <c r="F59" s="15" t="inlineStr">
        <is>
          <t>Enterprise ownership</t>
        </is>
      </c>
      <c r="G59" s="15" t="inlineStr">
        <is>
          <t>Enterprise ownership</t>
        </is>
      </c>
      <c r="H59" s="15" t="inlineStr">
        <is>
          <t>"RACI and a weekly review beat another model tweak." [SYNTHETIC]</t>
        </is>
      </c>
      <c r="I59" s="15" t="inlineStr">
        <is>
          <t>Cross-functional ownership M=3.42</t>
        </is>
      </c>
      <c r="J59" s="15" t="inlineStr">
        <is>
          <t>Converges</t>
        </is>
      </c>
      <c r="K59" s="15" t="inlineStr">
        <is>
          <t>SYNTHETIC demo coding for methods illustration.</t>
        </is>
      </c>
    </row>
    <row r="60">
      <c r="A60" s="15" t="inlineStr">
        <is>
          <t>P05</t>
        </is>
      </c>
      <c r="B60" s="15" t="inlineStr">
        <is>
          <t>Customer Experience Manager</t>
        </is>
      </c>
      <c r="C60" s="61" t="inlineStr">
        <is>
          <t>2026-07-02</t>
        </is>
      </c>
      <c r="D60" s="15" t="inlineStr">
        <is>
          <t>IQ11</t>
        </is>
      </c>
      <c r="E60" s="15" t="inlineStr">
        <is>
          <t>IQ11: governance, NDPA compliance, fairness - targeting noted</t>
        </is>
      </c>
      <c r="F60" s="15" t="inlineStr">
        <is>
          <t>Targeting</t>
        </is>
      </c>
      <c r="G60" s="15" t="inlineStr">
        <is>
          <t>Targeting</t>
        </is>
      </c>
      <c r="H60" s="15" t="inlineStr">
        <is>
          <t>"Treat everyone the same and you waste budget and annoy customers." [SYNTHETIC]</t>
        </is>
      </c>
      <c r="I60" s="15" t="inlineStr">
        <is>
          <t>Risk plus value M=3.40</t>
        </is>
      </c>
      <c r="J60" s="15" t="inlineStr">
        <is>
          <t>Converges</t>
        </is>
      </c>
      <c r="K60" s="15" t="inlineStr">
        <is>
          <t>SYNTHETIC demo coding for methods illustration.</t>
        </is>
      </c>
    </row>
    <row r="61">
      <c r="A61" s="15" t="inlineStr">
        <is>
          <t>P05</t>
        </is>
      </c>
      <c r="B61" s="15" t="inlineStr">
        <is>
          <t>Customer Experience Manager</t>
        </is>
      </c>
      <c r="C61" s="61" t="inlineStr">
        <is>
          <t>2026-07-12</t>
        </is>
      </c>
      <c r="D61" s="15" t="inlineStr">
        <is>
          <t>IQ12</t>
        </is>
      </c>
      <c r="E61" s="15" t="inlineStr">
        <is>
          <t>IQ12: what would prove value (pilot/metrics) - operational action noted</t>
        </is>
      </c>
      <c r="F61" s="15" t="inlineStr">
        <is>
          <t>Operational action</t>
        </is>
      </c>
      <c r="G61" s="15" t="inlineStr">
        <is>
          <t>Operational action</t>
        </is>
      </c>
      <c r="H61" s="15" t="inlineStr">
        <is>
          <t>"We need alert-to-action timing tracked like a service SLA." [SYNTHETIC]</t>
        </is>
      </c>
      <c r="I61" s="15" t="inlineStr">
        <is>
          <t>AI insight integration M=2.58</t>
        </is>
      </c>
      <c r="J61" s="15" t="inlineStr">
        <is>
          <t>Complements</t>
        </is>
      </c>
      <c r="K61" s="15" t="inlineStr">
        <is>
          <t>SYNTHETIC demo coding for methods illustration.</t>
        </is>
      </c>
    </row>
    <row r="62">
      <c r="A62" s="15" t="inlineStr">
        <is>
          <t>P06</t>
        </is>
      </c>
      <c r="B62" s="15" t="inlineStr">
        <is>
          <t>Product Manager</t>
        </is>
      </c>
      <c r="C62" s="61" t="inlineStr">
        <is>
          <t>2026-07-20</t>
        </is>
      </c>
      <c r="D62" s="15" t="inlineStr">
        <is>
          <t>IQ1</t>
        </is>
      </c>
      <c r="E62" s="15" t="inlineStr">
        <is>
          <t>IQ1: churn drivers observed in practice - behavioural signals noted</t>
        </is>
      </c>
      <c r="F62" s="15" t="inlineStr">
        <is>
          <t>Behavioural signals</t>
        </is>
      </c>
      <c r="G62" s="15" t="inlineStr">
        <is>
          <t>Behavioural signals</t>
        </is>
      </c>
      <c r="H62" s="15" t="inlineStr">
        <is>
          <t>"Declining logins and shrinking ticket size show up weeks before exit." [SYNTHETIC]</t>
        </is>
      </c>
      <c r="I62" s="15" t="inlineStr">
        <is>
          <t>Silent-churn detection M=3.18</t>
        </is>
      </c>
      <c r="J62" s="15" t="inlineStr">
        <is>
          <t>Converges</t>
        </is>
      </c>
      <c r="K62" s="15" t="inlineStr">
        <is>
          <t>SYNTHETIC demo coding for methods illustration.</t>
        </is>
      </c>
    </row>
    <row r="63">
      <c r="A63" s="15" t="inlineStr">
        <is>
          <t>P06</t>
        </is>
      </c>
      <c r="B63" s="15" t="inlineStr">
        <is>
          <t>Product Manager</t>
        </is>
      </c>
      <c r="C63" s="61" t="inlineStr">
        <is>
          <t>2026-07-24</t>
        </is>
      </c>
      <c r="D63" s="15" t="inlineStr">
        <is>
          <t>IQ2</t>
        </is>
      </c>
      <c r="E63" s="15" t="inlineStr">
        <is>
          <t>IQ2: silent churn / multi-banking signs - service quality noted</t>
        </is>
      </c>
      <c r="F63" s="15" t="inlineStr">
        <is>
          <t>Service quality</t>
        </is>
      </c>
      <c r="G63" s="15" t="inlineStr">
        <is>
          <t>Service quality</t>
        </is>
      </c>
      <c r="H63" s="15" t="inlineStr">
        <is>
          <t>"Our churn cases almost always have an unresolved ticket behind them." [SYNTHETIC]</t>
        </is>
      </c>
      <c r="I63" s="15" t="inlineStr">
        <is>
          <t>Complaint resolution M=3.41</t>
        </is>
      </c>
      <c r="J63" s="15" t="inlineStr">
        <is>
          <t>Converges</t>
        </is>
      </c>
      <c r="K63" s="15" t="inlineStr">
        <is>
          <t>SYNTHETIC demo coding for methods illustration.</t>
        </is>
      </c>
    </row>
    <row r="64">
      <c r="A64" s="15" t="inlineStr">
        <is>
          <t>P06</t>
        </is>
      </c>
      <c r="B64" s="15" t="inlineStr">
        <is>
          <t>Product Manager</t>
        </is>
      </c>
      <c r="C64" s="61" t="inlineStr">
        <is>
          <t>2026-07-21</t>
        </is>
      </c>
      <c r="D64" s="15" t="inlineStr">
        <is>
          <t>IQ3</t>
        </is>
      </c>
      <c r="E64" s="15" t="inlineStr">
        <is>
          <t>IQ3: AI use for behavioural monitoring - targeting noted</t>
        </is>
      </c>
      <c r="F64" s="15" t="inlineStr">
        <is>
          <t>Targeting</t>
        </is>
      </c>
      <c r="G64" s="15" t="inlineStr">
        <is>
          <t>Targeting</t>
        </is>
      </c>
      <c r="H64" s="15" t="inlineStr">
        <is>
          <t>"Risk times value tells me who gets the scarce retention slot." [SYNTHETIC]</t>
        </is>
      </c>
      <c r="I64" s="15" t="inlineStr">
        <is>
          <t>Risk plus value M=3.40</t>
        </is>
      </c>
      <c r="J64" s="15" t="inlineStr">
        <is>
          <t>Converges</t>
        </is>
      </c>
      <c r="K64" s="15" t="inlineStr">
        <is>
          <t>SYNTHETIC demo coding for methods illustration.</t>
        </is>
      </c>
    </row>
    <row r="65">
      <c r="A65" s="15" t="inlineStr">
        <is>
          <t>P06</t>
        </is>
      </c>
      <c r="B65" s="15" t="inlineStr">
        <is>
          <t>Product Manager</t>
        </is>
      </c>
      <c r="C65" s="61" t="inlineStr">
        <is>
          <t>2026-07-09</t>
        </is>
      </c>
      <c r="D65" s="15" t="inlineStr">
        <is>
          <t>IQ4</t>
        </is>
      </c>
      <c r="E65" s="15" t="inlineStr">
        <is>
          <t>IQ4: risk scoring and early warning - targeting noted</t>
        </is>
      </c>
      <c r="F65" s="15" t="inlineStr">
        <is>
          <t>Targeting</t>
        </is>
      </c>
      <c r="G65" s="15" t="inlineStr">
        <is>
          <t>Targeting</t>
        </is>
      </c>
      <c r="H65" s="15" t="inlineStr">
        <is>
          <t>"Risk times value tells me who gets the scarce retention slot." [SYNTHETIC]</t>
        </is>
      </c>
      <c r="I65" s="15" t="inlineStr">
        <is>
          <t>Risk plus value M=3.40</t>
        </is>
      </c>
      <c r="J65" s="15" t="inlineStr">
        <is>
          <t>Converges</t>
        </is>
      </c>
      <c r="K65" s="15" t="inlineStr">
        <is>
          <t>SYNTHETIC demo coding for methods illustration.</t>
        </is>
      </c>
    </row>
    <row r="66">
      <c r="A66" s="15" t="inlineStr">
        <is>
          <t>P06</t>
        </is>
      </c>
      <c r="B66" s="15" t="inlineStr">
        <is>
          <t>Product Manager</t>
        </is>
      </c>
      <c r="C66" s="61" t="inlineStr">
        <is>
          <t>2026-07-02</t>
        </is>
      </c>
      <c r="D66" s="15" t="inlineStr">
        <is>
          <t>IQ5</t>
        </is>
      </c>
      <c r="E66" s="15" t="inlineStr">
        <is>
          <t>IQ5: explainability and reason codes - operational action noted</t>
        </is>
      </c>
      <c r="F66" s="15" t="inlineStr">
        <is>
          <t>Operational action</t>
        </is>
      </c>
      <c r="G66" s="15" t="inlineStr">
        <is>
          <t>Operational action</t>
        </is>
      </c>
      <c r="H66" s="15" t="inlineStr">
        <is>
          <t>"We need alert-to-action timing tracked like a service SLA." [SYNTHETIC]</t>
        </is>
      </c>
      <c r="I66" s="15" t="inlineStr">
        <is>
          <t>AI insight integration M=2.58</t>
        </is>
      </c>
      <c r="J66" s="15" t="inlineStr">
        <is>
          <t>Complements</t>
        </is>
      </c>
      <c r="K66" s="15" t="inlineStr">
        <is>
          <t>SYNTHETIC demo coding for methods illustration.</t>
        </is>
      </c>
    </row>
    <row r="67">
      <c r="A67" s="15" t="inlineStr">
        <is>
          <t>P06</t>
        </is>
      </c>
      <c r="B67" s="15" t="inlineStr">
        <is>
          <t>Product Manager</t>
        </is>
      </c>
      <c r="C67" s="61" t="inlineStr">
        <is>
          <t>2026-07-11</t>
        </is>
      </c>
      <c r="D67" s="15" t="inlineStr">
        <is>
          <t>IQ6</t>
        </is>
      </c>
      <c r="E67" s="15" t="inlineStr">
        <is>
          <t>IQ6: retention targeting and prioritization - service quality noted</t>
        </is>
      </c>
      <c r="F67" s="15" t="inlineStr">
        <is>
          <t>Service quality</t>
        </is>
      </c>
      <c r="G67" s="15" t="inlineStr">
        <is>
          <t>Service quality</t>
        </is>
      </c>
      <c r="H67" s="15" t="inlineStr">
        <is>
          <t>"Our churn cases almost always have an unresolved ticket behind them." [SYNTHETIC]</t>
        </is>
      </c>
      <c r="I67" s="15" t="inlineStr">
        <is>
          <t>Complaint resolution M=3.41</t>
        </is>
      </c>
      <c r="J67" s="15" t="inlineStr">
        <is>
          <t>Converges</t>
        </is>
      </c>
      <c r="K67" s="15" t="inlineStr">
        <is>
          <t>SYNTHETIC demo coding for methods illustration.</t>
        </is>
      </c>
    </row>
    <row r="68">
      <c r="A68" s="15" t="inlineStr">
        <is>
          <t>P06</t>
        </is>
      </c>
      <c r="B68" s="15" t="inlineStr">
        <is>
          <t>Product Manager</t>
        </is>
      </c>
      <c r="C68" s="61" t="inlineStr">
        <is>
          <t>2026-07-25</t>
        </is>
      </c>
      <c r="D68" s="15" t="inlineStr">
        <is>
          <t>IQ7</t>
        </is>
      </c>
      <c r="E68" s="15" t="inlineStr">
        <is>
          <t>IQ7: treatment selection and timing - data integration noted</t>
        </is>
      </c>
      <c r="F68" s="15" t="inlineStr">
        <is>
          <t>Data integration</t>
        </is>
      </c>
      <c r="G68" s="15" t="inlineStr">
        <is>
          <t>Data integration</t>
        </is>
      </c>
      <c r="H68" s="15" t="inlineStr">
        <is>
          <t>"Our signals live in five systems; stitching them is half the project." [SYNTHETIC]</t>
        </is>
      </c>
      <c r="I68" s="15" t="inlineStr">
        <is>
          <t>Data integration M=2.70</t>
        </is>
      </c>
      <c r="J68" s="15" t="inlineStr">
        <is>
          <t>Complements</t>
        </is>
      </c>
      <c r="K68" s="15" t="inlineStr">
        <is>
          <t>SYNTHETIC demo coding for methods illustration.</t>
        </is>
      </c>
    </row>
    <row r="69">
      <c r="A69" s="15" t="inlineStr">
        <is>
          <t>P06</t>
        </is>
      </c>
      <c r="B69" s="15" t="inlineStr">
        <is>
          <t>Product Manager</t>
        </is>
      </c>
      <c r="C69" s="61" t="inlineStr">
        <is>
          <t>2026-07-27</t>
        </is>
      </c>
      <c r="D69" s="15" t="inlineStr">
        <is>
          <t>IQ8</t>
        </is>
      </c>
      <c r="E69" s="15" t="inlineStr">
        <is>
          <t>IQ8: human oversight and accountability - trust noted</t>
        </is>
      </c>
      <c r="F69" s="15" t="inlineStr">
        <is>
          <t>Trust</t>
        </is>
      </c>
      <c r="G69" s="15" t="inlineStr">
        <is>
          <t>Trust</t>
        </is>
      </c>
      <c r="H69" s="15" t="inlineStr">
        <is>
          <t>"Once trust drops after a fraud scare, activity migrates quietly." [SYNTHETIC]</t>
        </is>
      </c>
      <c r="I69" s="15" t="inlineStr">
        <is>
          <t>Trust M=3.35</t>
        </is>
      </c>
      <c r="J69" s="15" t="inlineStr">
        <is>
          <t>Converges</t>
        </is>
      </c>
      <c r="K69" s="15" t="inlineStr">
        <is>
          <t>SYNTHETIC demo coding for methods illustration.</t>
        </is>
      </c>
    </row>
    <row r="70">
      <c r="A70" s="15" t="inlineStr">
        <is>
          <t>P06</t>
        </is>
      </c>
      <c r="B70" s="15" t="inlineStr">
        <is>
          <t>Product Manager</t>
        </is>
      </c>
      <c r="C70" s="61" t="inlineStr">
        <is>
          <t>2026-07-20</t>
        </is>
      </c>
      <c r="D70" s="15" t="inlineStr">
        <is>
          <t>IQ9</t>
        </is>
      </c>
      <c r="E70" s="15" t="inlineStr">
        <is>
          <t>IQ9: data integration and quality - trust noted</t>
        </is>
      </c>
      <c r="F70" s="15" t="inlineStr">
        <is>
          <t>Trust</t>
        </is>
      </c>
      <c r="G70" s="15" t="inlineStr">
        <is>
          <t>Trust</t>
        </is>
      </c>
      <c r="H70" s="15" t="inlineStr">
        <is>
          <t>"Customers stay where they feel money is safe and issues are owned." [SYNTHETIC]</t>
        </is>
      </c>
      <c r="I70" s="15" t="inlineStr">
        <is>
          <t>Trust M=3.35</t>
        </is>
      </c>
      <c r="J70" s="15" t="inlineStr">
        <is>
          <t>Converges</t>
        </is>
      </c>
      <c r="K70" s="15" t="inlineStr">
        <is>
          <t>SYNTHETIC demo coding for methods illustration.</t>
        </is>
      </c>
    </row>
    <row r="71">
      <c r="A71" s="15" t="inlineStr">
        <is>
          <t>P06</t>
        </is>
      </c>
      <c r="B71" s="15" t="inlineStr">
        <is>
          <t>Product Manager</t>
        </is>
      </c>
      <c r="C71" s="61" t="inlineStr">
        <is>
          <t>2026-07-15</t>
        </is>
      </c>
      <c r="D71" s="15" t="inlineStr">
        <is>
          <t>IQ10</t>
        </is>
      </c>
      <c r="E71" s="15" t="inlineStr">
        <is>
          <t>IQ10: cross-functional ownership - operational action noted</t>
        </is>
      </c>
      <c r="F71" s="15" t="inlineStr">
        <is>
          <t>Operational action</t>
        </is>
      </c>
      <c r="G71" s="15" t="inlineStr">
        <is>
          <t>Operational action</t>
        </is>
      </c>
      <c r="H71" s="15" t="inlineStr">
        <is>
          <t>"Scores sitting in a dashboard change nothing; someone must own the next action." [SYNTHETIC]</t>
        </is>
      </c>
      <c r="I71" s="15" t="inlineStr">
        <is>
          <t>AI insight integration M=2.58</t>
        </is>
      </c>
      <c r="J71" s="15" t="inlineStr">
        <is>
          <t>Complements</t>
        </is>
      </c>
      <c r="K71" s="15" t="inlineStr">
        <is>
          <t>SYNTHETIC demo coding for methods illustration.</t>
        </is>
      </c>
    </row>
    <row r="72">
      <c r="A72" s="15" t="inlineStr">
        <is>
          <t>P06</t>
        </is>
      </c>
      <c r="B72" s="15" t="inlineStr">
        <is>
          <t>Product Manager</t>
        </is>
      </c>
      <c r="C72" s="61" t="inlineStr">
        <is>
          <t>2026-07-19</t>
        </is>
      </c>
      <c r="D72" s="15" t="inlineStr">
        <is>
          <t>IQ11</t>
        </is>
      </c>
      <c r="E72" s="15" t="inlineStr">
        <is>
          <t>IQ11: governance, NDPA compliance, fairness - operational action noted</t>
        </is>
      </c>
      <c r="F72" s="15" t="inlineStr">
        <is>
          <t>Operational action</t>
        </is>
      </c>
      <c r="G72" s="15" t="inlineStr">
        <is>
          <t>Operational action</t>
        </is>
      </c>
      <c r="H72" s="15" t="inlineStr">
        <is>
          <t>"We need alert-to-action timing tracked like a service SLA." [SYNTHETIC]</t>
        </is>
      </c>
      <c r="I72" s="15" t="inlineStr">
        <is>
          <t>AI insight integration M=2.58</t>
        </is>
      </c>
      <c r="J72" s="15" t="inlineStr">
        <is>
          <t>Complements</t>
        </is>
      </c>
      <c r="K72" s="15" t="inlineStr">
        <is>
          <t>SYNTHETIC demo coding for methods illustration.</t>
        </is>
      </c>
    </row>
    <row r="73">
      <c r="A73" s="15" t="inlineStr">
        <is>
          <t>P06</t>
        </is>
      </c>
      <c r="B73" s="15" t="inlineStr">
        <is>
          <t>Product Manager</t>
        </is>
      </c>
      <c r="C73" s="61" t="inlineStr">
        <is>
          <t>2026-07-16</t>
        </is>
      </c>
      <c r="D73" s="15" t="inlineStr">
        <is>
          <t>IQ12</t>
        </is>
      </c>
      <c r="E73" s="15" t="inlineStr">
        <is>
          <t>IQ12: what would prove value (pilot/metrics) - early warning noted</t>
        </is>
      </c>
      <c r="F73" s="15" t="inlineStr">
        <is>
          <t>Early warning</t>
        </is>
      </c>
      <c r="G73" s="15" t="inlineStr">
        <is>
          <t>Early warning</t>
        </is>
      </c>
      <c r="H73" s="15" t="inlineStr">
        <is>
          <t>"The model can identify a customer who is likely to leave, but if the bank does nothing with that information, the prediction has no commercial value." [P03 seed paraphrase - SYNTHETIC] [SYNTHETIC]</t>
        </is>
      </c>
      <c r="I73" s="15" t="inlineStr">
        <is>
          <t>Risk scoring M=3.38</t>
        </is>
      </c>
      <c r="J73" s="15" t="inlineStr">
        <is>
          <t>Converges</t>
        </is>
      </c>
      <c r="K73" s="15" t="inlineStr">
        <is>
          <t>SYNTHETIC demo coding for methods illustration.</t>
        </is>
      </c>
    </row>
    <row r="74">
      <c r="A74" s="15" t="n"/>
      <c r="B74" s="15" t="n"/>
      <c r="C74" s="61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61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61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61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61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61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61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61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61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61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61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61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61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61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61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61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61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61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61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61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61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61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61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61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61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61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61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61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61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61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61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61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61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61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61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61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61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61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61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61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61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61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61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61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61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61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61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61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61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61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61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61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61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61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61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61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61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61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61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61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61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61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61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61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61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61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61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61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61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61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61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61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61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61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61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61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61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61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61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61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61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61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61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61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61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61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61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61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61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61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61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61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61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61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61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61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61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61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61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61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61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61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61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61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61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61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61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61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61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61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61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61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61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61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61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61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61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61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61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61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61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61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61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61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61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61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61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  <row r="201">
      <c r="A201" s="15" t="n"/>
      <c r="B201" s="15" t="n"/>
      <c r="C201" s="61" t="n"/>
      <c r="D201" s="15" t="n"/>
      <c r="E201" s="15" t="n"/>
      <c r="F201" s="15" t="n"/>
      <c r="G201" s="15" t="n"/>
      <c r="H201" s="15" t="n"/>
      <c r="I201" s="15" t="n"/>
      <c r="J201" s="15" t="n"/>
      <c r="K201" s="15" t="n"/>
    </row>
    <row r="202">
      <c r="A202" s="15" t="n"/>
      <c r="B202" s="15" t="n"/>
      <c r="C202" s="61" t="n"/>
      <c r="D202" s="15" t="n"/>
      <c r="E202" s="15" t="n"/>
      <c r="F202" s="15" t="n"/>
      <c r="G202" s="15" t="n"/>
      <c r="H202" s="15" t="n"/>
      <c r="I202" s="15" t="n"/>
      <c r="J202" s="15" t="n"/>
      <c r="K202" s="15" t="n"/>
    </row>
    <row r="203">
      <c r="A203" s="15" t="n"/>
      <c r="B203" s="15" t="n"/>
      <c r="C203" s="61" t="n"/>
      <c r="D203" s="15" t="n"/>
      <c r="E203" s="15" t="n"/>
      <c r="F203" s="15" t="n"/>
      <c r="G203" s="15" t="n"/>
      <c r="H203" s="15" t="n"/>
      <c r="I203" s="15" t="n"/>
      <c r="J203" s="15" t="n"/>
      <c r="K203" s="15" t="n"/>
    </row>
    <row r="204">
      <c r="A204" s="15" t="n"/>
      <c r="B204" s="15" t="n"/>
      <c r="C204" s="61" t="n"/>
      <c r="D204" s="15" t="n"/>
      <c r="E204" s="15" t="n"/>
      <c r="F204" s="15" t="n"/>
      <c r="G204" s="15" t="n"/>
      <c r="H204" s="15" t="n"/>
      <c r="I204" s="15" t="n"/>
      <c r="J204" s="15" t="n"/>
      <c r="K204" s="15" t="n"/>
    </row>
    <row r="205">
      <c r="A205" s="15" t="n"/>
      <c r="B205" s="15" t="n"/>
      <c r="C205" s="61" t="n"/>
      <c r="D205" s="15" t="n"/>
      <c r="E205" s="15" t="n"/>
      <c r="F205" s="15" t="n"/>
      <c r="G205" s="15" t="n"/>
      <c r="H205" s="15" t="n"/>
      <c r="I205" s="15" t="n"/>
      <c r="J205" s="15" t="n"/>
      <c r="K205" s="15" t="n"/>
    </row>
    <row r="206">
      <c r="A206" s="15" t="n"/>
      <c r="B206" s="15" t="n"/>
      <c r="C206" s="61" t="n"/>
      <c r="D206" s="15" t="n"/>
      <c r="E206" s="15" t="n"/>
      <c r="F206" s="15" t="n"/>
      <c r="G206" s="15" t="n"/>
      <c r="H206" s="15" t="n"/>
      <c r="I206" s="15" t="n"/>
      <c r="J206" s="15" t="n"/>
      <c r="K206" s="15" t="n"/>
    </row>
    <row r="207">
      <c r="A207" s="15" t="n"/>
      <c r="B207" s="15" t="n"/>
      <c r="C207" s="61" t="n"/>
      <c r="D207" s="15" t="n"/>
      <c r="E207" s="15" t="n"/>
      <c r="F207" s="15" t="n"/>
      <c r="G207" s="15" t="n"/>
      <c r="H207" s="15" t="n"/>
      <c r="I207" s="15" t="n"/>
      <c r="J207" s="15" t="n"/>
      <c r="K207" s="15" t="n"/>
    </row>
    <row r="208">
      <c r="A208" s="15" t="n"/>
      <c r="B208" s="15" t="n"/>
      <c r="C208" s="61" t="n"/>
      <c r="D208" s="15" t="n"/>
      <c r="E208" s="15" t="n"/>
      <c r="F208" s="15" t="n"/>
      <c r="G208" s="15" t="n"/>
      <c r="H208" s="15" t="n"/>
      <c r="I208" s="15" t="n"/>
      <c r="J208" s="15" t="n"/>
      <c r="K208" s="15" t="n"/>
    </row>
    <row r="209">
      <c r="A209" s="15" t="n"/>
      <c r="B209" s="15" t="n"/>
      <c r="C209" s="61" t="n"/>
      <c r="D209" s="15" t="n"/>
      <c r="E209" s="15" t="n"/>
      <c r="F209" s="15" t="n"/>
      <c r="G209" s="15" t="n"/>
      <c r="H209" s="15" t="n"/>
      <c r="I209" s="15" t="n"/>
      <c r="J209" s="15" t="n"/>
      <c r="K209" s="15" t="n"/>
    </row>
    <row r="210">
      <c r="A210" s="15" t="n"/>
      <c r="B210" s="15" t="n"/>
      <c r="C210" s="61" t="n"/>
      <c r="D210" s="15" t="n"/>
      <c r="E210" s="15" t="n"/>
      <c r="F210" s="15" t="n"/>
      <c r="G210" s="15" t="n"/>
      <c r="H210" s="15" t="n"/>
      <c r="I210" s="15" t="n"/>
      <c r="J210" s="15" t="n"/>
      <c r="K210" s="15" t="n"/>
    </row>
    <row r="211">
      <c r="A211" s="15" t="n"/>
      <c r="B211" s="15" t="n"/>
      <c r="C211" s="61" t="n"/>
      <c r="D211" s="15" t="n"/>
      <c r="E211" s="15" t="n"/>
      <c r="F211" s="15" t="n"/>
      <c r="G211" s="15" t="n"/>
      <c r="H211" s="15" t="n"/>
      <c r="I211" s="15" t="n"/>
      <c r="J211" s="15" t="n"/>
      <c r="K211" s="15" t="n"/>
    </row>
    <row r="212">
      <c r="A212" s="15" t="n"/>
      <c r="B212" s="15" t="n"/>
      <c r="C212" s="61" t="n"/>
      <c r="D212" s="15" t="n"/>
      <c r="E212" s="15" t="n"/>
      <c r="F212" s="15" t="n"/>
      <c r="G212" s="15" t="n"/>
      <c r="H212" s="15" t="n"/>
      <c r="I212" s="15" t="n"/>
      <c r="J212" s="15" t="n"/>
      <c r="K212" s="15" t="n"/>
    </row>
    <row r="213">
      <c r="A213" s="15" t="n"/>
      <c r="B213" s="15" t="n"/>
      <c r="C213" s="61" t="n"/>
      <c r="D213" s="15" t="n"/>
      <c r="E213" s="15" t="n"/>
      <c r="F213" s="15" t="n"/>
      <c r="G213" s="15" t="n"/>
      <c r="H213" s="15" t="n"/>
      <c r="I213" s="15" t="n"/>
      <c r="J213" s="15" t="n"/>
      <c r="K213" s="15" t="n"/>
    </row>
    <row r="214">
      <c r="A214" s="15" t="n"/>
      <c r="B214" s="15" t="n"/>
      <c r="C214" s="61" t="n"/>
      <c r="D214" s="15" t="n"/>
      <c r="E214" s="15" t="n"/>
      <c r="F214" s="15" t="n"/>
      <c r="G214" s="15" t="n"/>
      <c r="H214" s="15" t="n"/>
      <c r="I214" s="15" t="n"/>
      <c r="J214" s="15" t="n"/>
      <c r="K214" s="15" t="n"/>
    </row>
    <row r="215">
      <c r="A215" s="15" t="n"/>
      <c r="B215" s="15" t="n"/>
      <c r="C215" s="61" t="n"/>
      <c r="D215" s="15" t="n"/>
      <c r="E215" s="15" t="n"/>
      <c r="F215" s="15" t="n"/>
      <c r="G215" s="15" t="n"/>
      <c r="H215" s="15" t="n"/>
      <c r="I215" s="15" t="n"/>
      <c r="J215" s="15" t="n"/>
      <c r="K215" s="15" t="n"/>
    </row>
    <row r="216">
      <c r="A216" s="15" t="n"/>
      <c r="B216" s="15" t="n"/>
      <c r="C216" s="61" t="n"/>
      <c r="D216" s="15" t="n"/>
      <c r="E216" s="15" t="n"/>
      <c r="F216" s="15" t="n"/>
      <c r="G216" s="15" t="n"/>
      <c r="H216" s="15" t="n"/>
      <c r="I216" s="15" t="n"/>
      <c r="J216" s="15" t="n"/>
      <c r="K216" s="15" t="n"/>
    </row>
    <row r="217">
      <c r="A217" s="15" t="n"/>
      <c r="B217" s="15" t="n"/>
      <c r="C217" s="61" t="n"/>
      <c r="D217" s="15" t="n"/>
      <c r="E217" s="15" t="n"/>
      <c r="F217" s="15" t="n"/>
      <c r="G217" s="15" t="n"/>
      <c r="H217" s="15" t="n"/>
      <c r="I217" s="15" t="n"/>
      <c r="J217" s="15" t="n"/>
      <c r="K217" s="15" t="n"/>
    </row>
    <row r="218">
      <c r="A218" s="15" t="n"/>
      <c r="B218" s="15" t="n"/>
      <c r="C218" s="61" t="n"/>
      <c r="D218" s="15" t="n"/>
      <c r="E218" s="15" t="n"/>
      <c r="F218" s="15" t="n"/>
      <c r="G218" s="15" t="n"/>
      <c r="H218" s="15" t="n"/>
      <c r="I218" s="15" t="n"/>
      <c r="J218" s="15" t="n"/>
      <c r="K218" s="15" t="n"/>
    </row>
    <row r="219">
      <c r="A219" s="15" t="n"/>
      <c r="B219" s="15" t="n"/>
      <c r="C219" s="61" t="n"/>
      <c r="D219" s="15" t="n"/>
      <c r="E219" s="15" t="n"/>
      <c r="F219" s="15" t="n"/>
      <c r="G219" s="15" t="n"/>
      <c r="H219" s="15" t="n"/>
      <c r="I219" s="15" t="n"/>
      <c r="J219" s="15" t="n"/>
      <c r="K219" s="15" t="n"/>
    </row>
    <row r="220">
      <c r="A220" s="15" t="n"/>
      <c r="B220" s="15" t="n"/>
      <c r="C220" s="61" t="n"/>
      <c r="D220" s="15" t="n"/>
      <c r="E220" s="15" t="n"/>
      <c r="F220" s="15" t="n"/>
      <c r="G220" s="15" t="n"/>
      <c r="H220" s="15" t="n"/>
      <c r="I220" s="15" t="n"/>
      <c r="J220" s="15" t="n"/>
      <c r="K220" s="15" t="n"/>
    </row>
    <row r="221">
      <c r="A221" s="15" t="n"/>
      <c r="B221" s="15" t="n"/>
      <c r="C221" s="61" t="n"/>
      <c r="D221" s="15" t="n"/>
      <c r="E221" s="15" t="n"/>
      <c r="F221" s="15" t="n"/>
      <c r="G221" s="15" t="n"/>
      <c r="H221" s="15" t="n"/>
      <c r="I221" s="15" t="n"/>
      <c r="J221" s="15" t="n"/>
      <c r="K221" s="15" t="n"/>
    </row>
    <row r="222">
      <c r="A222" s="15" t="n"/>
      <c r="B222" s="15" t="n"/>
      <c r="C222" s="61" t="n"/>
      <c r="D222" s="15" t="n"/>
      <c r="E222" s="15" t="n"/>
      <c r="F222" s="15" t="n"/>
      <c r="G222" s="15" t="n"/>
      <c r="H222" s="15" t="n"/>
      <c r="I222" s="15" t="n"/>
      <c r="J222" s="15" t="n"/>
      <c r="K222" s="15" t="n"/>
    </row>
    <row r="223">
      <c r="A223" s="15" t="n"/>
      <c r="B223" s="15" t="n"/>
      <c r="C223" s="61" t="n"/>
      <c r="D223" s="15" t="n"/>
      <c r="E223" s="15" t="n"/>
      <c r="F223" s="15" t="n"/>
      <c r="G223" s="15" t="n"/>
      <c r="H223" s="15" t="n"/>
      <c r="I223" s="15" t="n"/>
      <c r="J223" s="15" t="n"/>
      <c r="K223" s="15" t="n"/>
    </row>
    <row r="224">
      <c r="A224" s="15" t="n"/>
      <c r="B224" s="15" t="n"/>
      <c r="C224" s="61" t="n"/>
      <c r="D224" s="15" t="n"/>
      <c r="E224" s="15" t="n"/>
      <c r="F224" s="15" t="n"/>
      <c r="G224" s="15" t="n"/>
      <c r="H224" s="15" t="n"/>
      <c r="I224" s="15" t="n"/>
      <c r="J224" s="15" t="n"/>
      <c r="K224" s="15" t="n"/>
    </row>
    <row r="225">
      <c r="A225" s="15" t="n"/>
      <c r="B225" s="15" t="n"/>
      <c r="C225" s="61" t="n"/>
      <c r="D225" s="15" t="n"/>
      <c r="E225" s="15" t="n"/>
      <c r="F225" s="15" t="n"/>
      <c r="G225" s="15" t="n"/>
      <c r="H225" s="15" t="n"/>
      <c r="I225" s="15" t="n"/>
      <c r="J225" s="15" t="n"/>
      <c r="K225" s="15" t="n"/>
    </row>
    <row r="226">
      <c r="A226" s="15" t="n"/>
      <c r="B226" s="15" t="n"/>
      <c r="C226" s="61" t="n"/>
      <c r="D226" s="15" t="n"/>
      <c r="E226" s="15" t="n"/>
      <c r="F226" s="15" t="n"/>
      <c r="G226" s="15" t="n"/>
      <c r="H226" s="15" t="n"/>
      <c r="I226" s="15" t="n"/>
      <c r="J226" s="15" t="n"/>
      <c r="K226" s="15" t="n"/>
    </row>
    <row r="227">
      <c r="A227" s="15" t="n"/>
      <c r="B227" s="15" t="n"/>
      <c r="C227" s="61" t="n"/>
      <c r="D227" s="15" t="n"/>
      <c r="E227" s="15" t="n"/>
      <c r="F227" s="15" t="n"/>
      <c r="G227" s="15" t="n"/>
      <c r="H227" s="15" t="n"/>
      <c r="I227" s="15" t="n"/>
      <c r="J227" s="15" t="n"/>
      <c r="K227" s="15" t="n"/>
    </row>
    <row r="228">
      <c r="A228" s="15" t="n"/>
      <c r="B228" s="15" t="n"/>
      <c r="C228" s="61" t="n"/>
      <c r="D228" s="15" t="n"/>
      <c r="E228" s="15" t="n"/>
      <c r="F228" s="15" t="n"/>
      <c r="G228" s="15" t="n"/>
      <c r="H228" s="15" t="n"/>
      <c r="I228" s="15" t="n"/>
      <c r="J228" s="15" t="n"/>
      <c r="K228" s="15" t="n"/>
    </row>
    <row r="229">
      <c r="A229" s="15" t="n"/>
      <c r="B229" s="15" t="n"/>
      <c r="C229" s="61" t="n"/>
      <c r="D229" s="15" t="n"/>
      <c r="E229" s="15" t="n"/>
      <c r="F229" s="15" t="n"/>
      <c r="G229" s="15" t="n"/>
      <c r="H229" s="15" t="n"/>
      <c r="I229" s="15" t="n"/>
      <c r="J229" s="15" t="n"/>
      <c r="K229" s="15" t="n"/>
    </row>
    <row r="230">
      <c r="A230" s="15" t="n"/>
      <c r="B230" s="15" t="n"/>
      <c r="C230" s="61" t="n"/>
      <c r="D230" s="15" t="n"/>
      <c r="E230" s="15" t="n"/>
      <c r="F230" s="15" t="n"/>
      <c r="G230" s="15" t="n"/>
      <c r="H230" s="15" t="n"/>
      <c r="I230" s="15" t="n"/>
      <c r="J230" s="15" t="n"/>
      <c r="K230" s="15" t="n"/>
    </row>
    <row r="231">
      <c r="A231" s="15" t="n"/>
      <c r="B231" s="15" t="n"/>
      <c r="C231" s="61" t="n"/>
      <c r="D231" s="15" t="n"/>
      <c r="E231" s="15" t="n"/>
      <c r="F231" s="15" t="n"/>
      <c r="G231" s="15" t="n"/>
      <c r="H231" s="15" t="n"/>
      <c r="I231" s="15" t="n"/>
      <c r="J231" s="15" t="n"/>
      <c r="K231" s="15" t="n"/>
    </row>
    <row r="232">
      <c r="A232" s="15" t="n"/>
      <c r="B232" s="15" t="n"/>
      <c r="C232" s="61" t="n"/>
      <c r="D232" s="15" t="n"/>
      <c r="E232" s="15" t="n"/>
      <c r="F232" s="15" t="n"/>
      <c r="G232" s="15" t="n"/>
      <c r="H232" s="15" t="n"/>
      <c r="I232" s="15" t="n"/>
      <c r="J232" s="15" t="n"/>
      <c r="K232" s="15" t="n"/>
    </row>
    <row r="233">
      <c r="A233" s="15" t="n"/>
      <c r="B233" s="15" t="n"/>
      <c r="C233" s="61" t="n"/>
      <c r="D233" s="15" t="n"/>
      <c r="E233" s="15" t="n"/>
      <c r="F233" s="15" t="n"/>
      <c r="G233" s="15" t="n"/>
      <c r="H233" s="15" t="n"/>
      <c r="I233" s="15" t="n"/>
      <c r="J233" s="15" t="n"/>
      <c r="K233" s="15" t="n"/>
    </row>
    <row r="234">
      <c r="A234" s="15" t="n"/>
      <c r="B234" s="15" t="n"/>
      <c r="C234" s="61" t="n"/>
      <c r="D234" s="15" t="n"/>
      <c r="E234" s="15" t="n"/>
      <c r="F234" s="15" t="n"/>
      <c r="G234" s="15" t="n"/>
      <c r="H234" s="15" t="n"/>
      <c r="I234" s="15" t="n"/>
      <c r="J234" s="15" t="n"/>
      <c r="K234" s="15" t="n"/>
    </row>
    <row r="235">
      <c r="A235" s="15" t="n"/>
      <c r="B235" s="15" t="n"/>
      <c r="C235" s="61" t="n"/>
      <c r="D235" s="15" t="n"/>
      <c r="E235" s="15" t="n"/>
      <c r="F235" s="15" t="n"/>
      <c r="G235" s="15" t="n"/>
      <c r="H235" s="15" t="n"/>
      <c r="I235" s="15" t="n"/>
      <c r="J235" s="15" t="n"/>
      <c r="K235" s="15" t="n"/>
    </row>
    <row r="236">
      <c r="A236" s="15" t="n"/>
      <c r="B236" s="15" t="n"/>
      <c r="C236" s="61" t="n"/>
      <c r="D236" s="15" t="n"/>
      <c r="E236" s="15" t="n"/>
      <c r="F236" s="15" t="n"/>
      <c r="G236" s="15" t="n"/>
      <c r="H236" s="15" t="n"/>
      <c r="I236" s="15" t="n"/>
      <c r="J236" s="15" t="n"/>
      <c r="K236" s="15" t="n"/>
    </row>
    <row r="237">
      <c r="A237" s="15" t="n"/>
      <c r="B237" s="15" t="n"/>
      <c r="C237" s="61" t="n"/>
      <c r="D237" s="15" t="n"/>
      <c r="E237" s="15" t="n"/>
      <c r="F237" s="15" t="n"/>
      <c r="G237" s="15" t="n"/>
      <c r="H237" s="15" t="n"/>
      <c r="I237" s="15" t="n"/>
      <c r="J237" s="15" t="n"/>
      <c r="K237" s="15" t="n"/>
    </row>
    <row r="238">
      <c r="A238" s="15" t="n"/>
      <c r="B238" s="15" t="n"/>
      <c r="C238" s="61" t="n"/>
      <c r="D238" s="15" t="n"/>
      <c r="E238" s="15" t="n"/>
      <c r="F238" s="15" t="n"/>
      <c r="G238" s="15" t="n"/>
      <c r="H238" s="15" t="n"/>
      <c r="I238" s="15" t="n"/>
      <c r="J238" s="15" t="n"/>
      <c r="K238" s="15" t="n"/>
    </row>
    <row r="239">
      <c r="A239" s="15" t="n"/>
      <c r="B239" s="15" t="n"/>
      <c r="C239" s="61" t="n"/>
      <c r="D239" s="15" t="n"/>
      <c r="E239" s="15" t="n"/>
      <c r="F239" s="15" t="n"/>
      <c r="G239" s="15" t="n"/>
      <c r="H239" s="15" t="n"/>
      <c r="I239" s="15" t="n"/>
      <c r="J239" s="15" t="n"/>
      <c r="K239" s="15" t="n"/>
    </row>
    <row r="240">
      <c r="A240" s="15" t="n"/>
      <c r="B240" s="15" t="n"/>
      <c r="C240" s="61" t="n"/>
      <c r="D240" s="15" t="n"/>
      <c r="E240" s="15" t="n"/>
      <c r="F240" s="15" t="n"/>
      <c r="G240" s="15" t="n"/>
      <c r="H240" s="15" t="n"/>
      <c r="I240" s="15" t="n"/>
      <c r="J240" s="15" t="n"/>
      <c r="K240" s="15" t="n"/>
    </row>
    <row r="241">
      <c r="A241" s="15" t="n"/>
      <c r="B241" s="15" t="n"/>
      <c r="C241" s="61" t="n"/>
      <c r="D241" s="15" t="n"/>
      <c r="E241" s="15" t="n"/>
      <c r="F241" s="15" t="n"/>
      <c r="G241" s="15" t="n"/>
      <c r="H241" s="15" t="n"/>
      <c r="I241" s="15" t="n"/>
      <c r="J241" s="15" t="n"/>
      <c r="K241" s="15" t="n"/>
    </row>
    <row r="242">
      <c r="A242" s="15" t="n"/>
      <c r="B242" s="15" t="n"/>
      <c r="C242" s="61" t="n"/>
      <c r="D242" s="15" t="n"/>
      <c r="E242" s="15" t="n"/>
      <c r="F242" s="15" t="n"/>
      <c r="G242" s="15" t="n"/>
      <c r="H242" s="15" t="n"/>
      <c r="I242" s="15" t="n"/>
      <c r="J242" s="15" t="n"/>
      <c r="K242" s="15" t="n"/>
    </row>
    <row r="243">
      <c r="A243" s="15" t="n"/>
      <c r="B243" s="15" t="n"/>
      <c r="C243" s="61" t="n"/>
      <c r="D243" s="15" t="n"/>
      <c r="E243" s="15" t="n"/>
      <c r="F243" s="15" t="n"/>
      <c r="G243" s="15" t="n"/>
      <c r="H243" s="15" t="n"/>
      <c r="I243" s="15" t="n"/>
      <c r="J243" s="15" t="n"/>
      <c r="K243" s="15" t="n"/>
    </row>
    <row r="244">
      <c r="A244" s="15" t="n"/>
      <c r="B244" s="15" t="n"/>
      <c r="C244" s="61" t="n"/>
      <c r="D244" s="15" t="n"/>
      <c r="E244" s="15" t="n"/>
      <c r="F244" s="15" t="n"/>
      <c r="G244" s="15" t="n"/>
      <c r="H244" s="15" t="n"/>
      <c r="I244" s="15" t="n"/>
      <c r="J244" s="15" t="n"/>
      <c r="K244" s="15" t="n"/>
    </row>
    <row r="245">
      <c r="A245" s="15" t="n"/>
      <c r="B245" s="15" t="n"/>
      <c r="C245" s="61" t="n"/>
      <c r="D245" s="15" t="n"/>
      <c r="E245" s="15" t="n"/>
      <c r="F245" s="15" t="n"/>
      <c r="G245" s="15" t="n"/>
      <c r="H245" s="15" t="n"/>
      <c r="I245" s="15" t="n"/>
      <c r="J245" s="15" t="n"/>
      <c r="K245" s="15" t="n"/>
    </row>
    <row r="246">
      <c r="A246" s="15" t="n"/>
      <c r="B246" s="15" t="n"/>
      <c r="C246" s="61" t="n"/>
      <c r="D246" s="15" t="n"/>
      <c r="E246" s="15" t="n"/>
      <c r="F246" s="15" t="n"/>
      <c r="G246" s="15" t="n"/>
      <c r="H246" s="15" t="n"/>
      <c r="I246" s="15" t="n"/>
      <c r="J246" s="15" t="n"/>
      <c r="K246" s="15" t="n"/>
    </row>
    <row r="247">
      <c r="A247" s="15" t="n"/>
      <c r="B247" s="15" t="n"/>
      <c r="C247" s="61" t="n"/>
      <c r="D247" s="15" t="n"/>
      <c r="E247" s="15" t="n"/>
      <c r="F247" s="15" t="n"/>
      <c r="G247" s="15" t="n"/>
      <c r="H247" s="15" t="n"/>
      <c r="I247" s="15" t="n"/>
      <c r="J247" s="15" t="n"/>
      <c r="K247" s="15" t="n"/>
    </row>
    <row r="248">
      <c r="A248" s="15" t="n"/>
      <c r="B248" s="15" t="n"/>
      <c r="C248" s="61" t="n"/>
      <c r="D248" s="15" t="n"/>
      <c r="E248" s="15" t="n"/>
      <c r="F248" s="15" t="n"/>
      <c r="G248" s="15" t="n"/>
      <c r="H248" s="15" t="n"/>
      <c r="I248" s="15" t="n"/>
      <c r="J248" s="15" t="n"/>
      <c r="K248" s="15" t="n"/>
    </row>
    <row r="249">
      <c r="A249" s="15" t="n"/>
      <c r="B249" s="15" t="n"/>
      <c r="C249" s="61" t="n"/>
      <c r="D249" s="15" t="n"/>
      <c r="E249" s="15" t="n"/>
      <c r="F249" s="15" t="n"/>
      <c r="G249" s="15" t="n"/>
      <c r="H249" s="15" t="n"/>
      <c r="I249" s="15" t="n"/>
      <c r="J249" s="15" t="n"/>
      <c r="K249" s="15" t="n"/>
    </row>
    <row r="250">
      <c r="A250" s="15" t="n"/>
      <c r="B250" s="15" t="n"/>
      <c r="C250" s="61" t="n"/>
      <c r="D250" s="15" t="n"/>
      <c r="E250" s="15" t="n"/>
      <c r="F250" s="15" t="n"/>
      <c r="G250" s="15" t="n"/>
      <c r="H250" s="15" t="n"/>
      <c r="I250" s="15" t="n"/>
      <c r="J250" s="15" t="n"/>
      <c r="K250" s="15" t="n"/>
    </row>
    <row r="251">
      <c r="A251" s="15" t="n"/>
      <c r="B251" s="15" t="n"/>
      <c r="C251" s="61" t="n"/>
      <c r="D251" s="15" t="n"/>
      <c r="E251" s="15" t="n"/>
      <c r="F251" s="15" t="n"/>
      <c r="G251" s="15" t="n"/>
      <c r="H251" s="15" t="n"/>
      <c r="I251" s="15" t="n"/>
      <c r="J251" s="15" t="n"/>
      <c r="K251" s="15" t="n"/>
    </row>
    <row r="252">
      <c r="A252" s="15" t="n"/>
      <c r="B252" s="15" t="n"/>
      <c r="C252" s="61" t="n"/>
      <c r="D252" s="15" t="n"/>
      <c r="E252" s="15" t="n"/>
      <c r="F252" s="15" t="n"/>
      <c r="G252" s="15" t="n"/>
      <c r="H252" s="15" t="n"/>
      <c r="I252" s="15" t="n"/>
      <c r="J252" s="15" t="n"/>
      <c r="K252" s="15" t="n"/>
    </row>
    <row r="253">
      <c r="A253" s="15" t="n"/>
      <c r="B253" s="15" t="n"/>
      <c r="C253" s="61" t="n"/>
      <c r="D253" s="15" t="n"/>
      <c r="E253" s="15" t="n"/>
      <c r="F253" s="15" t="n"/>
      <c r="G253" s="15" t="n"/>
      <c r="H253" s="15" t="n"/>
      <c r="I253" s="15" t="n"/>
      <c r="J253" s="15" t="n"/>
      <c r="K253" s="15" t="n"/>
    </row>
    <row r="254">
      <c r="A254" s="15" t="n"/>
      <c r="B254" s="15" t="n"/>
      <c r="C254" s="61" t="n"/>
      <c r="D254" s="15" t="n"/>
      <c r="E254" s="15" t="n"/>
      <c r="F254" s="15" t="n"/>
      <c r="G254" s="15" t="n"/>
      <c r="H254" s="15" t="n"/>
      <c r="I254" s="15" t="n"/>
      <c r="J254" s="15" t="n"/>
      <c r="K254" s="15" t="n"/>
    </row>
    <row r="255">
      <c r="A255" s="15" t="n"/>
      <c r="B255" s="15" t="n"/>
      <c r="C255" s="61" t="n"/>
      <c r="D255" s="15" t="n"/>
      <c r="E255" s="15" t="n"/>
      <c r="F255" s="15" t="n"/>
      <c r="G255" s="15" t="n"/>
      <c r="H255" s="15" t="n"/>
      <c r="I255" s="15" t="n"/>
      <c r="J255" s="15" t="n"/>
      <c r="K255" s="15" t="n"/>
    </row>
    <row r="256">
      <c r="A256" s="15" t="n"/>
      <c r="B256" s="15" t="n"/>
      <c r="C256" s="61" t="n"/>
      <c r="D256" s="15" t="n"/>
      <c r="E256" s="15" t="n"/>
      <c r="F256" s="15" t="n"/>
      <c r="G256" s="15" t="n"/>
      <c r="H256" s="15" t="n"/>
      <c r="I256" s="15" t="n"/>
      <c r="J256" s="15" t="n"/>
      <c r="K256" s="15" t="n"/>
    </row>
    <row r="257">
      <c r="A257" s="15" t="n"/>
      <c r="B257" s="15" t="n"/>
      <c r="C257" s="61" t="n"/>
      <c r="D257" s="15" t="n"/>
      <c r="E257" s="15" t="n"/>
      <c r="F257" s="15" t="n"/>
      <c r="G257" s="15" t="n"/>
      <c r="H257" s="15" t="n"/>
      <c r="I257" s="15" t="n"/>
      <c r="J257" s="15" t="n"/>
      <c r="K257" s="15" t="n"/>
    </row>
    <row r="258">
      <c r="A258" s="15" t="n"/>
      <c r="B258" s="15" t="n"/>
      <c r="C258" s="61" t="n"/>
      <c r="D258" s="15" t="n"/>
      <c r="E258" s="15" t="n"/>
      <c r="F258" s="15" t="n"/>
      <c r="G258" s="15" t="n"/>
      <c r="H258" s="15" t="n"/>
      <c r="I258" s="15" t="n"/>
      <c r="J258" s="15" t="n"/>
      <c r="K258" s="15" t="n"/>
    </row>
    <row r="259">
      <c r="A259" s="15" t="n"/>
      <c r="B259" s="15" t="n"/>
      <c r="C259" s="61" t="n"/>
      <c r="D259" s="15" t="n"/>
      <c r="E259" s="15" t="n"/>
      <c r="F259" s="15" t="n"/>
      <c r="G259" s="15" t="n"/>
      <c r="H259" s="15" t="n"/>
      <c r="I259" s="15" t="n"/>
      <c r="J259" s="15" t="n"/>
      <c r="K259" s="15" t="n"/>
    </row>
    <row r="260">
      <c r="A260" s="15" t="n"/>
      <c r="B260" s="15" t="n"/>
      <c r="C260" s="61" t="n"/>
      <c r="D260" s="15" t="n"/>
      <c r="E260" s="15" t="n"/>
      <c r="F260" s="15" t="n"/>
      <c r="G260" s="15" t="n"/>
      <c r="H260" s="15" t="n"/>
      <c r="I260" s="15" t="n"/>
      <c r="J260" s="15" t="n"/>
      <c r="K260" s="15" t="n"/>
    </row>
    <row r="261">
      <c r="A261" s="15" t="n"/>
      <c r="B261" s="15" t="n"/>
      <c r="C261" s="61" t="n"/>
      <c r="D261" s="15" t="n"/>
      <c r="E261" s="15" t="n"/>
      <c r="F261" s="15" t="n"/>
      <c r="G261" s="15" t="n"/>
      <c r="H261" s="15" t="n"/>
      <c r="I261" s="15" t="n"/>
      <c r="J261" s="15" t="n"/>
      <c r="K261" s="15" t="n"/>
    </row>
    <row r="262">
      <c r="A262" s="15" t="n"/>
      <c r="B262" s="15" t="n"/>
      <c r="C262" s="61" t="n"/>
      <c r="D262" s="15" t="n"/>
      <c r="E262" s="15" t="n"/>
      <c r="F262" s="15" t="n"/>
      <c r="G262" s="15" t="n"/>
      <c r="H262" s="15" t="n"/>
      <c r="I262" s="15" t="n"/>
      <c r="J262" s="15" t="n"/>
      <c r="K262" s="15" t="n"/>
    </row>
    <row r="263">
      <c r="A263" s="15" t="n"/>
      <c r="B263" s="15" t="n"/>
      <c r="C263" s="61" t="n"/>
      <c r="D263" s="15" t="n"/>
      <c r="E263" s="15" t="n"/>
      <c r="F263" s="15" t="n"/>
      <c r="G263" s="15" t="n"/>
      <c r="H263" s="15" t="n"/>
      <c r="I263" s="15" t="n"/>
      <c r="J263" s="15" t="n"/>
      <c r="K263" s="15" t="n"/>
    </row>
    <row r="264">
      <c r="A264" s="15" t="n"/>
      <c r="B264" s="15" t="n"/>
      <c r="C264" s="61" t="n"/>
      <c r="D264" s="15" t="n"/>
      <c r="E264" s="15" t="n"/>
      <c r="F264" s="15" t="n"/>
      <c r="G264" s="15" t="n"/>
      <c r="H264" s="15" t="n"/>
      <c r="I264" s="15" t="n"/>
      <c r="J264" s="15" t="n"/>
      <c r="K264" s="15" t="n"/>
    </row>
    <row r="265">
      <c r="A265" s="15" t="n"/>
      <c r="B265" s="15" t="n"/>
      <c r="C265" s="61" t="n"/>
      <c r="D265" s="15" t="n"/>
      <c r="E265" s="15" t="n"/>
      <c r="F265" s="15" t="n"/>
      <c r="G265" s="15" t="n"/>
      <c r="H265" s="15" t="n"/>
      <c r="I265" s="15" t="n"/>
      <c r="J265" s="15" t="n"/>
      <c r="K265" s="15" t="n"/>
    </row>
    <row r="266">
      <c r="A266" s="15" t="n"/>
      <c r="B266" s="15" t="n"/>
      <c r="C266" s="61" t="n"/>
      <c r="D266" s="15" t="n"/>
      <c r="E266" s="15" t="n"/>
      <c r="F266" s="15" t="n"/>
      <c r="G266" s="15" t="n"/>
      <c r="H266" s="15" t="n"/>
      <c r="I266" s="15" t="n"/>
      <c r="J266" s="15" t="n"/>
      <c r="K266" s="15" t="n"/>
    </row>
    <row r="267">
      <c r="A267" s="15" t="n"/>
      <c r="B267" s="15" t="n"/>
      <c r="C267" s="61" t="n"/>
      <c r="D267" s="15" t="n"/>
      <c r="E267" s="15" t="n"/>
      <c r="F267" s="15" t="n"/>
      <c r="G267" s="15" t="n"/>
      <c r="H267" s="15" t="n"/>
      <c r="I267" s="15" t="n"/>
      <c r="J267" s="15" t="n"/>
      <c r="K267" s="15" t="n"/>
    </row>
    <row r="268">
      <c r="A268" s="15" t="n"/>
      <c r="B268" s="15" t="n"/>
      <c r="C268" s="61" t="n"/>
      <c r="D268" s="15" t="n"/>
      <c r="E268" s="15" t="n"/>
      <c r="F268" s="15" t="n"/>
      <c r="G268" s="15" t="n"/>
      <c r="H268" s="15" t="n"/>
      <c r="I268" s="15" t="n"/>
      <c r="J268" s="15" t="n"/>
      <c r="K268" s="15" t="n"/>
    </row>
    <row r="269">
      <c r="A269" s="15" t="n"/>
      <c r="B269" s="15" t="n"/>
      <c r="C269" s="61" t="n"/>
      <c r="D269" s="15" t="n"/>
      <c r="E269" s="15" t="n"/>
      <c r="F269" s="15" t="n"/>
      <c r="G269" s="15" t="n"/>
      <c r="H269" s="15" t="n"/>
      <c r="I269" s="15" t="n"/>
      <c r="J269" s="15" t="n"/>
      <c r="K269" s="15" t="n"/>
    </row>
    <row r="270">
      <c r="A270" s="15" t="n"/>
      <c r="B270" s="15" t="n"/>
      <c r="C270" s="61" t="n"/>
      <c r="D270" s="15" t="n"/>
      <c r="E270" s="15" t="n"/>
      <c r="F270" s="15" t="n"/>
      <c r="G270" s="15" t="n"/>
      <c r="H270" s="15" t="n"/>
      <c r="I270" s="15" t="n"/>
      <c r="J270" s="15" t="n"/>
      <c r="K270" s="15" t="n"/>
    </row>
    <row r="271">
      <c r="A271" s="15" t="n"/>
      <c r="B271" s="15" t="n"/>
      <c r="C271" s="61" t="n"/>
      <c r="D271" s="15" t="n"/>
      <c r="E271" s="15" t="n"/>
      <c r="F271" s="15" t="n"/>
      <c r="G271" s="15" t="n"/>
      <c r="H271" s="15" t="n"/>
      <c r="I271" s="15" t="n"/>
      <c r="J271" s="15" t="n"/>
      <c r="K271" s="15" t="n"/>
    </row>
    <row r="272">
      <c r="A272" s="15" t="n"/>
      <c r="B272" s="15" t="n"/>
      <c r="C272" s="61" t="n"/>
      <c r="D272" s="15" t="n"/>
      <c r="E272" s="15" t="n"/>
      <c r="F272" s="15" t="n"/>
      <c r="G272" s="15" t="n"/>
      <c r="H272" s="15" t="n"/>
      <c r="I272" s="15" t="n"/>
      <c r="J272" s="15" t="n"/>
      <c r="K272" s="15" t="n"/>
    </row>
    <row r="273">
      <c r="A273" s="15" t="n"/>
      <c r="B273" s="15" t="n"/>
      <c r="C273" s="61" t="n"/>
      <c r="D273" s="15" t="n"/>
      <c r="E273" s="15" t="n"/>
      <c r="F273" s="15" t="n"/>
      <c r="G273" s="15" t="n"/>
      <c r="H273" s="15" t="n"/>
      <c r="I273" s="15" t="n"/>
      <c r="J273" s="15" t="n"/>
      <c r="K273" s="15" t="n"/>
    </row>
    <row r="274">
      <c r="A274" s="15" t="n"/>
      <c r="B274" s="15" t="n"/>
      <c r="C274" s="61" t="n"/>
      <c r="D274" s="15" t="n"/>
      <c r="E274" s="15" t="n"/>
      <c r="F274" s="15" t="n"/>
      <c r="G274" s="15" t="n"/>
      <c r="H274" s="15" t="n"/>
      <c r="I274" s="15" t="n"/>
      <c r="J274" s="15" t="n"/>
      <c r="K274" s="15" t="n"/>
    </row>
    <row r="275">
      <c r="A275" s="15" t="n"/>
      <c r="B275" s="15" t="n"/>
      <c r="C275" s="61" t="n"/>
      <c r="D275" s="15" t="n"/>
      <c r="E275" s="15" t="n"/>
      <c r="F275" s="15" t="n"/>
      <c r="G275" s="15" t="n"/>
      <c r="H275" s="15" t="n"/>
      <c r="I275" s="15" t="n"/>
      <c r="J275" s="15" t="n"/>
      <c r="K275" s="15" t="n"/>
    </row>
    <row r="276">
      <c r="A276" s="15" t="n"/>
      <c r="B276" s="15" t="n"/>
      <c r="C276" s="61" t="n"/>
      <c r="D276" s="15" t="n"/>
      <c r="E276" s="15" t="n"/>
      <c r="F276" s="15" t="n"/>
      <c r="G276" s="15" t="n"/>
      <c r="H276" s="15" t="n"/>
      <c r="I276" s="15" t="n"/>
      <c r="J276" s="15" t="n"/>
      <c r="K276" s="15" t="n"/>
    </row>
    <row r="277">
      <c r="A277" s="15" t="n"/>
      <c r="B277" s="15" t="n"/>
      <c r="C277" s="61" t="n"/>
      <c r="D277" s="15" t="n"/>
      <c r="E277" s="15" t="n"/>
      <c r="F277" s="15" t="n"/>
      <c r="G277" s="15" t="n"/>
      <c r="H277" s="15" t="n"/>
      <c r="I277" s="15" t="n"/>
      <c r="J277" s="15" t="n"/>
      <c r="K277" s="15" t="n"/>
    </row>
    <row r="278">
      <c r="A278" s="15" t="n"/>
      <c r="B278" s="15" t="n"/>
      <c r="C278" s="61" t="n"/>
      <c r="D278" s="15" t="n"/>
      <c r="E278" s="15" t="n"/>
      <c r="F278" s="15" t="n"/>
      <c r="G278" s="15" t="n"/>
      <c r="H278" s="15" t="n"/>
      <c r="I278" s="15" t="n"/>
      <c r="J278" s="15" t="n"/>
      <c r="K278" s="15" t="n"/>
    </row>
    <row r="279">
      <c r="A279" s="15" t="n"/>
      <c r="B279" s="15" t="n"/>
      <c r="C279" s="61" t="n"/>
      <c r="D279" s="15" t="n"/>
      <c r="E279" s="15" t="n"/>
      <c r="F279" s="15" t="n"/>
      <c r="G279" s="15" t="n"/>
      <c r="H279" s="15" t="n"/>
      <c r="I279" s="15" t="n"/>
      <c r="J279" s="15" t="n"/>
      <c r="K279" s="15" t="n"/>
    </row>
    <row r="280">
      <c r="A280" s="15" t="n"/>
      <c r="B280" s="15" t="n"/>
      <c r="C280" s="61" t="n"/>
      <c r="D280" s="15" t="n"/>
      <c r="E280" s="15" t="n"/>
      <c r="F280" s="15" t="n"/>
      <c r="G280" s="15" t="n"/>
      <c r="H280" s="15" t="n"/>
      <c r="I280" s="15" t="n"/>
      <c r="J280" s="15" t="n"/>
      <c r="K280" s="15" t="n"/>
    </row>
    <row r="281">
      <c r="A281" s="15" t="n"/>
      <c r="B281" s="15" t="n"/>
      <c r="C281" s="61" t="n"/>
      <c r="D281" s="15" t="n"/>
      <c r="E281" s="15" t="n"/>
      <c r="F281" s="15" t="n"/>
      <c r="G281" s="15" t="n"/>
      <c r="H281" s="15" t="n"/>
      <c r="I281" s="15" t="n"/>
      <c r="J281" s="15" t="n"/>
      <c r="K281" s="15" t="n"/>
    </row>
    <row r="282">
      <c r="A282" s="15" t="n"/>
      <c r="B282" s="15" t="n"/>
      <c r="C282" s="61" t="n"/>
      <c r="D282" s="15" t="n"/>
      <c r="E282" s="15" t="n"/>
      <c r="F282" s="15" t="n"/>
      <c r="G282" s="15" t="n"/>
      <c r="H282" s="15" t="n"/>
      <c r="I282" s="15" t="n"/>
      <c r="J282" s="15" t="n"/>
      <c r="K282" s="15" t="n"/>
    </row>
    <row r="283">
      <c r="A283" s="15" t="n"/>
      <c r="B283" s="15" t="n"/>
      <c r="C283" s="61" t="n"/>
      <c r="D283" s="15" t="n"/>
      <c r="E283" s="15" t="n"/>
      <c r="F283" s="15" t="n"/>
      <c r="G283" s="15" t="n"/>
      <c r="H283" s="15" t="n"/>
      <c r="I283" s="15" t="n"/>
      <c r="J283" s="15" t="n"/>
      <c r="K283" s="15" t="n"/>
    </row>
    <row r="284">
      <c r="A284" s="15" t="n"/>
      <c r="B284" s="15" t="n"/>
      <c r="C284" s="61" t="n"/>
      <c r="D284" s="15" t="n"/>
      <c r="E284" s="15" t="n"/>
      <c r="F284" s="15" t="n"/>
      <c r="G284" s="15" t="n"/>
      <c r="H284" s="15" t="n"/>
      <c r="I284" s="15" t="n"/>
      <c r="J284" s="15" t="n"/>
      <c r="K284" s="15" t="n"/>
    </row>
    <row r="285">
      <c r="A285" s="15" t="n"/>
      <c r="B285" s="15" t="n"/>
      <c r="C285" s="61" t="n"/>
      <c r="D285" s="15" t="n"/>
      <c r="E285" s="15" t="n"/>
      <c r="F285" s="15" t="n"/>
      <c r="G285" s="15" t="n"/>
      <c r="H285" s="15" t="n"/>
      <c r="I285" s="15" t="n"/>
      <c r="J285" s="15" t="n"/>
      <c r="K285" s="15" t="n"/>
    </row>
    <row r="286">
      <c r="A286" s="15" t="n"/>
      <c r="B286" s="15" t="n"/>
      <c r="C286" s="61" t="n"/>
      <c r="D286" s="15" t="n"/>
      <c r="E286" s="15" t="n"/>
      <c r="F286" s="15" t="n"/>
      <c r="G286" s="15" t="n"/>
      <c r="H286" s="15" t="n"/>
      <c r="I286" s="15" t="n"/>
      <c r="J286" s="15" t="n"/>
      <c r="K286" s="15" t="n"/>
    </row>
    <row r="287">
      <c r="A287" s="15" t="n"/>
      <c r="B287" s="15" t="n"/>
      <c r="C287" s="61" t="n"/>
      <c r="D287" s="15" t="n"/>
      <c r="E287" s="15" t="n"/>
      <c r="F287" s="15" t="n"/>
      <c r="G287" s="15" t="n"/>
      <c r="H287" s="15" t="n"/>
      <c r="I287" s="15" t="n"/>
      <c r="J287" s="15" t="n"/>
      <c r="K287" s="15" t="n"/>
    </row>
    <row r="288">
      <c r="A288" s="15" t="n"/>
      <c r="B288" s="15" t="n"/>
      <c r="C288" s="61" t="n"/>
      <c r="D288" s="15" t="n"/>
      <c r="E288" s="15" t="n"/>
      <c r="F288" s="15" t="n"/>
      <c r="G288" s="15" t="n"/>
      <c r="H288" s="15" t="n"/>
      <c r="I288" s="15" t="n"/>
      <c r="J288" s="15" t="n"/>
      <c r="K288" s="15" t="n"/>
    </row>
    <row r="289">
      <c r="A289" s="15" t="n"/>
      <c r="B289" s="15" t="n"/>
      <c r="C289" s="61" t="n"/>
      <c r="D289" s="15" t="n"/>
      <c r="E289" s="15" t="n"/>
      <c r="F289" s="15" t="n"/>
      <c r="G289" s="15" t="n"/>
      <c r="H289" s="15" t="n"/>
      <c r="I289" s="15" t="n"/>
      <c r="J289" s="15" t="n"/>
      <c r="K289" s="15" t="n"/>
    </row>
    <row r="290">
      <c r="A290" s="15" t="n"/>
      <c r="B290" s="15" t="n"/>
      <c r="C290" s="61" t="n"/>
      <c r="D290" s="15" t="n"/>
      <c r="E290" s="15" t="n"/>
      <c r="F290" s="15" t="n"/>
      <c r="G290" s="15" t="n"/>
      <c r="H290" s="15" t="n"/>
      <c r="I290" s="15" t="n"/>
      <c r="J290" s="15" t="n"/>
      <c r="K290" s="15" t="n"/>
    </row>
    <row r="291">
      <c r="A291" s="15" t="n"/>
      <c r="B291" s="15" t="n"/>
      <c r="C291" s="61" t="n"/>
      <c r="D291" s="15" t="n"/>
      <c r="E291" s="15" t="n"/>
      <c r="F291" s="15" t="n"/>
      <c r="G291" s="15" t="n"/>
      <c r="H291" s="15" t="n"/>
      <c r="I291" s="15" t="n"/>
      <c r="J291" s="15" t="n"/>
      <c r="K291" s="15" t="n"/>
    </row>
    <row r="292">
      <c r="A292" s="15" t="n"/>
      <c r="B292" s="15" t="n"/>
      <c r="C292" s="61" t="n"/>
      <c r="D292" s="15" t="n"/>
      <c r="E292" s="15" t="n"/>
      <c r="F292" s="15" t="n"/>
      <c r="G292" s="15" t="n"/>
      <c r="H292" s="15" t="n"/>
      <c r="I292" s="15" t="n"/>
      <c r="J292" s="15" t="n"/>
      <c r="K292" s="15" t="n"/>
    </row>
    <row r="293">
      <c r="A293" s="15" t="n"/>
      <c r="B293" s="15" t="n"/>
      <c r="C293" s="61" t="n"/>
      <c r="D293" s="15" t="n"/>
      <c r="E293" s="15" t="n"/>
      <c r="F293" s="15" t="n"/>
      <c r="G293" s="15" t="n"/>
      <c r="H293" s="15" t="n"/>
      <c r="I293" s="15" t="n"/>
      <c r="J293" s="15" t="n"/>
      <c r="K293" s="15" t="n"/>
    </row>
    <row r="294">
      <c r="A294" s="15" t="n"/>
      <c r="B294" s="15" t="n"/>
      <c r="C294" s="61" t="n"/>
      <c r="D294" s="15" t="n"/>
      <c r="E294" s="15" t="n"/>
      <c r="F294" s="15" t="n"/>
      <c r="G294" s="15" t="n"/>
      <c r="H294" s="15" t="n"/>
      <c r="I294" s="15" t="n"/>
      <c r="J294" s="15" t="n"/>
      <c r="K294" s="15" t="n"/>
    </row>
    <row r="295">
      <c r="A295" s="15" t="n"/>
      <c r="B295" s="15" t="n"/>
      <c r="C295" s="61" t="n"/>
      <c r="D295" s="15" t="n"/>
      <c r="E295" s="15" t="n"/>
      <c r="F295" s="15" t="n"/>
      <c r="G295" s="15" t="n"/>
      <c r="H295" s="15" t="n"/>
      <c r="I295" s="15" t="n"/>
      <c r="J295" s="15" t="n"/>
      <c r="K295" s="15" t="n"/>
    </row>
    <row r="296">
      <c r="A296" s="15" t="n"/>
      <c r="B296" s="15" t="n"/>
      <c r="C296" s="61" t="n"/>
      <c r="D296" s="15" t="n"/>
      <c r="E296" s="15" t="n"/>
      <c r="F296" s="15" t="n"/>
      <c r="G296" s="15" t="n"/>
      <c r="H296" s="15" t="n"/>
      <c r="I296" s="15" t="n"/>
      <c r="J296" s="15" t="n"/>
      <c r="K296" s="15" t="n"/>
    </row>
    <row r="297">
      <c r="A297" s="15" t="n"/>
      <c r="B297" s="15" t="n"/>
      <c r="C297" s="61" t="n"/>
      <c r="D297" s="15" t="n"/>
      <c r="E297" s="15" t="n"/>
      <c r="F297" s="15" t="n"/>
      <c r="G297" s="15" t="n"/>
      <c r="H297" s="15" t="n"/>
      <c r="I297" s="15" t="n"/>
      <c r="J297" s="15" t="n"/>
      <c r="K297" s="15" t="n"/>
    </row>
    <row r="298">
      <c r="A298" s="15" t="n"/>
      <c r="B298" s="15" t="n"/>
      <c r="C298" s="61" t="n"/>
      <c r="D298" s="15" t="n"/>
      <c r="E298" s="15" t="n"/>
      <c r="F298" s="15" t="n"/>
      <c r="G298" s="15" t="n"/>
      <c r="H298" s="15" t="n"/>
      <c r="I298" s="15" t="n"/>
      <c r="J298" s="15" t="n"/>
      <c r="K298" s="15" t="n"/>
    </row>
    <row r="299">
      <c r="A299" s="15" t="n"/>
      <c r="B299" s="15" t="n"/>
      <c r="C299" s="61" t="n"/>
      <c r="D299" s="15" t="n"/>
      <c r="E299" s="15" t="n"/>
      <c r="F299" s="15" t="n"/>
      <c r="G299" s="15" t="n"/>
      <c r="H299" s="15" t="n"/>
      <c r="I299" s="15" t="n"/>
      <c r="J299" s="15" t="n"/>
      <c r="K299" s="15" t="n"/>
    </row>
    <row r="300">
      <c r="A300" s="15" t="n"/>
      <c r="B300" s="15" t="n"/>
      <c r="C300" s="61" t="n"/>
      <c r="D300" s="15" t="n"/>
      <c r="E300" s="15" t="n"/>
      <c r="F300" s="15" t="n"/>
      <c r="G300" s="15" t="n"/>
      <c r="H300" s="15" t="n"/>
      <c r="I300" s="15" t="n"/>
      <c r="J300" s="15" t="n"/>
      <c r="K300" s="15" t="n"/>
    </row>
    <row r="301">
      <c r="A301" s="15" t="n"/>
      <c r="B301" s="15" t="n"/>
      <c r="C301" s="61" t="n"/>
      <c r="D301" s="15" t="n"/>
      <c r="E301" s="15" t="n"/>
      <c r="F301" s="15" t="n"/>
      <c r="G301" s="15" t="n"/>
      <c r="H301" s="15" t="n"/>
      <c r="I301" s="15" t="n"/>
      <c r="J301" s="15" t="n"/>
      <c r="K301" s="15" t="n"/>
    </row>
  </sheetData>
  <dataValidations count="2">
    <dataValidation sqref="J2:J301" showDropDown="0" showInputMessage="0" showErrorMessage="0" allowBlank="0" type="list">
      <formula1>"Converges,Complements,Diverges,New insight"</formula1>
    </dataValidation>
    <dataValidation sqref="D2:D301" showDropDown="0" showInputMessage="0" showErrorMessage="0" allowBlank="0" type="list">
      <formula1>"IQ1,IQ2,IQ3,IQ4,IQ5,IQ6,IQ7,IQ8,IQ9,IQ10,IQ11,IQ12"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24" customWidth="1" min="4" max="4"/>
    <col width="38" customWidth="1" min="5" max="5"/>
    <col width="12" customWidth="1" min="6" max="6"/>
    <col width="28" customWidth="1" min="7" max="7"/>
  </cols>
  <sheetData>
    <row r="1" ht="28" customHeight="1">
      <c r="A1" s="25" t="inlineStr">
        <is>
          <t>Form Section</t>
        </is>
      </c>
      <c r="B1" s="25" t="inlineStr">
        <is>
          <t>Code</t>
        </is>
      </c>
      <c r="C1" s="25" t="inlineStr">
        <is>
          <t>Question / Statement</t>
        </is>
      </c>
      <c r="D1" s="25" t="inlineStr">
        <is>
          <t>Question Type</t>
        </is>
      </c>
      <c r="E1" s="25" t="inlineStr">
        <is>
          <t>Options / Scale</t>
        </is>
      </c>
      <c r="F1" s="25" t="inlineStr">
        <is>
          <t>Required?</t>
        </is>
      </c>
      <c r="G1" s="25" t="inlineStr">
        <is>
          <t>Notes</t>
        </is>
      </c>
    </row>
    <row r="2">
      <c r="A2" s="15" t="inlineStr">
        <is>
          <t>Opening</t>
        </is>
      </c>
      <c r="B2" s="15" t="inlineStr">
        <is>
          <t>Consent</t>
        </is>
      </c>
      <c r="C2" s="15" t="inlineStr">
        <is>
          <t>I have read the participant information and voluntarily agree to participate.</t>
        </is>
      </c>
      <c r="D2" s="15" t="inlineStr">
        <is>
          <t>Multiple choice</t>
        </is>
      </c>
      <c r="E2" s="15" t="inlineStr">
        <is>
          <t>Yes; No</t>
        </is>
      </c>
      <c r="F2" s="15" t="inlineStr">
        <is>
          <t>Yes</t>
        </is>
      </c>
      <c r="G2" s="15" t="inlineStr">
        <is>
          <t>Branch No to end form</t>
        </is>
      </c>
    </row>
    <row r="3">
      <c r="A3" s="15" t="inlineStr">
        <is>
          <t>Section A</t>
        </is>
      </c>
      <c r="B3" s="15" t="inlineStr">
        <is>
          <t>A1</t>
        </is>
      </c>
      <c r="C3" s="15" t="inlineStr">
        <is>
          <t>Gender (optional)</t>
        </is>
      </c>
      <c r="D3" s="15" t="inlineStr">
        <is>
          <t>Multiple choice</t>
        </is>
      </c>
      <c r="E3" s="15" t="inlineStr">
        <is>
          <t>Male; Female; Prefer not to say; Other</t>
        </is>
      </c>
      <c r="F3" s="15" t="inlineStr">
        <is>
          <t>No</t>
        </is>
      </c>
      <c r="G3" s="15" t="inlineStr">
        <is>
          <t>A1 optional</t>
        </is>
      </c>
    </row>
    <row r="4">
      <c r="A4" s="15" t="inlineStr">
        <is>
          <t>Section A</t>
        </is>
      </c>
      <c r="B4" s="15" t="inlineStr">
        <is>
          <t>A2</t>
        </is>
      </c>
      <c r="C4" s="15" t="inlineStr">
        <is>
          <t>Age group</t>
        </is>
      </c>
      <c r="D4" s="15" t="inlineStr">
        <is>
          <t>Multiple choice</t>
        </is>
      </c>
      <c r="E4" s="15" t="inlineStr">
        <is>
          <t>18-24; 25-34; 35-44; 45-54; 55 or above</t>
        </is>
      </c>
      <c r="F4" s="15" t="inlineStr">
        <is>
          <t>No</t>
        </is>
      </c>
      <c r="G4" s="15" t="inlineStr">
        <is>
          <t>A1 optional</t>
        </is>
      </c>
    </row>
    <row r="5">
      <c r="A5" s="15" t="inlineStr">
        <is>
          <t>Section A</t>
        </is>
      </c>
      <c r="B5" s="15" t="inlineStr">
        <is>
          <t>A3</t>
        </is>
      </c>
      <c r="C5" s="15" t="inlineStr">
        <is>
          <t>Highest qualification</t>
        </is>
      </c>
      <c r="D5" s="15" t="inlineStr">
        <is>
          <t>Multiple choice</t>
        </is>
      </c>
      <c r="E5" s="15" t="inlineStr">
        <is>
          <t>Diploma/OND/NCE; Bachelor/HND; Postgraduate Diploma; Master's; Doctorate; Other</t>
        </is>
      </c>
      <c r="F5" s="15" t="inlineStr">
        <is>
          <t>No</t>
        </is>
      </c>
      <c r="G5" s="15" t="inlineStr">
        <is>
          <t>A1 optional</t>
        </is>
      </c>
    </row>
    <row r="6">
      <c r="A6" s="15" t="inlineStr">
        <is>
          <t>Section A</t>
        </is>
      </c>
      <c r="B6" s="15" t="inlineStr">
        <is>
          <t>A4</t>
        </is>
      </c>
      <c r="C6" s="15" t="inlineStr">
        <is>
          <t>Type of institution</t>
        </is>
      </c>
      <c r="D6" s="15" t="inlineStr">
        <is>
          <t>Multiple choice</t>
        </is>
      </c>
      <c r="E6" s="15" t="inlineStr">
        <is>
          <t>Commercial bank; Digital bank/neobank; Merchant bank; Microfinance bank; Fintech/payment provider; Insurance/investment/other licensed financial institution</t>
        </is>
      </c>
      <c r="F6" s="15" t="inlineStr">
        <is>
          <t>No</t>
        </is>
      </c>
      <c r="G6" s="15" t="inlineStr">
        <is>
          <t>A1 optional</t>
        </is>
      </c>
    </row>
    <row r="7">
      <c r="A7" s="15" t="inlineStr">
        <is>
          <t>Section A</t>
        </is>
      </c>
      <c r="B7" s="15" t="inlineStr">
        <is>
          <t>A5</t>
        </is>
      </c>
      <c r="C7" s="15" t="inlineStr">
        <is>
          <t>Current functional role</t>
        </is>
      </c>
      <c r="D7" s="15" t="inlineStr">
        <is>
          <t>Multiple choice</t>
        </is>
      </c>
      <c r="E7" s="15" t="inlineStr">
        <is>
          <t>Digital Banking/Product; Data/Analytics/AI; IT/Technology; Customer Experience/Service; Relationship/Marketing; Risk/Compliance; Management/Strategy; Other</t>
        </is>
      </c>
      <c r="F7" s="15" t="inlineStr">
        <is>
          <t>No</t>
        </is>
      </c>
      <c r="G7" s="15" t="inlineStr">
        <is>
          <t>A1 optional</t>
        </is>
      </c>
    </row>
    <row r="8">
      <c r="A8" s="15" t="inlineStr">
        <is>
          <t>Section A</t>
        </is>
      </c>
      <c r="B8" s="15" t="inlineStr">
        <is>
          <t>A6</t>
        </is>
      </c>
      <c r="C8" s="15" t="inlineStr">
        <is>
          <t>Years of professional experience</t>
        </is>
      </c>
      <c r="D8" s="15" t="inlineStr">
        <is>
          <t>Multiple choice</t>
        </is>
      </c>
      <c r="E8" s="15" t="inlineStr">
        <is>
          <t>Less than 2; 2-5; 6-10; 11-15; 16 or more</t>
        </is>
      </c>
      <c r="F8" s="15" t="inlineStr">
        <is>
          <t>No</t>
        </is>
      </c>
      <c r="G8" s="15" t="inlineStr">
        <is>
          <t>A1 optional</t>
        </is>
      </c>
    </row>
    <row r="9">
      <c r="A9" s="15" t="inlineStr">
        <is>
          <t>Section A</t>
        </is>
      </c>
      <c r="B9" s="15" t="inlineStr">
        <is>
          <t>A7</t>
        </is>
      </c>
      <c r="C9" s="15" t="inlineStr">
        <is>
          <t>Direct involvement with digital banking, AI, analytics, customer experience or retention</t>
        </is>
      </c>
      <c r="D9" s="15" t="inlineStr">
        <is>
          <t>Multiple choice</t>
        </is>
      </c>
      <c r="E9" s="15" t="inlineStr">
        <is>
          <t>Yes; No</t>
        </is>
      </c>
      <c r="F9" s="15" t="inlineStr">
        <is>
          <t>Yes</t>
        </is>
      </c>
      <c r="G9" s="15" t="inlineStr">
        <is>
          <t>A1 optional</t>
        </is>
      </c>
    </row>
    <row r="10">
      <c r="A10" s="15" t="inlineStr">
        <is>
          <t>Section A</t>
        </is>
      </c>
      <c r="B10" s="15" t="inlineStr">
        <is>
          <t>A8</t>
        </is>
      </c>
      <c r="C10" s="15" t="inlineStr">
        <is>
          <t>AI adoption maturity for customer analytics/retention</t>
        </is>
      </c>
      <c r="D10" s="15" t="inlineStr">
        <is>
          <t>Multiple choice</t>
        </is>
      </c>
      <c r="E10" s="15" t="inlineStr">
        <is>
          <t>0=None; 1=Exploratory/pilot; 2=Limited deployment; 3=Established multi-use-case; 4=Advanced/enterprise-wide</t>
        </is>
      </c>
      <c r="F10" s="15" t="inlineStr">
        <is>
          <t>Yes</t>
        </is>
      </c>
      <c r="G10" s="15" t="inlineStr">
        <is>
          <t>A1 optional</t>
        </is>
      </c>
    </row>
    <row r="11">
      <c r="A11" s="15" t="inlineStr">
        <is>
          <t>Section A</t>
        </is>
      </c>
      <c r="B11" s="15" t="inlineStr">
        <is>
          <t>A9</t>
        </is>
      </c>
      <c r="C11" s="15" t="inlineStr">
        <is>
          <t>Institution currently uses predictive model/advanced analytics for churn risk</t>
        </is>
      </c>
      <c r="D11" s="15" t="inlineStr">
        <is>
          <t>Multiple choice</t>
        </is>
      </c>
      <c r="E11" s="15" t="inlineStr">
        <is>
          <t>Yes; No; Do not know</t>
        </is>
      </c>
      <c r="F11" s="15" t="inlineStr">
        <is>
          <t>Yes</t>
        </is>
      </c>
      <c r="G11" s="15" t="inlineStr">
        <is>
          <t>A1 optional</t>
        </is>
      </c>
    </row>
    <row r="12">
      <c r="A12" s="15" t="inlineStr">
        <is>
          <t>Section A</t>
        </is>
      </c>
      <c r="B12" s="15" t="inlineStr">
        <is>
          <t>A10</t>
        </is>
      </c>
      <c r="C12" s="15" t="inlineStr">
        <is>
          <t>Primary work location / responding unit is within Eti-Osa LGA</t>
        </is>
      </c>
      <c r="D12" s="15" t="inlineStr">
        <is>
          <t>Multiple choice</t>
        </is>
      </c>
      <c r="E12" s="15" t="inlineStr">
        <is>
          <t>Yes; No</t>
        </is>
      </c>
      <c r="F12" s="15" t="inlineStr">
        <is>
          <t>Yes</t>
        </is>
      </c>
      <c r="G12" s="15" t="inlineStr">
        <is>
          <t>A1 optional</t>
        </is>
      </c>
    </row>
    <row r="13">
      <c r="A13" s="15" t="inlineStr">
        <is>
          <t>Section B</t>
        </is>
      </c>
      <c r="B13" s="15" t="inlineStr">
        <is>
          <t>CHD1</t>
        </is>
      </c>
      <c r="C13" s="15" t="inlineStr">
        <is>
          <t>Frequent transaction failures increase the likelihood that customers reduce or stop using a bank.</t>
        </is>
      </c>
      <c r="D13" s="15" t="inlineStr">
        <is>
          <t>Linear scale / grid</t>
        </is>
      </c>
      <c r="E13" s="15" t="inlineStr">
        <is>
          <t>1=Strongly Disagree ... 5=Strongly Agree</t>
        </is>
      </c>
      <c r="F13" s="15" t="inlineStr">
        <is>
          <t>Yes</t>
        </is>
      </c>
      <c r="G13" s="15" t="inlineStr">
        <is>
          <t>Keep one response per row</t>
        </is>
      </c>
    </row>
    <row r="14">
      <c r="A14" s="15" t="inlineStr">
        <is>
          <t>Section B</t>
        </is>
      </c>
      <c r="B14" s="15" t="inlineStr">
        <is>
          <t>CHD2</t>
        </is>
      </c>
      <c r="C14" s="15" t="inlineStr">
        <is>
          <t>Unplanned downtime or unreliable digital channels contribute significantly to customer churn.</t>
        </is>
      </c>
      <c r="D14" s="15" t="inlineStr">
        <is>
          <t>Linear scale / grid</t>
        </is>
      </c>
      <c r="E14" s="15" t="inlineStr">
        <is>
          <t>1=Strongly Disagree ... 5=Strongly Agree</t>
        </is>
      </c>
      <c r="F14" s="15" t="inlineStr">
        <is>
          <t>Yes</t>
        </is>
      </c>
      <c r="G14" s="15" t="inlineStr">
        <is>
          <t>Keep one response per row</t>
        </is>
      </c>
    </row>
    <row r="15">
      <c r="A15" s="15" t="inlineStr">
        <is>
          <t>Section B</t>
        </is>
      </c>
      <c r="B15" s="15" t="inlineStr">
        <is>
          <t>CHD3</t>
        </is>
      </c>
      <c r="C15" s="15" t="inlineStr">
        <is>
          <t>Slow or ineffective resolution of complaints increases customers' likelihood of switching providers.</t>
        </is>
      </c>
      <c r="D15" s="15" t="inlineStr">
        <is>
          <t>Linear scale / grid</t>
        </is>
      </c>
      <c r="E15" s="15" t="inlineStr">
        <is>
          <t>1=Strongly Disagree ... 5=Strongly Agree</t>
        </is>
      </c>
      <c r="F15" s="15" t="inlineStr">
        <is>
          <t>Yes</t>
        </is>
      </c>
      <c r="G15" s="15" t="inlineStr">
        <is>
          <t>Keep one response per row</t>
        </is>
      </c>
    </row>
    <row r="16">
      <c r="A16" s="15" t="inlineStr">
        <is>
          <t>Section B</t>
        </is>
      </c>
      <c r="B16" s="15" t="inlineStr">
        <is>
          <t>CHD4</t>
        </is>
      </c>
      <c r="C16" s="15" t="inlineStr">
        <is>
          <t>High, unclear, or unexpected transaction charges contribute to customer churn.</t>
        </is>
      </c>
      <c r="D16" s="15" t="inlineStr">
        <is>
          <t>Linear scale / grid</t>
        </is>
      </c>
      <c r="E16" s="15" t="inlineStr">
        <is>
          <t>1=Strongly Disagree ... 5=Strongly Agree</t>
        </is>
      </c>
      <c r="F16" s="15" t="inlineStr">
        <is>
          <t>Yes</t>
        </is>
      </c>
      <c r="G16" s="15" t="inlineStr">
        <is>
          <t>Keep one response per row</t>
        </is>
      </c>
    </row>
    <row r="17">
      <c r="A17" s="15" t="inlineStr">
        <is>
          <t>Section B</t>
        </is>
      </c>
      <c r="B17" s="15" t="inlineStr">
        <is>
          <t>CHD5</t>
        </is>
      </c>
      <c r="C17" s="15" t="inlineStr">
        <is>
          <t>Fraud, cybersecurity incidents, or fear of financial loss reduce customers' willingness to remain with a provider.</t>
        </is>
      </c>
      <c r="D17" s="15" t="inlineStr">
        <is>
          <t>Linear scale / grid</t>
        </is>
      </c>
      <c r="E17" s="15" t="inlineStr">
        <is>
          <t>1=Strongly Disagree ... 5=Strongly Agree</t>
        </is>
      </c>
      <c r="F17" s="15" t="inlineStr">
        <is>
          <t>Yes</t>
        </is>
      </c>
      <c r="G17" s="15" t="inlineStr">
        <is>
          <t>Keep one response per row</t>
        </is>
      </c>
    </row>
    <row r="18">
      <c r="A18" s="15" t="inlineStr">
        <is>
          <t>Section B</t>
        </is>
      </c>
      <c r="B18" s="15" t="inlineStr">
        <is>
          <t>CHD6</t>
        </is>
      </c>
      <c r="C18" s="15" t="inlineStr">
        <is>
          <t>Poor usability or a difficult digital banking experience contributes to customer disengagement.</t>
        </is>
      </c>
      <c r="D18" s="15" t="inlineStr">
        <is>
          <t>Linear scale / grid</t>
        </is>
      </c>
      <c r="E18" s="15" t="inlineStr">
        <is>
          <t>1=Strongly Disagree ... 5=Strongly Agree</t>
        </is>
      </c>
      <c r="F18" s="15" t="inlineStr">
        <is>
          <t>Yes</t>
        </is>
      </c>
      <c r="G18" s="15" t="inlineStr">
        <is>
          <t>Keep one response per row</t>
        </is>
      </c>
    </row>
    <row r="19">
      <c r="A19" s="15" t="inlineStr">
        <is>
          <t>Section B</t>
        </is>
      </c>
      <c r="B19" s="15" t="inlineStr">
        <is>
          <t>CHD7</t>
        </is>
      </c>
      <c r="C19" s="15" t="inlineStr">
        <is>
          <t>Lack of relevant and personalized products or communication increases churn risk.</t>
        </is>
      </c>
      <c r="D19" s="15" t="inlineStr">
        <is>
          <t>Linear scale / grid</t>
        </is>
      </c>
      <c r="E19" s="15" t="inlineStr">
        <is>
          <t>1=Strongly Disagree ... 5=Strongly Agree</t>
        </is>
      </c>
      <c r="F19" s="15" t="inlineStr">
        <is>
          <t>Yes</t>
        </is>
      </c>
      <c r="G19" s="15" t="inlineStr">
        <is>
          <t>Keep one response per row</t>
        </is>
      </c>
    </row>
    <row r="20">
      <c r="A20" s="15" t="inlineStr">
        <is>
          <t>Section B</t>
        </is>
      </c>
      <c r="B20" s="15" t="inlineStr">
        <is>
          <t>CHD8</t>
        </is>
      </c>
      <c r="C20" s="15" t="inlineStr">
        <is>
          <t>More attractive services from fintechs, digital banks, or competing institutions increase customers' likelihood of switching.</t>
        </is>
      </c>
      <c r="D20" s="15" t="inlineStr">
        <is>
          <t>Linear scale / grid</t>
        </is>
      </c>
      <c r="E20" s="15" t="inlineStr">
        <is>
          <t>1=Strongly Disagree ... 5=Strongly Agree</t>
        </is>
      </c>
      <c r="F20" s="15" t="inlineStr">
        <is>
          <t>Yes</t>
        </is>
      </c>
      <c r="G20" s="15" t="inlineStr">
        <is>
          <t>Keep one response per row</t>
        </is>
      </c>
    </row>
    <row r="21">
      <c r="A21" s="15" t="inlineStr">
        <is>
          <t>Section B</t>
        </is>
      </c>
      <c r="B21" s="15" t="inlineStr">
        <is>
          <t>CHD9</t>
        </is>
      </c>
      <c r="C21" s="15" t="inlineStr">
        <is>
          <t>Declining trust in a financial institution is a major driver of customer churn.</t>
        </is>
      </c>
      <c r="D21" s="15" t="inlineStr">
        <is>
          <t>Linear scale / grid</t>
        </is>
      </c>
      <c r="E21" s="15" t="inlineStr">
        <is>
          <t>1=Strongly Disagree ... 5=Strongly Agree</t>
        </is>
      </c>
      <c r="F21" s="15" t="inlineStr">
        <is>
          <t>Yes</t>
        </is>
      </c>
      <c r="G21" s="15" t="inlineStr">
        <is>
          <t>Keep one response per row</t>
        </is>
      </c>
    </row>
    <row r="22">
      <c r="A22" s="15" t="inlineStr">
        <is>
          <t>Section B</t>
        </is>
      </c>
      <c r="B22" s="15" t="inlineStr">
        <is>
          <t>CHD10</t>
        </is>
      </c>
      <c r="C22" s="15" t="inlineStr">
        <is>
          <t>Repeated service problems can cause silent churn, where customers keep an account but move most activity elsewhere.</t>
        </is>
      </c>
      <c r="D22" s="15" t="inlineStr">
        <is>
          <t>Linear scale / grid</t>
        </is>
      </c>
      <c r="E22" s="15" t="inlineStr">
        <is>
          <t>1=Strongly Disagree ... 5=Strongly Agree</t>
        </is>
      </c>
      <c r="F22" s="15" t="inlineStr">
        <is>
          <t>Yes</t>
        </is>
      </c>
      <c r="G22" s="15" t="inlineStr">
        <is>
          <t>Keep one response per row</t>
        </is>
      </c>
    </row>
    <row r="23">
      <c r="A23" s="15" t="inlineStr">
        <is>
          <t>Section C</t>
        </is>
      </c>
      <c r="B23" s="15" t="inlineStr">
        <is>
          <t>AIA1</t>
        </is>
      </c>
      <c r="C23" s="15" t="inlineStr">
        <is>
          <t>My institution uses AI or advanced analytics to monitor changes in customer behaviour.</t>
        </is>
      </c>
      <c r="D23" s="15" t="inlineStr">
        <is>
          <t>Linear scale / grid</t>
        </is>
      </c>
      <c r="E23" s="15" t="inlineStr">
        <is>
          <t>1=Strongly Disagree ... 5=Strongly Agree</t>
        </is>
      </c>
      <c r="F23" s="15" t="inlineStr">
        <is>
          <t>Yes</t>
        </is>
      </c>
      <c r="G23" s="15" t="inlineStr">
        <is>
          <t>Keep one response per row</t>
        </is>
      </c>
    </row>
    <row r="24">
      <c r="A24" s="15" t="inlineStr">
        <is>
          <t>Section C</t>
        </is>
      </c>
      <c r="B24" s="15" t="inlineStr">
        <is>
          <t>AIA2</t>
        </is>
      </c>
      <c r="C24" s="15" t="inlineStr">
        <is>
          <t>Customer data from multiple digital touchpoints are integrated for churn or retention analysis.</t>
        </is>
      </c>
      <c r="D24" s="15" t="inlineStr">
        <is>
          <t>Linear scale / grid</t>
        </is>
      </c>
      <c r="E24" s="15" t="inlineStr">
        <is>
          <t>1=Strongly Disagree ... 5=Strongly Agree</t>
        </is>
      </c>
      <c r="F24" s="15" t="inlineStr">
        <is>
          <t>Yes</t>
        </is>
      </c>
      <c r="G24" s="15" t="inlineStr">
        <is>
          <t>Keep one response per row</t>
        </is>
      </c>
    </row>
    <row r="25">
      <c r="A25" s="15" t="inlineStr">
        <is>
          <t>Section C</t>
        </is>
      </c>
      <c r="B25" s="15" t="inlineStr">
        <is>
          <t>AIA3</t>
        </is>
      </c>
      <c r="C25" s="15" t="inlineStr">
        <is>
          <t>My institution uses automated or model-based risk scores to identify customers who may churn.</t>
        </is>
      </c>
      <c r="D25" s="15" t="inlineStr">
        <is>
          <t>Linear scale / grid</t>
        </is>
      </c>
      <c r="E25" s="15" t="inlineStr">
        <is>
          <t>1=Strongly Disagree ... 5=Strongly Agree</t>
        </is>
      </c>
      <c r="F25" s="15" t="inlineStr">
        <is>
          <t>Yes</t>
        </is>
      </c>
      <c r="G25" s="15" t="inlineStr">
        <is>
          <t>Keep one response per row</t>
        </is>
      </c>
    </row>
    <row r="26">
      <c r="A26" s="15" t="inlineStr">
        <is>
          <t>Section C</t>
        </is>
      </c>
      <c r="B26" s="15" t="inlineStr">
        <is>
          <t>AIA4</t>
        </is>
      </c>
      <c r="C26" s="15" t="inlineStr">
        <is>
          <t>AI-generated customer insights are integrated into customer-management or retention processes.</t>
        </is>
      </c>
      <c r="D26" s="15" t="inlineStr">
        <is>
          <t>Linear scale / grid</t>
        </is>
      </c>
      <c r="E26" s="15" t="inlineStr">
        <is>
          <t>1=Strongly Disagree ... 5=Strongly Agree</t>
        </is>
      </c>
      <c r="F26" s="15" t="inlineStr">
        <is>
          <t>Yes</t>
        </is>
      </c>
      <c r="G26" s="15" t="inlineStr">
        <is>
          <t>Keep one response per row</t>
        </is>
      </c>
    </row>
    <row r="27">
      <c r="A27" s="15" t="inlineStr">
        <is>
          <t>Section C</t>
        </is>
      </c>
      <c r="B27" s="15" t="inlineStr">
        <is>
          <t>AIA5</t>
        </is>
      </c>
      <c r="C27" s="15" t="inlineStr">
        <is>
          <t>AI or predictive models used for customer analytics are reviewed or updated as customer behaviour changes.</t>
        </is>
      </c>
      <c r="D27" s="15" t="inlineStr">
        <is>
          <t>Linear scale / grid</t>
        </is>
      </c>
      <c r="E27" s="15" t="inlineStr">
        <is>
          <t>1=Strongly Disagree ... 5=Strongly Agree</t>
        </is>
      </c>
      <c r="F27" s="15" t="inlineStr">
        <is>
          <t>Yes</t>
        </is>
      </c>
      <c r="G27" s="15" t="inlineStr">
        <is>
          <t>Keep one response per row</t>
        </is>
      </c>
    </row>
    <row r="28">
      <c r="A28" s="15" t="inlineStr">
        <is>
          <t>Section C</t>
        </is>
      </c>
      <c r="B28" s="15" t="inlineStr">
        <is>
          <t>AIA6</t>
        </is>
      </c>
      <c r="C28" s="15" t="inlineStr">
        <is>
          <t>Relevant staff can access AI-generated insights when making customer-retention decisions.</t>
        </is>
      </c>
      <c r="D28" s="15" t="inlineStr">
        <is>
          <t>Linear scale / grid</t>
        </is>
      </c>
      <c r="E28" s="15" t="inlineStr">
        <is>
          <t>1=Strongly Disagree ... 5=Strongly Agree</t>
        </is>
      </c>
      <c r="F28" s="15" t="inlineStr">
        <is>
          <t>Yes</t>
        </is>
      </c>
      <c r="G28" s="15" t="inlineStr">
        <is>
          <t>Keep one response per row</t>
        </is>
      </c>
    </row>
    <row r="29">
      <c r="A29" s="15" t="inlineStr">
        <is>
          <t>Section C</t>
        </is>
      </c>
      <c r="B29" s="15" t="inlineStr">
        <is>
          <t>AIA7</t>
        </is>
      </c>
      <c r="C29" s="15" t="inlineStr">
        <is>
          <t>Senior management supports the use of AI and analytics for customer-retention decisions.</t>
        </is>
      </c>
      <c r="D29" s="15" t="inlineStr">
        <is>
          <t>Linear scale / grid</t>
        </is>
      </c>
      <c r="E29" s="15" t="inlineStr">
        <is>
          <t>1=Strongly Disagree ... 5=Strongly Agree</t>
        </is>
      </c>
      <c r="F29" s="15" t="inlineStr">
        <is>
          <t>Yes</t>
        </is>
      </c>
      <c r="G29" s="15" t="inlineStr">
        <is>
          <t>Keep one response per row</t>
        </is>
      </c>
    </row>
    <row r="30">
      <c r="A30" s="15" t="inlineStr">
        <is>
          <t>Section C</t>
        </is>
      </c>
      <c r="B30" s="15" t="inlineStr">
        <is>
          <t>AIA8</t>
        </is>
      </c>
      <c r="C30" s="15" t="inlineStr">
        <is>
          <t>My institution has the data, skills, technology, and operating processes required to use AI effectively for customer retention.</t>
        </is>
      </c>
      <c r="D30" s="15" t="inlineStr">
        <is>
          <t>Linear scale / grid</t>
        </is>
      </c>
      <c r="E30" s="15" t="inlineStr">
        <is>
          <t>1=Strongly Disagree ... 5=Strongly Agree</t>
        </is>
      </c>
      <c r="F30" s="15" t="inlineStr">
        <is>
          <t>Yes</t>
        </is>
      </c>
      <c r="G30" s="15" t="inlineStr">
        <is>
          <t>Keep one response per row</t>
        </is>
      </c>
    </row>
    <row r="31">
      <c r="A31" s="15" t="inlineStr">
        <is>
          <t>Section D</t>
        </is>
      </c>
      <c r="B31" s="15" t="inlineStr">
        <is>
          <t>PAC1</t>
        </is>
      </c>
      <c r="C31" s="15" t="inlineStr">
        <is>
          <t>AI-driven analytics can identify customers at risk of churn before they fully disengage.</t>
        </is>
      </c>
      <c r="D31" s="15" t="inlineStr">
        <is>
          <t>Linear scale / grid</t>
        </is>
      </c>
      <c r="E31" s="15" t="inlineStr">
        <is>
          <t>1=Strongly Disagree ... 5=Strongly Agree</t>
        </is>
      </c>
      <c r="F31" s="15" t="inlineStr">
        <is>
          <t>Yes</t>
        </is>
      </c>
      <c r="G31" s="15" t="inlineStr">
        <is>
          <t>Keep one response per row</t>
        </is>
      </c>
    </row>
    <row r="32">
      <c r="A32" s="15" t="inlineStr">
        <is>
          <t>Section D</t>
        </is>
      </c>
      <c r="B32" s="15" t="inlineStr">
        <is>
          <t>PAC2</t>
        </is>
      </c>
      <c r="C32" s="15" t="inlineStr">
        <is>
          <t>Predictive analytics can detect silent churn through declining transaction or channel-usage patterns.</t>
        </is>
      </c>
      <c r="D32" s="15" t="inlineStr">
        <is>
          <t>Linear scale / grid</t>
        </is>
      </c>
      <c r="E32" s="15" t="inlineStr">
        <is>
          <t>1=Strongly Disagree ... 5=Strongly Agree</t>
        </is>
      </c>
      <c r="F32" s="15" t="inlineStr">
        <is>
          <t>Yes</t>
        </is>
      </c>
      <c r="G32" s="15" t="inlineStr">
        <is>
          <t>Keep one response per row</t>
        </is>
      </c>
    </row>
    <row r="33">
      <c r="A33" s="15" t="inlineStr">
        <is>
          <t>Section D</t>
        </is>
      </c>
      <c r="B33" s="15" t="inlineStr">
        <is>
          <t>PAC3</t>
        </is>
      </c>
      <c r="C33" s="15" t="inlineStr">
        <is>
          <t>Churn models can identify the main factors contributing to an individual customer's churn risk.</t>
        </is>
      </c>
      <c r="D33" s="15" t="inlineStr">
        <is>
          <t>Linear scale / grid</t>
        </is>
      </c>
      <c r="E33" s="15" t="inlineStr">
        <is>
          <t>1=Strongly Disagree ... 5=Strongly Agree</t>
        </is>
      </c>
      <c r="F33" s="15" t="inlineStr">
        <is>
          <t>Yes</t>
        </is>
      </c>
      <c r="G33" s="15" t="inlineStr">
        <is>
          <t>Keep one response per row</t>
        </is>
      </c>
    </row>
    <row r="34">
      <c r="A34" s="15" t="inlineStr">
        <is>
          <t>Section D</t>
        </is>
      </c>
      <c r="B34" s="15" t="inlineStr">
        <is>
          <t>PAC4</t>
        </is>
      </c>
      <c r="C34" s="15" t="inlineStr">
        <is>
          <t>The churn-risk outputs available to my institution are sufficiently accurate to support retention decisions.</t>
        </is>
      </c>
      <c r="D34" s="15" t="inlineStr">
        <is>
          <t>Linear scale / grid</t>
        </is>
      </c>
      <c r="E34" s="15" t="inlineStr">
        <is>
          <t>1=Strongly Disagree ... 5=Strongly Agree</t>
        </is>
      </c>
      <c r="F34" s="15" t="inlineStr">
        <is>
          <t>Yes</t>
        </is>
      </c>
      <c r="G34" s="15" t="inlineStr">
        <is>
          <t>Keep one response per row</t>
        </is>
      </c>
    </row>
    <row r="35">
      <c r="A35" s="15" t="inlineStr">
        <is>
          <t>Section D</t>
        </is>
      </c>
      <c r="B35" s="15" t="inlineStr">
        <is>
          <t>PAC5</t>
        </is>
      </c>
      <c r="C35" s="15" t="inlineStr">
        <is>
          <t>Churn-risk alerts are produced early enough for the institution to intervene.</t>
        </is>
      </c>
      <c r="D35" s="15" t="inlineStr">
        <is>
          <t>Linear scale / grid</t>
        </is>
      </c>
      <c r="E35" s="15" t="inlineStr">
        <is>
          <t>1=Strongly Disagree ... 5=Strongly Agree</t>
        </is>
      </c>
      <c r="F35" s="15" t="inlineStr">
        <is>
          <t>Yes</t>
        </is>
      </c>
      <c r="G35" s="15" t="inlineStr">
        <is>
          <t>Keep one response per row</t>
        </is>
      </c>
    </row>
    <row r="36">
      <c r="A36" s="15" t="inlineStr">
        <is>
          <t>Section D</t>
        </is>
      </c>
      <c r="B36" s="15" t="inlineStr">
        <is>
          <t>PAC6</t>
        </is>
      </c>
      <c r="C36" s="15" t="inlineStr">
        <is>
          <t>Predictive analytics helps prioritize customers who require urgent retention attention.</t>
        </is>
      </c>
      <c r="D36" s="15" t="inlineStr">
        <is>
          <t>Linear scale / grid</t>
        </is>
      </c>
      <c r="E36" s="15" t="inlineStr">
        <is>
          <t>1=Strongly Disagree ... 5=Strongly Agree</t>
        </is>
      </c>
      <c r="F36" s="15" t="inlineStr">
        <is>
          <t>Yes</t>
        </is>
      </c>
      <c r="G36" s="15" t="inlineStr">
        <is>
          <t>Keep one response per row</t>
        </is>
      </c>
    </row>
    <row r="37">
      <c r="A37" s="15" t="inlineStr">
        <is>
          <t>Section D</t>
        </is>
      </c>
      <c r="B37" s="15" t="inlineStr">
        <is>
          <t>PAC7</t>
        </is>
      </c>
      <c r="C37" s="15" t="inlineStr">
        <is>
          <t>The reasons behind churn predictions can be explained clearly enough to guide an appropriate response.</t>
        </is>
      </c>
      <c r="D37" s="15" t="inlineStr">
        <is>
          <t>Linear scale / grid</t>
        </is>
      </c>
      <c r="E37" s="15" t="inlineStr">
        <is>
          <t>1=Strongly Disagree ... 5=Strongly Agree</t>
        </is>
      </c>
      <c r="F37" s="15" t="inlineStr">
        <is>
          <t>Yes</t>
        </is>
      </c>
      <c r="G37" s="15" t="inlineStr">
        <is>
          <t>Keep one response per row</t>
        </is>
      </c>
    </row>
    <row r="38">
      <c r="A38" s="15" t="inlineStr">
        <is>
          <t>Section D</t>
        </is>
      </c>
      <c r="B38" s="15" t="inlineStr">
        <is>
          <t>PAC8</t>
        </is>
      </c>
      <c r="C38" s="15" t="inlineStr">
        <is>
          <t>The performance of churn-prediction models can be monitored and adjusted when customer behaviour or market conditions change.</t>
        </is>
      </c>
      <c r="D38" s="15" t="inlineStr">
        <is>
          <t>Linear scale / grid</t>
        </is>
      </c>
      <c r="E38" s="15" t="inlineStr">
        <is>
          <t>1=Strongly Disagree ... 5=Strongly Agree</t>
        </is>
      </c>
      <c r="F38" s="15" t="inlineStr">
        <is>
          <t>Yes</t>
        </is>
      </c>
      <c r="G38" s="15" t="inlineStr">
        <is>
          <t>Keep one response per row</t>
        </is>
      </c>
    </row>
    <row r="39">
      <c r="A39" s="15" t="inlineStr">
        <is>
          <t>Section E</t>
        </is>
      </c>
      <c r="B39" s="15" t="inlineStr">
        <is>
          <t>MLU1</t>
        </is>
      </c>
      <c r="C39" s="15" t="inlineStr">
        <is>
          <t>Logistic regression is suitable for customer churn prediction in Nigerian digital banking institutions.</t>
        </is>
      </c>
      <c r="D39" s="15" t="inlineStr">
        <is>
          <t>Linear scale / grid</t>
        </is>
      </c>
      <c r="E39" s="15" t="inlineStr">
        <is>
          <t>1=Strongly Disagree ... 5=Strongly Agree</t>
        </is>
      </c>
      <c r="F39" s="15" t="inlineStr">
        <is>
          <t>Yes</t>
        </is>
      </c>
      <c r="G39" s="15" t="inlineStr">
        <is>
          <t>Keep one response per row</t>
        </is>
      </c>
    </row>
    <row r="40">
      <c r="A40" s="15" t="inlineStr">
        <is>
          <t>Section E</t>
        </is>
      </c>
      <c r="B40" s="15" t="inlineStr">
        <is>
          <t>MLU2</t>
        </is>
      </c>
      <c r="C40" s="15" t="inlineStr">
        <is>
          <t>Decision-tree models are suitable for customer churn prediction in Nigerian digital banking institutions.</t>
        </is>
      </c>
      <c r="D40" s="15" t="inlineStr">
        <is>
          <t>Linear scale / grid</t>
        </is>
      </c>
      <c r="E40" s="15" t="inlineStr">
        <is>
          <t>1=Strongly Disagree ... 5=Strongly Agree</t>
        </is>
      </c>
      <c r="F40" s="15" t="inlineStr">
        <is>
          <t>Yes</t>
        </is>
      </c>
      <c r="G40" s="15" t="inlineStr">
        <is>
          <t>Keep one response per row</t>
        </is>
      </c>
    </row>
    <row r="41">
      <c r="A41" s="15" t="inlineStr">
        <is>
          <t>Section E</t>
        </is>
      </c>
      <c r="B41" s="15" t="inlineStr">
        <is>
          <t>MLU3</t>
        </is>
      </c>
      <c r="C41" s="15" t="inlineStr">
        <is>
          <t>Random Forest models are suitable for customer churn prediction in Nigerian digital banking institutions.</t>
        </is>
      </c>
      <c r="D41" s="15" t="inlineStr">
        <is>
          <t>Linear scale / grid</t>
        </is>
      </c>
      <c r="E41" s="15" t="inlineStr">
        <is>
          <t>1=Strongly Disagree ... 5=Strongly Agree</t>
        </is>
      </c>
      <c r="F41" s="15" t="inlineStr">
        <is>
          <t>Yes</t>
        </is>
      </c>
      <c r="G41" s="15" t="inlineStr">
        <is>
          <t>Keep one response per row</t>
        </is>
      </c>
    </row>
    <row r="42">
      <c r="A42" s="15" t="inlineStr">
        <is>
          <t>Section E</t>
        </is>
      </c>
      <c r="B42" s="15" t="inlineStr">
        <is>
          <t>MLU4</t>
        </is>
      </c>
      <c r="C42" s="15" t="inlineStr">
        <is>
          <t>Gradient-boosting techniques such as XGBoost or LightGBM are suitable for customer churn prediction in Nigerian digital banking institutions.</t>
        </is>
      </c>
      <c r="D42" s="15" t="inlineStr">
        <is>
          <t>Linear scale / grid</t>
        </is>
      </c>
      <c r="E42" s="15" t="inlineStr">
        <is>
          <t>1=Strongly Disagree ... 5=Strongly Agree</t>
        </is>
      </c>
      <c r="F42" s="15" t="inlineStr">
        <is>
          <t>Yes</t>
        </is>
      </c>
      <c r="G42" s="15" t="inlineStr">
        <is>
          <t>Keep one response per row</t>
        </is>
      </c>
    </row>
    <row r="43">
      <c r="A43" s="15" t="inlineStr">
        <is>
          <t>Section E</t>
        </is>
      </c>
      <c r="B43" s="15" t="inlineStr">
        <is>
          <t>MLU5</t>
        </is>
      </c>
      <c r="C43" s="15" t="inlineStr">
        <is>
          <t>Support Vector Machines are suitable for customer churn prediction in Nigerian digital banking institutions.</t>
        </is>
      </c>
      <c r="D43" s="15" t="inlineStr">
        <is>
          <t>Linear scale / grid</t>
        </is>
      </c>
      <c r="E43" s="15" t="inlineStr">
        <is>
          <t>1=Strongly Disagree ... 5=Strongly Agree</t>
        </is>
      </c>
      <c r="F43" s="15" t="inlineStr">
        <is>
          <t>Yes</t>
        </is>
      </c>
      <c r="G43" s="15" t="inlineStr">
        <is>
          <t>Keep one response per row</t>
        </is>
      </c>
    </row>
    <row r="44">
      <c r="A44" s="15" t="inlineStr">
        <is>
          <t>Section E</t>
        </is>
      </c>
      <c r="B44" s="15" t="inlineStr">
        <is>
          <t>MLU6</t>
        </is>
      </c>
      <c r="C44" s="15" t="inlineStr">
        <is>
          <t>Artificial neural networks are suitable for customer churn prediction in Nigerian digital banking institutions.</t>
        </is>
      </c>
      <c r="D44" s="15" t="inlineStr">
        <is>
          <t>Linear scale / grid</t>
        </is>
      </c>
      <c r="E44" s="15" t="inlineStr">
        <is>
          <t>1=Strongly Disagree ... 5=Strongly Agree</t>
        </is>
      </c>
      <c r="F44" s="15" t="inlineStr">
        <is>
          <t>Yes</t>
        </is>
      </c>
      <c r="G44" s="15" t="inlineStr">
        <is>
          <t>Keep one response per row</t>
        </is>
      </c>
    </row>
    <row r="45">
      <c r="A45" s="15" t="inlineStr">
        <is>
          <t>Section E</t>
        </is>
      </c>
      <c r="B45" s="15" t="inlineStr">
        <is>
          <t>MLU7</t>
        </is>
      </c>
      <c r="C45" s="15" t="inlineStr">
        <is>
          <t>Deep-learning methods are useful where sequential or high-volume customer transaction data are available.</t>
        </is>
      </c>
      <c r="D45" s="15" t="inlineStr">
        <is>
          <t>Linear scale / grid</t>
        </is>
      </c>
      <c r="E45" s="15" t="inlineStr">
        <is>
          <t>1=Strongly Disagree ... 5=Strongly Agree</t>
        </is>
      </c>
      <c r="F45" s="15" t="inlineStr">
        <is>
          <t>Yes</t>
        </is>
      </c>
      <c r="G45" s="15" t="inlineStr">
        <is>
          <t>Keep one response per row</t>
        </is>
      </c>
    </row>
    <row r="46">
      <c r="A46" s="15" t="inlineStr">
        <is>
          <t>Section E</t>
        </is>
      </c>
      <c r="B46" s="15" t="inlineStr">
        <is>
          <t>MLU8</t>
        </is>
      </c>
      <c r="C46" s="15" t="inlineStr">
        <is>
          <t>Customer segmentation or clustering should be combined with predictive models to improve churn-management decisions.</t>
        </is>
      </c>
      <c r="D46" s="15" t="inlineStr">
        <is>
          <t>Linear scale / grid</t>
        </is>
      </c>
      <c r="E46" s="15" t="inlineStr">
        <is>
          <t>1=Strongly Disagree ... 5=Strongly Agree</t>
        </is>
      </c>
      <c r="F46" s="15" t="inlineStr">
        <is>
          <t>Yes</t>
        </is>
      </c>
      <c r="G46" s="15" t="inlineStr">
        <is>
          <t>Keep one response per row</t>
        </is>
      </c>
    </row>
    <row r="47">
      <c r="A47" s="15" t="inlineStr">
        <is>
          <t>Section E</t>
        </is>
      </c>
      <c r="B47" s="15" t="inlineStr">
        <is>
          <t>MLU9</t>
        </is>
      </c>
      <c r="C47" s="15" t="inlineStr">
        <is>
          <t>Explainable-AI techniques such as SHAP or LIME are important for making churn predictions actionable and trustworthy.</t>
        </is>
      </c>
      <c r="D47" s="15" t="inlineStr">
        <is>
          <t>Linear scale / grid</t>
        </is>
      </c>
      <c r="E47" s="15" t="inlineStr">
        <is>
          <t>1=Strongly Disagree ... 5=Strongly Agree</t>
        </is>
      </c>
      <c r="F47" s="15" t="inlineStr">
        <is>
          <t>Yes</t>
        </is>
      </c>
      <c r="G47" s="15" t="inlineStr">
        <is>
          <t>Keep one response per row</t>
        </is>
      </c>
    </row>
    <row r="48">
      <c r="A48" s="15" t="inlineStr">
        <is>
          <t>Section F1</t>
        </is>
      </c>
      <c r="B48" s="15" t="inlineStr">
        <is>
          <t>RSO1</t>
        </is>
      </c>
      <c r="C48" s="15" t="inlineStr">
        <is>
          <t>AI-generated churn insights enable the institution to target retention actions at the customers who need them most.</t>
        </is>
      </c>
      <c r="D48" s="15" t="inlineStr">
        <is>
          <t>Linear scale / grid</t>
        </is>
      </c>
      <c r="E48" s="15" t="inlineStr">
        <is>
          <t>1=Strongly Disagree ... 5=Strongly Agree</t>
        </is>
      </c>
      <c r="F48" s="15" t="inlineStr">
        <is>
          <t>Yes</t>
        </is>
      </c>
      <c r="G48" s="15" t="inlineStr">
        <is>
          <t>Keep one response per row</t>
        </is>
      </c>
    </row>
    <row r="49">
      <c r="A49" s="15" t="inlineStr">
        <is>
          <t>Section F1</t>
        </is>
      </c>
      <c r="B49" s="15" t="inlineStr">
        <is>
          <t>RSO2</t>
        </is>
      </c>
      <c r="C49" s="15" t="inlineStr">
        <is>
          <t>Predictive insights improve the personalization of retention offers and customer communication.</t>
        </is>
      </c>
      <c r="D49" s="15" t="inlineStr">
        <is>
          <t>Linear scale / grid</t>
        </is>
      </c>
      <c r="E49" s="15" t="inlineStr">
        <is>
          <t>1=Strongly Disagree ... 5=Strongly Agree</t>
        </is>
      </c>
      <c r="F49" s="15" t="inlineStr">
        <is>
          <t>Yes</t>
        </is>
      </c>
      <c r="G49" s="15" t="inlineStr">
        <is>
          <t>Keep one response per row</t>
        </is>
      </c>
    </row>
    <row r="50">
      <c r="A50" s="15" t="inlineStr">
        <is>
          <t>Section F1</t>
        </is>
      </c>
      <c r="B50" s="15" t="inlineStr">
        <is>
          <t>RSO3</t>
        </is>
      </c>
      <c r="C50" s="15" t="inlineStr">
        <is>
          <t>AI-generated insights improve the timing of retention interventions.</t>
        </is>
      </c>
      <c r="D50" s="15" t="inlineStr">
        <is>
          <t>Linear scale / grid</t>
        </is>
      </c>
      <c r="E50" s="15" t="inlineStr">
        <is>
          <t>1=Strongly Disagree ... 5=Strongly Agree</t>
        </is>
      </c>
      <c r="F50" s="15" t="inlineStr">
        <is>
          <t>Yes</t>
        </is>
      </c>
      <c r="G50" s="15" t="inlineStr">
        <is>
          <t>Keep one response per row</t>
        </is>
      </c>
    </row>
    <row r="51">
      <c r="A51" s="15" t="inlineStr">
        <is>
          <t>Section F1</t>
        </is>
      </c>
      <c r="B51" s="15" t="inlineStr">
        <is>
          <t>RSO4</t>
        </is>
      </c>
      <c r="C51" s="15" t="inlineStr">
        <is>
          <t>Predictive analytics helps select the most appropriate communication channel or treatment for an at-risk customer.</t>
        </is>
      </c>
      <c r="D51" s="15" t="inlineStr">
        <is>
          <t>Linear scale / grid</t>
        </is>
      </c>
      <c r="E51" s="15" t="inlineStr">
        <is>
          <t>1=Strongly Disagree ... 5=Strongly Agree</t>
        </is>
      </c>
      <c r="F51" s="15" t="inlineStr">
        <is>
          <t>Yes</t>
        </is>
      </c>
      <c r="G51" s="15" t="inlineStr">
        <is>
          <t>Keep one response per row</t>
        </is>
      </c>
    </row>
    <row r="52">
      <c r="A52" s="15" t="inlineStr">
        <is>
          <t>Section F1</t>
        </is>
      </c>
      <c r="B52" s="15" t="inlineStr">
        <is>
          <t>RSO5</t>
        </is>
      </c>
      <c r="C52" s="15" t="inlineStr">
        <is>
          <t>Combining churn risk with customer value helps the institution prioritize retention resources more effectively.</t>
        </is>
      </c>
      <c r="D52" s="15" t="inlineStr">
        <is>
          <t>Linear scale / grid</t>
        </is>
      </c>
      <c r="E52" s="15" t="inlineStr">
        <is>
          <t>1=Strongly Disagree ... 5=Strongly Agree</t>
        </is>
      </c>
      <c r="F52" s="15" t="inlineStr">
        <is>
          <t>Yes</t>
        </is>
      </c>
      <c r="G52" s="15" t="inlineStr">
        <is>
          <t>Keep one response per row</t>
        </is>
      </c>
    </row>
    <row r="53">
      <c r="A53" s="15" t="inlineStr">
        <is>
          <t>Section F1</t>
        </is>
      </c>
      <c r="B53" s="15" t="inlineStr">
        <is>
          <t>RSO6</t>
        </is>
      </c>
      <c r="C53" s="15" t="inlineStr">
        <is>
          <t>Knowing the likely reason for churn enables more appropriate service-recovery actions.</t>
        </is>
      </c>
      <c r="D53" s="15" t="inlineStr">
        <is>
          <t>Linear scale / grid</t>
        </is>
      </c>
      <c r="E53" s="15" t="inlineStr">
        <is>
          <t>1=Strongly Disagree ... 5=Strongly Agree</t>
        </is>
      </c>
      <c r="F53" s="15" t="inlineStr">
        <is>
          <t>Yes</t>
        </is>
      </c>
      <c r="G53" s="15" t="inlineStr">
        <is>
          <t>Keep one response per row</t>
        </is>
      </c>
    </row>
    <row r="54">
      <c r="A54" s="15" t="inlineStr">
        <is>
          <t>Section F1</t>
        </is>
      </c>
      <c r="B54" s="15" t="inlineStr">
        <is>
          <t>RSO7</t>
        </is>
      </c>
      <c r="C54" s="15" t="inlineStr">
        <is>
          <t>AI-driven targeting reduces wasteful retention spending on customers who do not require intervention.</t>
        </is>
      </c>
      <c r="D54" s="15" t="inlineStr">
        <is>
          <t>Linear scale / grid</t>
        </is>
      </c>
      <c r="E54" s="15" t="inlineStr">
        <is>
          <t>1=Strongly Disagree ... 5=Strongly Agree</t>
        </is>
      </c>
      <c r="F54" s="15" t="inlineStr">
        <is>
          <t>Yes</t>
        </is>
      </c>
      <c r="G54" s="15" t="inlineStr">
        <is>
          <t>Keep one response per row</t>
        </is>
      </c>
    </row>
    <row r="55">
      <c r="A55" s="15" t="inlineStr">
        <is>
          <t>Section F1</t>
        </is>
      </c>
      <c r="B55" s="15" t="inlineStr">
        <is>
          <t>RSO8</t>
        </is>
      </c>
      <c r="C55" s="15" t="inlineStr">
        <is>
          <t>Feedback from retention outcomes is used to improve future churn models and interventions.</t>
        </is>
      </c>
      <c r="D55" s="15" t="inlineStr">
        <is>
          <t>Linear scale / grid</t>
        </is>
      </c>
      <c r="E55" s="15" t="inlineStr">
        <is>
          <t>1=Strongly Disagree ... 5=Strongly Agree</t>
        </is>
      </c>
      <c r="F55" s="15" t="inlineStr">
        <is>
          <t>Yes</t>
        </is>
      </c>
      <c r="G55" s="15" t="inlineStr">
        <is>
          <t>Keep one response per row</t>
        </is>
      </c>
    </row>
    <row r="56">
      <c r="A56" s="15" t="inlineStr">
        <is>
          <t>Section F2</t>
        </is>
      </c>
      <c r="B56" s="15" t="inlineStr">
        <is>
          <t>CRE1</t>
        </is>
      </c>
      <c r="C56" s="15" t="inlineStr">
        <is>
          <t>AI-driven predictive analytics has contributed to reducing customer churn in my institution.</t>
        </is>
      </c>
      <c r="D56" s="15" t="inlineStr">
        <is>
          <t>Linear scale / grid</t>
        </is>
      </c>
      <c r="E56" s="15" t="inlineStr">
        <is>
          <t>1=Strongly Disagree ... 5=Strongly Agree</t>
        </is>
      </c>
      <c r="F56" s="15" t="inlineStr">
        <is>
          <t>Yes</t>
        </is>
      </c>
      <c r="G56" s="15" t="inlineStr">
        <is>
          <t>Keep one response per row</t>
        </is>
      </c>
    </row>
    <row r="57">
      <c r="A57" s="15" t="inlineStr">
        <is>
          <t>Section F2</t>
        </is>
      </c>
      <c r="B57" s="15" t="inlineStr">
        <is>
          <t>CRE2</t>
        </is>
      </c>
      <c r="C57" s="15" t="inlineStr">
        <is>
          <t>AI-enabled retention practices have helped sustain customers' use of digital banking services.</t>
        </is>
      </c>
      <c r="D57" s="15" t="inlineStr">
        <is>
          <t>Linear scale / grid</t>
        </is>
      </c>
      <c r="E57" s="15" t="inlineStr">
        <is>
          <t>1=Strongly Disagree ... 5=Strongly Agree</t>
        </is>
      </c>
      <c r="F57" s="15" t="inlineStr">
        <is>
          <t>Yes</t>
        </is>
      </c>
      <c r="G57" s="15" t="inlineStr">
        <is>
          <t>Keep one response per row</t>
        </is>
      </c>
    </row>
    <row r="58">
      <c r="A58" s="15" t="inlineStr">
        <is>
          <t>Section F2</t>
        </is>
      </c>
      <c r="B58" s="15" t="inlineStr">
        <is>
          <t>CRE3</t>
        </is>
      </c>
      <c r="C58" s="15" t="inlineStr">
        <is>
          <t>AI-enabled retention practices have improved customer engagement.</t>
        </is>
      </c>
      <c r="D58" s="15" t="inlineStr">
        <is>
          <t>Linear scale / grid</t>
        </is>
      </c>
      <c r="E58" s="15" t="inlineStr">
        <is>
          <t>1=Strongly Disagree ... 5=Strongly Agree</t>
        </is>
      </c>
      <c r="F58" s="15" t="inlineStr">
        <is>
          <t>Yes</t>
        </is>
      </c>
      <c r="G58" s="15" t="inlineStr">
        <is>
          <t>Keep one response per row</t>
        </is>
      </c>
    </row>
    <row r="59">
      <c r="A59" s="15" t="inlineStr">
        <is>
          <t>Section F2</t>
        </is>
      </c>
      <c r="B59" s="15" t="inlineStr">
        <is>
          <t>CRE4</t>
        </is>
      </c>
      <c r="C59" s="15" t="inlineStr">
        <is>
          <t>AI-enabled retention practices have improved customer loyalty or relationship continuity.</t>
        </is>
      </c>
      <c r="D59" s="15" t="inlineStr">
        <is>
          <t>Linear scale / grid</t>
        </is>
      </c>
      <c r="E59" s="15" t="inlineStr">
        <is>
          <t>1=Strongly Disagree ... 5=Strongly Agree</t>
        </is>
      </c>
      <c r="F59" s="15" t="inlineStr">
        <is>
          <t>Yes</t>
        </is>
      </c>
      <c r="G59" s="15" t="inlineStr">
        <is>
          <t>Keep one response per row</t>
        </is>
      </c>
    </row>
    <row r="60">
      <c r="A60" s="15" t="inlineStr">
        <is>
          <t>Section F2</t>
        </is>
      </c>
      <c r="B60" s="15" t="inlineStr">
        <is>
          <t>CRE5</t>
        </is>
      </c>
      <c r="C60" s="15" t="inlineStr">
        <is>
          <t>AI-driven churn prediction has improved the effectiveness of retention campaigns or service-recovery efforts.</t>
        </is>
      </c>
      <c r="D60" s="15" t="inlineStr">
        <is>
          <t>Linear scale / grid</t>
        </is>
      </c>
      <c r="E60" s="15" t="inlineStr">
        <is>
          <t>1=Strongly Disagree ... 5=Strongly Agree</t>
        </is>
      </c>
      <c r="F60" s="15" t="inlineStr">
        <is>
          <t>Yes</t>
        </is>
      </c>
      <c r="G60" s="15" t="inlineStr">
        <is>
          <t>Keep one response per row</t>
        </is>
      </c>
    </row>
    <row r="61">
      <c r="A61" s="15" t="inlineStr">
        <is>
          <t>Section F2</t>
        </is>
      </c>
      <c r="B61" s="15" t="inlineStr">
        <is>
          <t>CRE6</t>
        </is>
      </c>
      <c r="C61" s="15" t="inlineStr">
        <is>
          <t>AI-driven churn prediction helps reduce silent migration of customer activity to competing providers.</t>
        </is>
      </c>
      <c r="D61" s="15" t="inlineStr">
        <is>
          <t>Linear scale / grid</t>
        </is>
      </c>
      <c r="E61" s="15" t="inlineStr">
        <is>
          <t>1=Strongly Disagree ... 5=Strongly Agree</t>
        </is>
      </c>
      <c r="F61" s="15" t="inlineStr">
        <is>
          <t>Yes</t>
        </is>
      </c>
      <c r="G61" s="15" t="inlineStr">
        <is>
          <t>Keep one response per row</t>
        </is>
      </c>
    </row>
    <row r="62">
      <c r="A62" s="15" t="inlineStr">
        <is>
          <t>Section F3</t>
        </is>
      </c>
      <c r="B62" s="15" t="inlineStr">
        <is>
          <t>IMP1</t>
        </is>
      </c>
      <c r="C62" s="15" t="inlineStr">
        <is>
          <t>High-quality, accessible customer data are essential for successful AI-enabled churn management.</t>
        </is>
      </c>
      <c r="D62" s="15" t="inlineStr">
        <is>
          <t>Linear scale / grid</t>
        </is>
      </c>
      <c r="E62" s="15" t="inlineStr">
        <is>
          <t>1=Strongly Disagree ... 5=Strongly Agree</t>
        </is>
      </c>
      <c r="F62" s="15" t="inlineStr">
        <is>
          <t>Yes</t>
        </is>
      </c>
      <c r="G62" s="15" t="inlineStr">
        <is>
          <t>Keep one response per row</t>
        </is>
      </c>
    </row>
    <row r="63">
      <c r="A63" s="15" t="inlineStr">
        <is>
          <t>Section F3</t>
        </is>
      </c>
      <c r="B63" s="15" t="inlineStr">
        <is>
          <t>IMP2</t>
        </is>
      </c>
      <c r="C63" s="15" t="inlineStr">
        <is>
          <t>Banks need adequate analytical and AI skills to translate churn predictions into business action.</t>
        </is>
      </c>
      <c r="D63" s="15" t="inlineStr">
        <is>
          <t>Linear scale / grid</t>
        </is>
      </c>
      <c r="E63" s="15" t="inlineStr">
        <is>
          <t>1=Strongly Disagree ... 5=Strongly Agree</t>
        </is>
      </c>
      <c r="F63" s="15" t="inlineStr">
        <is>
          <t>Yes</t>
        </is>
      </c>
      <c r="G63" s="15" t="inlineStr">
        <is>
          <t>Keep one response per row</t>
        </is>
      </c>
    </row>
    <row r="64">
      <c r="A64" s="15" t="inlineStr">
        <is>
          <t>Section F3</t>
        </is>
      </c>
      <c r="B64" s="15" t="inlineStr">
        <is>
          <t>IMP3</t>
        </is>
      </c>
      <c r="C64" s="15" t="inlineStr">
        <is>
          <t>AI-enabled churn systems should comply with applicable data-protection, privacy, and customer-protection requirements.</t>
        </is>
      </c>
      <c r="D64" s="15" t="inlineStr">
        <is>
          <t>Linear scale / grid</t>
        </is>
      </c>
      <c r="E64" s="15" t="inlineStr">
        <is>
          <t>1=Strongly Disagree ... 5=Strongly Agree</t>
        </is>
      </c>
      <c r="F64" s="15" t="inlineStr">
        <is>
          <t>Yes</t>
        </is>
      </c>
      <c r="G64" s="15" t="inlineStr">
        <is>
          <t>Keep one response per row</t>
        </is>
      </c>
    </row>
    <row r="65">
      <c r="A65" s="15" t="inlineStr">
        <is>
          <t>Section F3</t>
        </is>
      </c>
      <c r="B65" s="15" t="inlineStr">
        <is>
          <t>IMP4</t>
        </is>
      </c>
      <c r="C65" s="15" t="inlineStr">
        <is>
          <t>Explainability should be built into churn systems so managers can understand and act on model outputs.</t>
        </is>
      </c>
      <c r="D65" s="15" t="inlineStr">
        <is>
          <t>Linear scale / grid</t>
        </is>
      </c>
      <c r="E65" s="15" t="inlineStr">
        <is>
          <t>1=Strongly Disagree ... 5=Strongly Agree</t>
        </is>
      </c>
      <c r="F65" s="15" t="inlineStr">
        <is>
          <t>Yes</t>
        </is>
      </c>
      <c r="G65" s="15" t="inlineStr">
        <is>
          <t>Keep one response per row</t>
        </is>
      </c>
    </row>
    <row r="66">
      <c r="A66" s="15" t="inlineStr">
        <is>
          <t>Section F3</t>
        </is>
      </c>
      <c r="B66" s="15" t="inlineStr">
        <is>
          <t>IMP5</t>
        </is>
      </c>
      <c r="C66" s="15" t="inlineStr">
        <is>
          <t>Human oversight should remain part of customer-retention decisions informed by AI.</t>
        </is>
      </c>
      <c r="D66" s="15" t="inlineStr">
        <is>
          <t>Linear scale / grid</t>
        </is>
      </c>
      <c r="E66" s="15" t="inlineStr">
        <is>
          <t>1=Strongly Disagree ... 5=Strongly Agree</t>
        </is>
      </c>
      <c r="F66" s="15" t="inlineStr">
        <is>
          <t>Yes</t>
        </is>
      </c>
      <c r="G66" s="15" t="inlineStr">
        <is>
          <t>Keep one response per row</t>
        </is>
      </c>
    </row>
    <row r="67">
      <c r="A67" s="15" t="inlineStr">
        <is>
          <t>Section F3</t>
        </is>
      </c>
      <c r="B67" s="15" t="inlineStr">
        <is>
          <t>IMP6</t>
        </is>
      </c>
      <c r="C67" s="15" t="inlineStr">
        <is>
          <t>Churn models should be monitored for performance deterioration, bias, and changing customer behaviour.</t>
        </is>
      </c>
      <c r="D67" s="15" t="inlineStr">
        <is>
          <t>Linear scale / grid</t>
        </is>
      </c>
      <c r="E67" s="15" t="inlineStr">
        <is>
          <t>1=Strongly Disagree ... 5=Strongly Agree</t>
        </is>
      </c>
      <c r="F67" s="15" t="inlineStr">
        <is>
          <t>Yes</t>
        </is>
      </c>
      <c r="G67" s="15" t="inlineStr">
        <is>
          <t>Keep one response per row</t>
        </is>
      </c>
    </row>
    <row r="68">
      <c r="A68" s="15" t="inlineStr">
        <is>
          <t>Section F3</t>
        </is>
      </c>
      <c r="B68" s="15" t="inlineStr">
        <is>
          <t>IMP7</t>
        </is>
      </c>
      <c r="C68" s="15" t="inlineStr">
        <is>
          <t>Clear cross-functional ownership across business, technology, data, customer experience, and governance teams is necessary for successful implementation.</t>
        </is>
      </c>
      <c r="D68" s="15" t="inlineStr">
        <is>
          <t>Linear scale / grid</t>
        </is>
      </c>
      <c r="E68" s="15" t="inlineStr">
        <is>
          <t>1=Strongly Disagree ... 5=Strongly Agree</t>
        </is>
      </c>
      <c r="F68" s="15" t="inlineStr">
        <is>
          <t>Yes</t>
        </is>
      </c>
      <c r="G68" s="15" t="inlineStr">
        <is>
          <t>Keep one response per row</t>
        </is>
      </c>
    </row>
    <row r="69">
      <c r="A69" s="15" t="inlineStr">
        <is>
          <t>Section F3</t>
        </is>
      </c>
      <c r="B69" s="15" t="inlineStr">
        <is>
          <t>IMP8</t>
        </is>
      </c>
      <c r="C69" s="15" t="inlineStr">
        <is>
          <t>Accurate churn prediction will have limited retention value if underlying service-quality problems are not corrected.</t>
        </is>
      </c>
      <c r="D69" s="15" t="inlineStr">
        <is>
          <t>Linear scale / grid</t>
        </is>
      </c>
      <c r="E69" s="15" t="inlineStr">
        <is>
          <t>1=Strongly Disagree ... 5=Strongly Agree</t>
        </is>
      </c>
      <c r="F69" s="15" t="inlineStr">
        <is>
          <t>Yes</t>
        </is>
      </c>
      <c r="G69" s="15" t="inlineStr">
        <is>
          <t>Keep one response per row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2026-09-12T12:42:48Z</dcterms:created>
  <dcterms:modified xmlns:dcterms="http://purl.org/dc/terms/" xmlns:xsi="http://www.w3.org/2001/XMLSchema-instance" xsi:type="dcterms:W3CDTF">2026-09-12T13:14:45Z</dcterms:modified>
</cp:coreProperties>
</file>