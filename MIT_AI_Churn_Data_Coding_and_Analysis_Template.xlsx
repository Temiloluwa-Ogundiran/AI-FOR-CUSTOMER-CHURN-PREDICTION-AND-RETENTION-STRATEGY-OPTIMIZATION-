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2d0bbd2bf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852f586e004f78"/>
    <x:sheet xmlns:r="http://schemas.openxmlformats.org/officeDocument/2006/relationships" name="Codebook" sheetId="2" r:id="R8960ceda300e4327"/>
    <x:sheet xmlns:r="http://schemas.openxmlformats.org/officeDocument/2006/relationships" name="Raw_Data" sheetId="3" r:id="Rc62b981e6caa49ff"/>
    <x:sheet xmlns:r="http://schemas.openxmlformats.org/officeDocument/2006/relationships" name="Response_Tracker" sheetId="4" r:id="Rb42c6166aa924898"/>
    <x:sheet xmlns:r="http://schemas.openxmlformats.org/officeDocument/2006/relationships" name="Analysis_Map" sheetId="5" r:id="R2367e512fc524789"/>
    <x:sheet xmlns:r="http://schemas.openxmlformats.org/officeDocument/2006/relationships" name="Pilot_Reliability" sheetId="6" r:id="Rc79f1c55ad9e4a55"/>
    <x:sheet xmlns:r="http://schemas.openxmlformats.org/officeDocument/2006/relationships" name="Interview_Coding" sheetId="7" r:id="R374a505b31424642"/>
    <x:sheet xmlns:r="http://schemas.openxmlformats.org/officeDocument/2006/relationships" name="Google_Forms_Build" sheetId="8" r:id="R7de72bcd432e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%"/>
    <x:numFmt numFmtId="202" formatCode="yyyy-mm-dd hh:mm"/>
    <x:numFmt numFmtId="203" formatCode="0.000"/>
    <x:numFmt numFmtId="204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298af5f0e4c6c" /><Relationship Type="http://schemas.openxmlformats.org/officeDocument/2006/relationships/theme" Target="/xl/theme/theme1.xml" Id="Rd5a7a42c277a44ea" /><Relationship Type="http://schemas.openxmlformats.org/officeDocument/2006/relationships/sharedStrings" Target="/xl/sharedStrings.xml" Id="Re2d91aa0b2f8442f" /><Relationship Type="http://schemas.openxmlformats.org/officeDocument/2006/relationships/worksheet" Target="/xl/worksheets/sheet1.xml" Id="R99852f586e004f78" /><Relationship Type="http://schemas.openxmlformats.org/officeDocument/2006/relationships/worksheet" Target="/xl/worksheets/sheet2.xml" Id="R8960ceda300e4327" /><Relationship Type="http://schemas.openxmlformats.org/officeDocument/2006/relationships/worksheet" Target="/xl/worksheets/sheet3.xml" Id="Rc62b981e6caa49ff" /><Relationship Type="http://schemas.openxmlformats.org/officeDocument/2006/relationships/worksheet" Target="/xl/worksheets/sheet4.xml" Id="Rb42c6166aa924898" /><Relationship Type="http://schemas.openxmlformats.org/officeDocument/2006/relationships/worksheet" Target="/xl/worksheets/sheet5.xml" Id="R2367e512fc524789" /><Relationship Type="http://schemas.openxmlformats.org/officeDocument/2006/relationships/worksheet" Target="/xl/worksheets/sheet6.xml" Id="Rc79f1c55ad9e4a55" /><Relationship Type="http://schemas.openxmlformats.org/officeDocument/2006/relationships/worksheet" Target="/xl/worksheets/sheet7.xml" Id="R374a505b31424642" /><Relationship Type="http://schemas.openxmlformats.org/officeDocument/2006/relationships/worksheet" Target="/xl/worksheets/sheet8.xml" Id="R7de72bcd432e4479" /></Relationships>
</file>

<file path=xl/tables/table1.xml><?xml version="1.0" encoding="utf-8"?>
<x:table xmlns:x="http://schemas.openxmlformats.org/spreadsheetml/2006/main" id="1" name="CodebookTable" displayName="CodebookTable" ref="A1:J76" headerRowCount="1" totalsRowCount="0" totalsRowShown="0">
  <x:tableColumns count="10">
    <x:tableColumn id="1" name="Variable"/>
    <x:tableColumn id="2" name="Section"/>
    <x:tableColumn id="3" name="Question / Label"/>
    <x:tableColumn id="4" name="Response Type"/>
    <x:tableColumn id="5" name="Coding / Values"/>
    <x:tableColumn id="6" name="Construct"/>
    <x:tableColumn id="7" name="Objective"/>
    <x:tableColumn id="8" name="Research Question"/>
    <x:tableColumn id="9" name="Hypothesis / Planned Analysis"/>
    <x:tableColumn id="10" name="Include in Compos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ysisMapTable" displayName="AnalysisMapTable" ref="A1:F7" headerRowCount="1" totalsRowCount="0" totalsRowShown="0">
  <x:tableColumns count="6">
    <x:tableColumn id="1" name="Objective"/>
    <x:tableColumn id="2" name="Research Question"/>
    <x:tableColumn id="3" name="Variables"/>
    <x:tableColumn id="4" name="Analysis"/>
    <x:tableColumn id="5" name="Hypothesis"/>
    <x:tableColumn id="6" name="Expected Outp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ogleFormsBuildTable" displayName="GoogleFormsBuildTable" ref="A1:G69" headerRowCount="1" totalsRowCount="0" totalsRowShown="0">
  <x:tableColumns count="7">
    <x:tableColumn id="1" name="Form Section"/>
    <x:tableColumn id="2" name="Code"/>
    <x:tableColumn id="3" name="Question / Statement"/>
    <x:tableColumn id="4" name="Question Type"/>
    <x:tableColumn id="5" name="Options / Scale"/>
    <x:tableColumn id="6" name="Required?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36f056cd134a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d6ddb610b4e49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dcd730298ddb4101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0" hidden="0" customWidth="1"/>
  </x:cols>
  <x:sheetData>
    <x:row r="1" ht="28" customHeight="1">
      <x:c r="A1" s="5" t="str">
        <x:v>MIT PROJECT: AI CUSTOMER CHURN RESEARCH DATA WORKBOOK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Purpose</x:v>
      </x:c>
      <x:c r="B3" s="15" t="str">
        <x:v>SPSS/Excel-ready coding, raw-data entry, response tracking, reliability planning, hypothesis mapping, and interview coding.</x:v>
      </x:c>
    </x:row>
    <x:row r="4">
      <x:c r="A4" s="14" t="str">
        <x:v>Main sample target</x:v>
      </x:c>
      <x:c r="B4" s="15" t="n">
        <x:v>420</x:v>
      </x:c>
    </x:row>
    <x:row r="5">
      <x:c r="A5" s="14" t="str">
        <x:v>Pilot reliability sample</x:v>
      </x:c>
      <x:c r="B5" s="15" t="n">
        <x:v>30</x:v>
      </x:c>
    </x:row>
    <x:row r="6">
      <x:c r="A6" s="14" t="str">
        <x:v>Likert coding</x:v>
      </x:c>
      <x:c r="B6" s="15" t="str">
        <x:v>1=Strongly Disagree; 2=Disagree; 3=Neutral; 4=Agree; 5=Strongly Agree</x:v>
      </x:c>
    </x:row>
    <x:row r="7">
      <x:c r="A7" s="14" t="str">
        <x:v>H01</x:v>
      </x:c>
      <x:c r="B7" s="15" t="str">
        <x:v>Pearson correlation: AIA_Mean vs PAC_Mean</x:v>
      </x:c>
    </x:row>
    <x:row r="8">
      <x:c r="A8" s="14" t="str">
        <x:v>H02</x:v>
      </x:c>
      <x:c r="B8" s="15" t="str">
        <x:v>Multiple regression: RSO_Mean predicted by AIA_Mean, PAC_Mean, MLU_Mean</x:v>
      </x:c>
    </x:row>
    <x:row r="9">
      <x:c r="A9" s="14" t="str">
        <x:v>H03</x:v>
      </x:c>
      <x:c r="B9" s="15" t="str">
        <x:v>One-way ANOVA: CRE_Mean across A8 AI-adoption maturity groups (0-4)</x:v>
      </x:c>
    </x:row>
    <x:row r="10">
      <x:c r="A10" s="14" t="str">
        <x:v>Important</x:v>
      </x:c>
      <x:c r="B10" s="15" t="str">
        <x:v>H03 is perception-based unless audited churn-rate data are added. Do not claim causality from the survey alone.</x:v>
      </x:c>
    </x:row>
    <x:row r="11">
      <x:c r="A11" s="14" t="str">
        <x:v>Missing-data default</x:v>
      </x:c>
      <x:c r="B11" s="15" t="str">
        <x:v>Compute a construct mean only if at least 80% of its items are answered. Confirm this rule before final analysis.</x:v>
      </x:c>
    </x:row>
    <x:row r="12">
      <x:c r="A12" s="14" t="str">
        <x:v>Data integrity</x:v>
      </x:c>
      <x:c r="B12" s="15" t="str">
        <x:v>Keep an untouched raw export. Never replace missing empirical results with invented values.</x:v>
      </x:c>
    </x:row>
    <x:row r="14">
      <x:c r="A14" s="20" t="str">
        <x:v>Recommended workflow: Pilot -&gt; Reliability review -&gt; Freeze instrument -&gt; Main data collection -&gt; Clean copy -&gt; SPSS/Excel analysis -&gt; Interviews -&gt; Mixed-method integration -&gt; Chapter Four</x:v>
      </x:c>
      <x:c r="B14" s="20"/>
      <x:c r="C14" s="20"/>
      <x:c r="D14" s="20"/>
      <x:c r="E14" s="20"/>
      <x:c r="F14" s="20"/>
      <x:c r="G14" s="20"/>
      <x:c r="H14" s="20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8" hidden="0" customWidth="1"/>
    <x:col min="4" max="4" width="18" hidden="0" customWidth="1"/>
    <x:col min="5" max="5" width="34" hidden="0" customWidth="1"/>
    <x:col min="6" max="6" width="26" hidden="0" customWidth="1"/>
    <x:col min="7" max="7" width="12" hidden="0" customWidth="1"/>
    <x:col min="8" max="8" width="18" hidden="0" customWidth="1"/>
    <x:col min="9" max="9" width="30" hidden="0" customWidth="1"/>
    <x:col min="10" max="10" width="18" hidden="0" customWidth="1"/>
  </x:cols>
  <x:sheetData>
    <x:row r="1" ht="28" customHeight="1">
      <x:c r="A1" s="27" t="str">
        <x:v>Variable</x:v>
      </x:c>
      <x:c r="B1" s="27" t="str">
        <x:v>Section</x:v>
      </x:c>
      <x:c r="C1" s="27" t="str">
        <x:v>Question / Label</x:v>
      </x:c>
      <x:c r="D1" s="27" t="str">
        <x:v>Response Type</x:v>
      </x:c>
      <x:c r="E1" s="27" t="str">
        <x:v>Coding / Values</x:v>
      </x:c>
      <x:c r="F1" s="27" t="str">
        <x:v>Construct</x:v>
      </x:c>
      <x:c r="G1" s="27" t="str">
        <x:v>Objective</x:v>
      </x:c>
      <x:c r="H1" s="27" t="str">
        <x:v>Research Question</x:v>
      </x:c>
      <x:c r="I1" s="27" t="str">
        <x:v>Hypothesis / Planned Analysis</x:v>
      </x:c>
      <x:c r="J1" s="27" t="str">
        <x:v>Include in Composite</x:v>
      </x:c>
    </x:row>
    <x:row r="2">
      <x:c r="A2" s="15" t="str">
        <x:v>Consent</x:v>
      </x:c>
      <x:c r="B2" s="15" t="str">
        <x:v>A</x:v>
      </x:c>
      <x:c r="C2" s="15" t="str">
        <x:v>Consent to participate</x:v>
      </x:c>
      <x:c r="D2" s="15" t="str">
        <x:v>categorical</x:v>
      </x:c>
      <x:c r="E2" s="15" t="str">
        <x:v>Yes; No</x:v>
      </x:c>
      <x:c r="F2" s="15" t="str">
        <x:v>Eligibility/Consent</x:v>
      </x:c>
      <x:c r="G2" s="15" t="str"/>
      <x:c r="H2" s="15" t="str"/>
      <x:c r="I2" s="15" t="str"/>
      <x:c r="J2" s="15" t="str">
        <x:v>No</x:v>
      </x:c>
    </x:row>
    <x:row r="3">
      <x:c r="A3" s="15" t="str">
        <x:v>A1</x:v>
      </x:c>
      <x:c r="B3" s="15" t="str">
        <x:v>A</x:v>
      </x:c>
      <x:c r="C3" s="15" t="str">
        <x:v>Gender (optional)</x:v>
      </x:c>
      <x:c r="D3" s="15" t="str">
        <x:v>categorical</x:v>
      </x:c>
      <x:c r="E3" s="15" t="str">
        <x:v>Male; Female; Prefer not to say; Other</x:v>
      </x:c>
      <x:c r="F3" s="15" t="str">
        <x:v>Demographic</x:v>
      </x:c>
      <x:c r="G3" s="15" t="str"/>
      <x:c r="H3" s="15" t="str"/>
      <x:c r="I3" s="15" t="str"/>
      <x:c r="J3" s="15" t="str">
        <x:v>No</x:v>
      </x:c>
    </x:row>
    <x:row r="4">
      <x:c r="A4" s="15" t="str">
        <x:v>A2</x:v>
      </x:c>
      <x:c r="B4" s="15" t="str">
        <x:v>A</x:v>
      </x:c>
      <x:c r="C4" s="15" t="str">
        <x:v>Age group</x:v>
      </x:c>
      <x:c r="D4" s="15" t="str">
        <x:v>categorical</x:v>
      </x:c>
      <x:c r="E4" s="15" t="str">
        <x:v>18-24; 25-34; 35-44; 45-54; 55 or above</x:v>
      </x:c>
      <x:c r="F4" s="15" t="str">
        <x:v>Demographic</x:v>
      </x:c>
      <x:c r="G4" s="15" t="str"/>
      <x:c r="H4" s="15" t="str"/>
      <x:c r="I4" s="15" t="str"/>
      <x:c r="J4" s="15" t="str">
        <x:v>No</x:v>
      </x:c>
    </x:row>
    <x:row r="5">
      <x:c r="A5" s="15" t="str">
        <x:v>A3</x:v>
      </x:c>
      <x:c r="B5" s="15" t="str">
        <x:v>A</x:v>
      </x:c>
      <x:c r="C5" s="15" t="str">
        <x:v>Highest qualification</x:v>
      </x:c>
      <x:c r="D5" s="15" t="str">
        <x:v>categorical</x:v>
      </x:c>
      <x:c r="E5" s="15" t="str">
        <x:v>Diploma/OND/NCE; Bachelor/HND; Postgraduate Diploma; Master's; Doctorate; Other</x:v>
      </x:c>
      <x:c r="F5" s="15" t="str">
        <x:v>Demographic</x:v>
      </x:c>
      <x:c r="G5" s="15" t="str"/>
      <x:c r="H5" s="15" t="str"/>
      <x:c r="I5" s="15" t="str"/>
      <x:c r="J5" s="15" t="str">
        <x:v>No</x:v>
      </x:c>
    </x:row>
    <x:row r="6">
      <x:c r="A6" s="15" t="str">
        <x:v>A4</x:v>
      </x:c>
      <x:c r="B6" s="15" t="str">
        <x:v>A</x:v>
      </x:c>
      <x:c r="C6" s="15" t="str">
        <x:v>Type of institution</x:v>
      </x:c>
      <x:c r="D6" s="15" t="str">
        <x:v>categorical</x:v>
      </x:c>
      <x:c r="E6" s="15" t="str">
        <x:v>Commercial bank; Digital bank/neobank; Merchant bank; Microfinance bank; Fintech/payment provider; Insurance/investment/other licensed financial institution</x:v>
      </x:c>
      <x:c r="F6" s="15" t="str">
        <x:v>Institutional profile</x:v>
      </x:c>
      <x:c r="G6" s="15" t="str"/>
      <x:c r="H6" s="15" t="str"/>
      <x:c r="I6" s="15" t="str"/>
      <x:c r="J6" s="15" t="str">
        <x:v>No</x:v>
      </x:c>
    </x:row>
    <x:row r="7">
      <x:c r="A7" s="15" t="str">
        <x:v>A5</x:v>
      </x:c>
      <x:c r="B7" s="15" t="str">
        <x:v>A</x:v>
      </x:c>
      <x:c r="C7" s="15" t="str">
        <x:v>Current functional role</x:v>
      </x:c>
      <x:c r="D7" s="15" t="str">
        <x:v>categorical</x:v>
      </x:c>
      <x:c r="E7" s="15" t="str">
        <x:v>Digital Banking/Product; Data/Analytics/AI; IT/Technology; Customer Experience/Service; Relationship/Marketing; Risk/Compliance; Management/Strategy; Other</x:v>
      </x:c>
      <x:c r="F7" s="15" t="str">
        <x:v>Institutional profile</x:v>
      </x:c>
      <x:c r="G7" s="15" t="str"/>
      <x:c r="H7" s="15" t="str"/>
      <x:c r="I7" s="15" t="str"/>
      <x:c r="J7" s="15" t="str">
        <x:v>No</x:v>
      </x:c>
    </x:row>
    <x:row r="8">
      <x:c r="A8" s="15" t="str">
        <x:v>A6</x:v>
      </x:c>
      <x:c r="B8" s="15" t="str">
        <x:v>A</x:v>
      </x:c>
      <x:c r="C8" s="15" t="str">
        <x:v>Years of professional experience</x:v>
      </x:c>
      <x:c r="D8" s="15" t="str">
        <x:v>categorical</x:v>
      </x:c>
      <x:c r="E8" s="15" t="str">
        <x:v>Less than 2; 2-5; 6-10; 11-15; 16 or more</x:v>
      </x:c>
      <x:c r="F8" s="15" t="str">
        <x:v>Institutional profile</x:v>
      </x:c>
      <x:c r="G8" s="15" t="str"/>
      <x:c r="H8" s="15" t="str"/>
      <x:c r="I8" s="15" t="str"/>
      <x:c r="J8" s="15" t="str">
        <x:v>No</x:v>
      </x:c>
    </x:row>
    <x:row r="9">
      <x:c r="A9" s="15" t="str">
        <x:v>A7</x:v>
      </x:c>
      <x:c r="B9" s="15" t="str">
        <x:v>A</x:v>
      </x:c>
      <x:c r="C9" s="15" t="str">
        <x:v>Direct involvement with digital banking, AI, analytics, customer experience or retention</x:v>
      </x:c>
      <x:c r="D9" s="15" t="str">
        <x:v>categorical</x:v>
      </x:c>
      <x:c r="E9" s="15" t="str">
        <x:v>Yes; No</x:v>
      </x:c>
      <x:c r="F9" s="15" t="str">
        <x:v>Eligibility/Exposure</x:v>
      </x:c>
      <x:c r="G9" s="15" t="str"/>
      <x:c r="H9" s="15" t="str"/>
      <x:c r="I9" s="15" t="str"/>
      <x:c r="J9" s="15" t="str">
        <x:v>No</x:v>
      </x:c>
    </x:row>
    <x:row r="10">
      <x:c r="A10" s="15" t="str">
        <x:v>A8</x:v>
      </x:c>
      <x:c r="B10" s="15" t="str">
        <x:v>A</x:v>
      </x:c>
      <x:c r="C10" s="15" t="str">
        <x:v>AI adoption maturity for customer analytics/retention</x:v>
      </x:c>
      <x:c r="D10" s="15" t="str">
        <x:v>ordinal</x:v>
      </x:c>
      <x:c r="E10" s="15" t="str">
        <x:v>0=None; 1=Exploratory/pilot; 2=Limited deployment; 3=Established multi-use-case; 4=Advanced/enterprise-wide</x:v>
      </x:c>
      <x:c r="F10" s="15" t="str">
        <x:v>AI maturity</x:v>
      </x:c>
      <x:c r="G10" s="15" t="str">
        <x:v>4</x:v>
      </x:c>
      <x:c r="H10" s="15" t="str">
        <x:v>RQ4</x:v>
      </x:c>
      <x:c r="I10" s="15" t="str">
        <x:v>H03 / One-way ANOVA</x:v>
      </x:c>
      <x:c r="J10" s="15" t="str">
        <x:v>No</x:v>
      </x:c>
    </x:row>
    <x:row r="11">
      <x:c r="A11" s="15" t="str">
        <x:v>A9</x:v>
      </x:c>
      <x:c r="B11" s="15" t="str">
        <x:v>A</x:v>
      </x:c>
      <x:c r="C11" s="15" t="str">
        <x:v>Institution currently uses predictive model/advanced analytics for churn risk</x:v>
      </x:c>
      <x:c r="D11" s="15" t="str">
        <x:v>categorical</x:v>
      </x:c>
      <x:c r="E11" s="15" t="str">
        <x:v>Yes; No; Do not know</x:v>
      </x:c>
      <x:c r="F11" s="15" t="str">
        <x:v>Institutional profile</x:v>
      </x:c>
      <x:c r="G11" s="15" t="str">
        <x:v>2,4</x:v>
      </x:c>
      <x:c r="H11" s="15" t="str">
        <x:v>RQ2,RQ4</x:v>
      </x:c>
      <x:c r="I11" s="15" t="str"/>
      <x:c r="J11" s="15" t="str">
        <x:v>No</x:v>
      </x:c>
    </x:row>
    <x:row r="12">
      <x:c r="A12" s="15" t="str">
        <x:v>A10</x:v>
      </x:c>
      <x:c r="B12" s="15" t="str">
        <x:v>A</x:v>
      </x:c>
      <x:c r="C12" s="15" t="str">
        <x:v>Primary work location / responding unit is within Eti-Osa LGA</x:v>
      </x:c>
      <x:c r="D12" s="15" t="str">
        <x:v>categorical</x:v>
      </x:c>
      <x:c r="E12" s="15" t="str">
        <x:v>Yes; No</x:v>
      </x:c>
      <x:c r="F12" s="15" t="str">
        <x:v>Eligibility</x:v>
      </x:c>
      <x:c r="G12" s="15" t="str"/>
      <x:c r="H12" s="15" t="str"/>
      <x:c r="I12" s="15" t="str"/>
      <x:c r="J12" s="15" t="str">
        <x:v>No</x:v>
      </x:c>
    </x:row>
    <x:row r="13">
      <x:c r="A13" s="15" t="str">
        <x:v>CHD1</x:v>
      </x:c>
      <x:c r="B13" s="15" t="str">
        <x:v>B</x:v>
      </x:c>
      <x:c r="C13" s="15" t="str">
        <x:v>Frequent transaction failures increase the likelihood that customers reduce or stop using a bank.</x:v>
      </x:c>
      <x:c r="D13" s="15" t="str">
        <x:v>Likert 1-5</x:v>
      </x:c>
      <x:c r="E13" s="15" t="str">
        <x:v>1=SD; 2=D; 3=N; 4=A; 5=SA</x:v>
      </x:c>
      <x:c r="F13" s="15" t="str">
        <x:v>CHD</x:v>
      </x:c>
      <x:c r="G13" s="15" t="str">
        <x:v>1</x:v>
      </x:c>
      <x:c r="H13" s="15" t="str">
        <x:v>RQ1</x:v>
      </x:c>
      <x:c r="I13" s="15" t="str">
        <x:v>Descriptive / Ranking</x:v>
      </x:c>
      <x:c r="J13" s="15" t="str">
        <x:v>Yes</x:v>
      </x:c>
    </x:row>
    <x:row r="14">
      <x:c r="A14" s="15" t="str">
        <x:v>CHD2</x:v>
      </x:c>
      <x:c r="B14" s="15" t="str">
        <x:v>B</x:v>
      </x:c>
      <x:c r="C14" s="15" t="str">
        <x:v>Unplanned downtime or unreliable digital channels contribute significantly to customer churn.</x:v>
      </x:c>
      <x:c r="D14" s="15" t="str">
        <x:v>Likert 1-5</x:v>
      </x:c>
      <x:c r="E14" s="15" t="str">
        <x:v>1=SD; 2=D; 3=N; 4=A; 5=SA</x:v>
      </x:c>
      <x:c r="F14" s="15" t="str">
        <x:v>CHD</x:v>
      </x:c>
      <x:c r="G14" s="15" t="str">
        <x:v>1</x:v>
      </x:c>
      <x:c r="H14" s="15" t="str">
        <x:v>RQ1</x:v>
      </x:c>
      <x:c r="I14" s="15" t="str">
        <x:v>Descriptive / Ranking</x:v>
      </x:c>
      <x:c r="J14" s="15" t="str">
        <x:v>Yes</x:v>
      </x:c>
    </x:row>
    <x:row r="15">
      <x:c r="A15" s="15" t="str">
        <x:v>CHD3</x:v>
      </x:c>
      <x:c r="B15" s="15" t="str">
        <x:v>B</x:v>
      </x:c>
      <x:c r="C15" s="15" t="str">
        <x:v>Slow or ineffective resolution of complaints increases customers' likelihood of switching providers.</x:v>
      </x:c>
      <x:c r="D15" s="15" t="str">
        <x:v>Likert 1-5</x:v>
      </x:c>
      <x:c r="E15" s="15" t="str">
        <x:v>1=SD; 2=D; 3=N; 4=A; 5=SA</x:v>
      </x:c>
      <x:c r="F15" s="15" t="str">
        <x:v>CHD</x:v>
      </x:c>
      <x:c r="G15" s="15" t="str">
        <x:v>1</x:v>
      </x:c>
      <x:c r="H15" s="15" t="str">
        <x:v>RQ1</x:v>
      </x:c>
      <x:c r="I15" s="15" t="str">
        <x:v>Descriptive / Ranking</x:v>
      </x:c>
      <x:c r="J15" s="15" t="str">
        <x:v>Yes</x:v>
      </x:c>
    </x:row>
    <x:row r="16">
      <x:c r="A16" s="15" t="str">
        <x:v>CHD4</x:v>
      </x:c>
      <x:c r="B16" s="15" t="str">
        <x:v>B</x:v>
      </x:c>
      <x:c r="C16" s="15" t="str">
        <x:v>High, unclear, or unexpected transaction charges contribute to customer churn.</x:v>
      </x:c>
      <x:c r="D16" s="15" t="str">
        <x:v>Likert 1-5</x:v>
      </x:c>
      <x:c r="E16" s="15" t="str">
        <x:v>1=SD; 2=D; 3=N; 4=A; 5=SA</x:v>
      </x:c>
      <x:c r="F16" s="15" t="str">
        <x:v>CHD</x:v>
      </x:c>
      <x:c r="G16" s="15" t="str">
        <x:v>1</x:v>
      </x:c>
      <x:c r="H16" s="15" t="str">
        <x:v>RQ1</x:v>
      </x:c>
      <x:c r="I16" s="15" t="str">
        <x:v>Descriptive / Ranking</x:v>
      </x:c>
      <x:c r="J16" s="15" t="str">
        <x:v>Yes</x:v>
      </x:c>
    </x:row>
    <x:row r="17">
      <x:c r="A17" s="15" t="str">
        <x:v>CHD5</x:v>
      </x:c>
      <x:c r="B17" s="15" t="str">
        <x:v>B</x:v>
      </x:c>
      <x:c r="C17" s="15" t="str">
        <x:v>Fraud, cybersecurity incidents, or fear of financial loss reduce customers' willingness to remain with a provider.</x:v>
      </x:c>
      <x:c r="D17" s="15" t="str">
        <x:v>Likert 1-5</x:v>
      </x:c>
      <x:c r="E17" s="15" t="str">
        <x:v>1=SD; 2=D; 3=N; 4=A; 5=SA</x:v>
      </x:c>
      <x:c r="F17" s="15" t="str">
        <x:v>CHD</x:v>
      </x:c>
      <x:c r="G17" s="15" t="str">
        <x:v>1</x:v>
      </x:c>
      <x:c r="H17" s="15" t="str">
        <x:v>RQ1</x:v>
      </x:c>
      <x:c r="I17" s="15" t="str">
        <x:v>Descriptive / Ranking</x:v>
      </x:c>
      <x:c r="J17" s="15" t="str">
        <x:v>Yes</x:v>
      </x:c>
    </x:row>
    <x:row r="18">
      <x:c r="A18" s="15" t="str">
        <x:v>CHD6</x:v>
      </x:c>
      <x:c r="B18" s="15" t="str">
        <x:v>B</x:v>
      </x:c>
      <x:c r="C18" s="15" t="str">
        <x:v>Poor usability or a difficult digital banking experience contributes to customer disengagement.</x:v>
      </x:c>
      <x:c r="D18" s="15" t="str">
        <x:v>Likert 1-5</x:v>
      </x:c>
      <x:c r="E18" s="15" t="str">
        <x:v>1=SD; 2=D; 3=N; 4=A; 5=SA</x:v>
      </x:c>
      <x:c r="F18" s="15" t="str">
        <x:v>CHD</x:v>
      </x:c>
      <x:c r="G18" s="15" t="str">
        <x:v>1</x:v>
      </x:c>
      <x:c r="H18" s="15" t="str">
        <x:v>RQ1</x:v>
      </x:c>
      <x:c r="I18" s="15" t="str">
        <x:v>Descriptive / Ranking</x:v>
      </x:c>
      <x:c r="J18" s="15" t="str">
        <x:v>Yes</x:v>
      </x:c>
    </x:row>
    <x:row r="19">
      <x:c r="A19" s="15" t="str">
        <x:v>CHD7</x:v>
      </x:c>
      <x:c r="B19" s="15" t="str">
        <x:v>B</x:v>
      </x:c>
      <x:c r="C19" s="15" t="str">
        <x:v>Lack of relevant and personalized products or communication increases churn risk.</x:v>
      </x:c>
      <x:c r="D19" s="15" t="str">
        <x:v>Likert 1-5</x:v>
      </x:c>
      <x:c r="E19" s="15" t="str">
        <x:v>1=SD; 2=D; 3=N; 4=A; 5=SA</x:v>
      </x:c>
      <x:c r="F19" s="15" t="str">
        <x:v>CHD</x:v>
      </x:c>
      <x:c r="G19" s="15" t="str">
        <x:v>1</x:v>
      </x:c>
      <x:c r="H19" s="15" t="str">
        <x:v>RQ1</x:v>
      </x:c>
      <x:c r="I19" s="15" t="str">
        <x:v>Descriptive / Ranking</x:v>
      </x:c>
      <x:c r="J19" s="15" t="str">
        <x:v>Yes</x:v>
      </x:c>
    </x:row>
    <x:row r="20">
      <x:c r="A20" s="15" t="str">
        <x:v>CHD8</x:v>
      </x:c>
      <x:c r="B20" s="15" t="str">
        <x:v>B</x:v>
      </x:c>
      <x:c r="C20" s="15" t="str">
        <x:v>More attractive services from fintechs, digital banks, or competing institutions increase customers' likelihood of switching.</x:v>
      </x:c>
      <x:c r="D20" s="15" t="str">
        <x:v>Likert 1-5</x:v>
      </x:c>
      <x:c r="E20" s="15" t="str">
        <x:v>1=SD; 2=D; 3=N; 4=A; 5=SA</x:v>
      </x:c>
      <x:c r="F20" s="15" t="str">
        <x:v>CHD</x:v>
      </x:c>
      <x:c r="G20" s="15" t="str">
        <x:v>1</x:v>
      </x:c>
      <x:c r="H20" s="15" t="str">
        <x:v>RQ1</x:v>
      </x:c>
      <x:c r="I20" s="15" t="str">
        <x:v>Descriptive / Ranking</x:v>
      </x:c>
      <x:c r="J20" s="15" t="str">
        <x:v>Yes</x:v>
      </x:c>
    </x:row>
    <x:row r="21">
      <x:c r="A21" s="15" t="str">
        <x:v>CHD9</x:v>
      </x:c>
      <x:c r="B21" s="15" t="str">
        <x:v>B</x:v>
      </x:c>
      <x:c r="C21" s="15" t="str">
        <x:v>Declining trust in a financial institution is a major driver of customer churn.</x:v>
      </x:c>
      <x:c r="D21" s="15" t="str">
        <x:v>Likert 1-5</x:v>
      </x:c>
      <x:c r="E21" s="15" t="str">
        <x:v>1=SD; 2=D; 3=N; 4=A; 5=SA</x:v>
      </x:c>
      <x:c r="F21" s="15" t="str">
        <x:v>CHD</x:v>
      </x:c>
      <x:c r="G21" s="15" t="str">
        <x:v>1</x:v>
      </x:c>
      <x:c r="H21" s="15" t="str">
        <x:v>RQ1</x:v>
      </x:c>
      <x:c r="I21" s="15" t="str">
        <x:v>Descriptive / Ranking</x:v>
      </x:c>
      <x:c r="J21" s="15" t="str">
        <x:v>Yes</x:v>
      </x:c>
    </x:row>
    <x:row r="22">
      <x:c r="A22" s="15" t="str">
        <x:v>CHD10</x:v>
      </x:c>
      <x:c r="B22" s="15" t="str">
        <x:v>B</x:v>
      </x:c>
      <x:c r="C22" s="15" t="str">
        <x:v>Repeated service problems can cause silent churn, where customers keep an account but move most activity elsewhere.</x:v>
      </x:c>
      <x:c r="D22" s="15" t="str">
        <x:v>Likert 1-5</x:v>
      </x:c>
      <x:c r="E22" s="15" t="str">
        <x:v>1=SD; 2=D; 3=N; 4=A; 5=SA</x:v>
      </x:c>
      <x:c r="F22" s="15" t="str">
        <x:v>CHD</x:v>
      </x:c>
      <x:c r="G22" s="15" t="str">
        <x:v>1</x:v>
      </x:c>
      <x:c r="H22" s="15" t="str">
        <x:v>RQ1</x:v>
      </x:c>
      <x:c r="I22" s="15" t="str">
        <x:v>Descriptive / Ranking</x:v>
      </x:c>
      <x:c r="J22" s="15" t="str">
        <x:v>Yes</x:v>
      </x:c>
    </x:row>
    <x:row r="23">
      <x:c r="A23" s="15" t="str">
        <x:v>AIA1</x:v>
      </x:c>
      <x:c r="B23" s="15" t="str">
        <x:v>C</x:v>
      </x:c>
      <x:c r="C23" s="15" t="str">
        <x:v>My institution uses AI or advanced analytics to monitor changes in customer behaviour.</x:v>
      </x:c>
      <x:c r="D23" s="15" t="str">
        <x:v>Likert 1-5</x:v>
      </x:c>
      <x:c r="E23" s="15" t="str">
        <x:v>1=SD; 2=D; 3=N; 4=A; 5=SA</x:v>
      </x:c>
      <x:c r="F23" s="15" t="str">
        <x:v>AIA</x:v>
      </x:c>
      <x:c r="G23" s="15" t="str">
        <x:v>2</x:v>
      </x:c>
      <x:c r="H23" s="15" t="str">
        <x:v>RQ2</x:v>
      </x:c>
      <x:c r="I23" s="15" t="str">
        <x:v>H01 Pearson; H02 Regression</x:v>
      </x:c>
      <x:c r="J23" s="15" t="str">
        <x:v>Yes</x:v>
      </x:c>
    </x:row>
    <x:row r="24">
      <x:c r="A24" s="15" t="str">
        <x:v>AIA2</x:v>
      </x:c>
      <x:c r="B24" s="15" t="str">
        <x:v>C</x:v>
      </x:c>
      <x:c r="C24" s="15" t="str">
        <x:v>Customer data from multiple digital touchpoints are integrated for churn or retention analysis.</x:v>
      </x:c>
      <x:c r="D24" s="15" t="str">
        <x:v>Likert 1-5</x:v>
      </x:c>
      <x:c r="E24" s="15" t="str">
        <x:v>1=SD; 2=D; 3=N; 4=A; 5=SA</x:v>
      </x:c>
      <x:c r="F24" s="15" t="str">
        <x:v>AIA</x:v>
      </x:c>
      <x:c r="G24" s="15" t="str">
        <x:v>2</x:v>
      </x:c>
      <x:c r="H24" s="15" t="str">
        <x:v>RQ2</x:v>
      </x:c>
      <x:c r="I24" s="15" t="str">
        <x:v>H01 Pearson; H02 Regression</x:v>
      </x:c>
      <x:c r="J24" s="15" t="str">
        <x:v>Yes</x:v>
      </x:c>
    </x:row>
    <x:row r="25">
      <x:c r="A25" s="15" t="str">
        <x:v>AIA3</x:v>
      </x:c>
      <x:c r="B25" s="15" t="str">
        <x:v>C</x:v>
      </x:c>
      <x:c r="C25" s="15" t="str">
        <x:v>My institution uses automated or model-based risk scores to identify customers who may churn.</x:v>
      </x:c>
      <x:c r="D25" s="15" t="str">
        <x:v>Likert 1-5</x:v>
      </x:c>
      <x:c r="E25" s="15" t="str">
        <x:v>1=SD; 2=D; 3=N; 4=A; 5=SA</x:v>
      </x:c>
      <x:c r="F25" s="15" t="str">
        <x:v>AIA</x:v>
      </x:c>
      <x:c r="G25" s="15" t="str">
        <x:v>2</x:v>
      </x:c>
      <x:c r="H25" s="15" t="str">
        <x:v>RQ2</x:v>
      </x:c>
      <x:c r="I25" s="15" t="str">
        <x:v>H01 Pearson; H02 Regression</x:v>
      </x:c>
      <x:c r="J25" s="15" t="str">
        <x:v>Yes</x:v>
      </x:c>
    </x:row>
    <x:row r="26">
      <x:c r="A26" s="15" t="str">
        <x:v>AIA4</x:v>
      </x:c>
      <x:c r="B26" s="15" t="str">
        <x:v>C</x:v>
      </x:c>
      <x:c r="C26" s="15" t="str">
        <x:v>AI-generated customer insights are integrated into customer-management or retention processes.</x:v>
      </x:c>
      <x:c r="D26" s="15" t="str">
        <x:v>Likert 1-5</x:v>
      </x:c>
      <x:c r="E26" s="15" t="str">
        <x:v>1=SD; 2=D; 3=N; 4=A; 5=SA</x:v>
      </x:c>
      <x:c r="F26" s="15" t="str">
        <x:v>AIA</x:v>
      </x:c>
      <x:c r="G26" s="15" t="str">
        <x:v>2</x:v>
      </x:c>
      <x:c r="H26" s="15" t="str">
        <x:v>RQ2</x:v>
      </x:c>
      <x:c r="I26" s="15" t="str">
        <x:v>H01 Pearson; H02 Regression</x:v>
      </x:c>
      <x:c r="J26" s="15" t="str">
        <x:v>Yes</x:v>
      </x:c>
    </x:row>
    <x:row r="27">
      <x:c r="A27" s="15" t="str">
        <x:v>AIA5</x:v>
      </x:c>
      <x:c r="B27" s="15" t="str">
        <x:v>C</x:v>
      </x:c>
      <x:c r="C27" s="15" t="str">
        <x:v>AI or predictive models used for customer analytics are reviewed or updated as customer behaviour changes.</x:v>
      </x:c>
      <x:c r="D27" s="15" t="str">
        <x:v>Likert 1-5</x:v>
      </x:c>
      <x:c r="E27" s="15" t="str">
        <x:v>1=SD; 2=D; 3=N; 4=A; 5=SA</x:v>
      </x:c>
      <x:c r="F27" s="15" t="str">
        <x:v>AIA</x:v>
      </x:c>
      <x:c r="G27" s="15" t="str">
        <x:v>2</x:v>
      </x:c>
      <x:c r="H27" s="15" t="str">
        <x:v>RQ2</x:v>
      </x:c>
      <x:c r="I27" s="15" t="str">
        <x:v>H01 Pearson; H02 Regression</x:v>
      </x:c>
      <x:c r="J27" s="15" t="str">
        <x:v>Yes</x:v>
      </x:c>
    </x:row>
    <x:row r="28">
      <x:c r="A28" s="15" t="str">
        <x:v>AIA6</x:v>
      </x:c>
      <x:c r="B28" s="15" t="str">
        <x:v>C</x:v>
      </x:c>
      <x:c r="C28" s="15" t="str">
        <x:v>Relevant staff can access AI-generated insights when making customer-retention decisions.</x:v>
      </x:c>
      <x:c r="D28" s="15" t="str">
        <x:v>Likert 1-5</x:v>
      </x:c>
      <x:c r="E28" s="15" t="str">
        <x:v>1=SD; 2=D; 3=N; 4=A; 5=SA</x:v>
      </x:c>
      <x:c r="F28" s="15" t="str">
        <x:v>AIA</x:v>
      </x:c>
      <x:c r="G28" s="15" t="str">
        <x:v>2</x:v>
      </x:c>
      <x:c r="H28" s="15" t="str">
        <x:v>RQ2</x:v>
      </x:c>
      <x:c r="I28" s="15" t="str">
        <x:v>H01 Pearson; H02 Regression</x:v>
      </x:c>
      <x:c r="J28" s="15" t="str">
        <x:v>Yes</x:v>
      </x:c>
    </x:row>
    <x:row r="29">
      <x:c r="A29" s="15" t="str">
        <x:v>AIA7</x:v>
      </x:c>
      <x:c r="B29" s="15" t="str">
        <x:v>C</x:v>
      </x:c>
      <x:c r="C29" s="15" t="str">
        <x:v>Senior management supports the use of AI and analytics for customer-retention decisions.</x:v>
      </x:c>
      <x:c r="D29" s="15" t="str">
        <x:v>Likert 1-5</x:v>
      </x:c>
      <x:c r="E29" s="15" t="str">
        <x:v>1=SD; 2=D; 3=N; 4=A; 5=SA</x:v>
      </x:c>
      <x:c r="F29" s="15" t="str">
        <x:v>AIA</x:v>
      </x:c>
      <x:c r="G29" s="15" t="str">
        <x:v>2</x:v>
      </x:c>
      <x:c r="H29" s="15" t="str">
        <x:v>RQ2</x:v>
      </x:c>
      <x:c r="I29" s="15" t="str">
        <x:v>H01 Pearson; H02 Regression</x:v>
      </x:c>
      <x:c r="J29" s="15" t="str">
        <x:v>Yes</x:v>
      </x:c>
    </x:row>
    <x:row r="30">
      <x:c r="A30" s="15" t="str">
        <x:v>AIA8</x:v>
      </x:c>
      <x:c r="B30" s="15" t="str">
        <x:v>C</x:v>
      </x:c>
      <x:c r="C30" s="15" t="str">
        <x:v>My institution has the data, skills, technology, and operating processes required to use AI effectively for customer retention.</x:v>
      </x:c>
      <x:c r="D30" s="15" t="str">
        <x:v>Likert 1-5</x:v>
      </x:c>
      <x:c r="E30" s="15" t="str">
        <x:v>1=SD; 2=D; 3=N; 4=A; 5=SA</x:v>
      </x:c>
      <x:c r="F30" s="15" t="str">
        <x:v>AIA</x:v>
      </x:c>
      <x:c r="G30" s="15" t="str">
        <x:v>2</x:v>
      </x:c>
      <x:c r="H30" s="15" t="str">
        <x:v>RQ2</x:v>
      </x:c>
      <x:c r="I30" s="15" t="str">
        <x:v>H01 Pearson; H02 Regression</x:v>
      </x:c>
      <x:c r="J30" s="15" t="str">
        <x:v>Yes</x:v>
      </x:c>
    </x:row>
    <x:row r="31">
      <x:c r="A31" s="15" t="str">
        <x:v>PAC1</x:v>
      </x:c>
      <x:c r="B31" s="15" t="str">
        <x:v>D</x:v>
      </x:c>
      <x:c r="C31" s="15" t="str">
        <x:v>AI-driven analytics can identify customers at risk of churn before they fully disengage.</x:v>
      </x:c>
      <x:c r="D31" s="15" t="str">
        <x:v>Likert 1-5</x:v>
      </x:c>
      <x:c r="E31" s="15" t="str">
        <x:v>1=SD; 2=D; 3=N; 4=A; 5=SA</x:v>
      </x:c>
      <x:c r="F31" s="15" t="str">
        <x:v>PAC</x:v>
      </x:c>
      <x:c r="G31" s="15" t="str">
        <x:v>2,4,5</x:v>
      </x:c>
      <x:c r="H31" s="15" t="str">
        <x:v>RQ2,RQ4,RQ5</x:v>
      </x:c>
      <x:c r="I31" s="15" t="str">
        <x:v>H01 Pearson; H02 Regression</x:v>
      </x:c>
      <x:c r="J31" s="15" t="str">
        <x:v>Yes</x:v>
      </x:c>
    </x:row>
    <x:row r="32">
      <x:c r="A32" s="15" t="str">
        <x:v>PAC2</x:v>
      </x:c>
      <x:c r="B32" s="15" t="str">
        <x:v>D</x:v>
      </x:c>
      <x:c r="C32" s="15" t="str">
        <x:v>Predictive analytics can detect silent churn through declining transaction or channel-usage patterns.</x:v>
      </x:c>
      <x:c r="D32" s="15" t="str">
        <x:v>Likert 1-5</x:v>
      </x:c>
      <x:c r="E32" s="15" t="str">
        <x:v>1=SD; 2=D; 3=N; 4=A; 5=SA</x:v>
      </x:c>
      <x:c r="F32" s="15" t="str">
        <x:v>PAC</x:v>
      </x:c>
      <x:c r="G32" s="15" t="str">
        <x:v>2,4,5</x:v>
      </x:c>
      <x:c r="H32" s="15" t="str">
        <x:v>RQ2,RQ4,RQ5</x:v>
      </x:c>
      <x:c r="I32" s="15" t="str">
        <x:v>H01 Pearson; H02 Regression</x:v>
      </x:c>
      <x:c r="J32" s="15" t="str">
        <x:v>Yes</x:v>
      </x:c>
    </x:row>
    <x:row r="33">
      <x:c r="A33" s="15" t="str">
        <x:v>PAC3</x:v>
      </x:c>
      <x:c r="B33" s="15" t="str">
        <x:v>D</x:v>
      </x:c>
      <x:c r="C33" s="15" t="str">
        <x:v>Churn models can identify the main factors contributing to an individual customer's churn risk.</x:v>
      </x:c>
      <x:c r="D33" s="15" t="str">
        <x:v>Likert 1-5</x:v>
      </x:c>
      <x:c r="E33" s="15" t="str">
        <x:v>1=SD; 2=D; 3=N; 4=A; 5=SA</x:v>
      </x:c>
      <x:c r="F33" s="15" t="str">
        <x:v>PAC</x:v>
      </x:c>
      <x:c r="G33" s="15" t="str">
        <x:v>2,4,5</x:v>
      </x:c>
      <x:c r="H33" s="15" t="str">
        <x:v>RQ2,RQ4,RQ5</x:v>
      </x:c>
      <x:c r="I33" s="15" t="str">
        <x:v>H01 Pearson; H02 Regression</x:v>
      </x:c>
      <x:c r="J33" s="15" t="str">
        <x:v>Yes</x:v>
      </x:c>
    </x:row>
    <x:row r="34">
      <x:c r="A34" s="15" t="str">
        <x:v>PAC4</x:v>
      </x:c>
      <x:c r="B34" s="15" t="str">
        <x:v>D</x:v>
      </x:c>
      <x:c r="C34" s="15" t="str">
        <x:v>The churn-risk outputs available to my institution are sufficiently accurate to support retention decisions.</x:v>
      </x:c>
      <x:c r="D34" s="15" t="str">
        <x:v>Likert 1-5</x:v>
      </x:c>
      <x:c r="E34" s="15" t="str">
        <x:v>1=SD; 2=D; 3=N; 4=A; 5=SA</x:v>
      </x:c>
      <x:c r="F34" s="15" t="str">
        <x:v>PAC</x:v>
      </x:c>
      <x:c r="G34" s="15" t="str">
        <x:v>2,4,5</x:v>
      </x:c>
      <x:c r="H34" s="15" t="str">
        <x:v>RQ2,RQ4,RQ5</x:v>
      </x:c>
      <x:c r="I34" s="15" t="str">
        <x:v>H01 Pearson; H02 Regression</x:v>
      </x:c>
      <x:c r="J34" s="15" t="str">
        <x:v>Yes</x:v>
      </x:c>
    </x:row>
    <x:row r="35">
      <x:c r="A35" s="15" t="str">
        <x:v>PAC5</x:v>
      </x:c>
      <x:c r="B35" s="15" t="str">
        <x:v>D</x:v>
      </x:c>
      <x:c r="C35" s="15" t="str">
        <x:v>Churn-risk alerts are produced early enough for the institution to intervene.</x:v>
      </x:c>
      <x:c r="D35" s="15" t="str">
        <x:v>Likert 1-5</x:v>
      </x:c>
      <x:c r="E35" s="15" t="str">
        <x:v>1=SD; 2=D; 3=N; 4=A; 5=SA</x:v>
      </x:c>
      <x:c r="F35" s="15" t="str">
        <x:v>PAC</x:v>
      </x:c>
      <x:c r="G35" s="15" t="str">
        <x:v>2,4,5</x:v>
      </x:c>
      <x:c r="H35" s="15" t="str">
        <x:v>RQ2,RQ4,RQ5</x:v>
      </x:c>
      <x:c r="I35" s="15" t="str">
        <x:v>H01 Pearson; H02 Regression</x:v>
      </x:c>
      <x:c r="J35" s="15" t="str">
        <x:v>Yes</x:v>
      </x:c>
    </x:row>
    <x:row r="36">
      <x:c r="A36" s="15" t="str">
        <x:v>PAC6</x:v>
      </x:c>
      <x:c r="B36" s="15" t="str">
        <x:v>D</x:v>
      </x:c>
      <x:c r="C36" s="15" t="str">
        <x:v>Predictive analytics helps prioritize customers who require urgent retention attention.</x:v>
      </x:c>
      <x:c r="D36" s="15" t="str">
        <x:v>Likert 1-5</x:v>
      </x:c>
      <x:c r="E36" s="15" t="str">
        <x:v>1=SD; 2=D; 3=N; 4=A; 5=SA</x:v>
      </x:c>
      <x:c r="F36" s="15" t="str">
        <x:v>PAC</x:v>
      </x:c>
      <x:c r="G36" s="15" t="str">
        <x:v>2,4,5</x:v>
      </x:c>
      <x:c r="H36" s="15" t="str">
        <x:v>RQ2,RQ4,RQ5</x:v>
      </x:c>
      <x:c r="I36" s="15" t="str">
        <x:v>H01 Pearson; H02 Regression</x:v>
      </x:c>
      <x:c r="J36" s="15" t="str">
        <x:v>Yes</x:v>
      </x:c>
    </x:row>
    <x:row r="37">
      <x:c r="A37" s="15" t="str">
        <x:v>PAC7</x:v>
      </x:c>
      <x:c r="B37" s="15" t="str">
        <x:v>D</x:v>
      </x:c>
      <x:c r="C37" s="15" t="str">
        <x:v>The reasons behind churn predictions can be explained clearly enough to guide an appropriate response.</x:v>
      </x:c>
      <x:c r="D37" s="15" t="str">
        <x:v>Likert 1-5</x:v>
      </x:c>
      <x:c r="E37" s="15" t="str">
        <x:v>1=SD; 2=D; 3=N; 4=A; 5=SA</x:v>
      </x:c>
      <x:c r="F37" s="15" t="str">
        <x:v>PAC</x:v>
      </x:c>
      <x:c r="G37" s="15" t="str">
        <x:v>2,4,5</x:v>
      </x:c>
      <x:c r="H37" s="15" t="str">
        <x:v>RQ2,RQ4,RQ5</x:v>
      </x:c>
      <x:c r="I37" s="15" t="str">
        <x:v>H01 Pearson; H02 Regression</x:v>
      </x:c>
      <x:c r="J37" s="15" t="str">
        <x:v>Yes</x:v>
      </x:c>
    </x:row>
    <x:row r="38">
      <x:c r="A38" s="15" t="str">
        <x:v>PAC8</x:v>
      </x:c>
      <x:c r="B38" s="15" t="str">
        <x:v>D</x:v>
      </x:c>
      <x:c r="C38" s="15" t="str">
        <x:v>The performance of churn-prediction models can be monitored and adjusted when customer behaviour or market conditions change.</x:v>
      </x:c>
      <x:c r="D38" s="15" t="str">
        <x:v>Likert 1-5</x:v>
      </x:c>
      <x:c r="E38" s="15" t="str">
        <x:v>1=SD; 2=D; 3=N; 4=A; 5=SA</x:v>
      </x:c>
      <x:c r="F38" s="15" t="str">
        <x:v>PAC</x:v>
      </x:c>
      <x:c r="G38" s="15" t="str">
        <x:v>2,4,5</x:v>
      </x:c>
      <x:c r="H38" s="15" t="str">
        <x:v>RQ2,RQ4,RQ5</x:v>
      </x:c>
      <x:c r="I38" s="15" t="str">
        <x:v>H01 Pearson; H02 Regression</x:v>
      </x:c>
      <x:c r="J38" s="15" t="str">
        <x:v>Yes</x:v>
      </x:c>
    </x:row>
    <x:row r="39">
      <x:c r="A39" s="15" t="str">
        <x:v>MLU1</x:v>
      </x:c>
      <x:c r="B39" s="15" t="str">
        <x:v>E</x:v>
      </x:c>
      <x:c r="C39" s="15" t="str">
        <x:v>Logistic regression is suitable for customer churn prediction in Nigerian digital banking institutions.</x:v>
      </x:c>
      <x:c r="D39" s="15" t="str">
        <x:v>Likert 1-5</x:v>
      </x:c>
      <x:c r="E39" s="15" t="str">
        <x:v>1=SD; 2=D; 3=N; 4=A; 5=SA</x:v>
      </x:c>
      <x:c r="F39" s="15" t="str">
        <x:v>MLU</x:v>
      </x:c>
      <x:c r="G39" s="15" t="str">
        <x:v>3,5</x:v>
      </x:c>
      <x:c r="H39" s="15" t="str">
        <x:v>RQ3,RQ5</x:v>
      </x:c>
      <x:c r="I39" s="15" t="str">
        <x:v>H02 Regression</x:v>
      </x:c>
      <x:c r="J39" s="15" t="str">
        <x:v>Yes</x:v>
      </x:c>
    </x:row>
    <x:row r="40">
      <x:c r="A40" s="15" t="str">
        <x:v>MLU2</x:v>
      </x:c>
      <x:c r="B40" s="15" t="str">
        <x:v>E</x:v>
      </x:c>
      <x:c r="C40" s="15" t="str">
        <x:v>Decision-tree models are suitable for customer churn prediction in Nigerian digital banking institutions.</x:v>
      </x:c>
      <x:c r="D40" s="15" t="str">
        <x:v>Likert 1-5</x:v>
      </x:c>
      <x:c r="E40" s="15" t="str">
        <x:v>1=SD; 2=D; 3=N; 4=A; 5=SA</x:v>
      </x:c>
      <x:c r="F40" s="15" t="str">
        <x:v>MLU</x:v>
      </x:c>
      <x:c r="G40" s="15" t="str">
        <x:v>3,5</x:v>
      </x:c>
      <x:c r="H40" s="15" t="str">
        <x:v>RQ3,RQ5</x:v>
      </x:c>
      <x:c r="I40" s="15" t="str">
        <x:v>H02 Regression</x:v>
      </x:c>
      <x:c r="J40" s="15" t="str">
        <x:v>Yes</x:v>
      </x:c>
    </x:row>
    <x:row r="41">
      <x:c r="A41" s="15" t="str">
        <x:v>MLU3</x:v>
      </x:c>
      <x:c r="B41" s="15" t="str">
        <x:v>E</x:v>
      </x:c>
      <x:c r="C41" s="15" t="str">
        <x:v>Random Forest models are suitable for customer churn prediction in Nigerian digital banking institutions.</x:v>
      </x:c>
      <x:c r="D41" s="15" t="str">
        <x:v>Likert 1-5</x:v>
      </x:c>
      <x:c r="E41" s="15" t="str">
        <x:v>1=SD; 2=D; 3=N; 4=A; 5=SA</x:v>
      </x:c>
      <x:c r="F41" s="15" t="str">
        <x:v>MLU</x:v>
      </x:c>
      <x:c r="G41" s="15" t="str">
        <x:v>3,5</x:v>
      </x:c>
      <x:c r="H41" s="15" t="str">
        <x:v>RQ3,RQ5</x:v>
      </x:c>
      <x:c r="I41" s="15" t="str">
        <x:v>H02 Regression</x:v>
      </x:c>
      <x:c r="J41" s="15" t="str">
        <x:v>Yes</x:v>
      </x:c>
    </x:row>
    <x:row r="42">
      <x:c r="A42" s="15" t="str">
        <x:v>MLU4</x:v>
      </x:c>
      <x:c r="B42" s="15" t="str">
        <x:v>E</x:v>
      </x:c>
      <x:c r="C42" s="15" t="str">
        <x:v>Gradient-boosting techniques such as XGBoost or LightGBM are suitable for customer churn prediction in Nigerian digital banking institutions.</x:v>
      </x:c>
      <x:c r="D42" s="15" t="str">
        <x:v>Likert 1-5</x:v>
      </x:c>
      <x:c r="E42" s="15" t="str">
        <x:v>1=SD; 2=D; 3=N; 4=A; 5=SA</x:v>
      </x:c>
      <x:c r="F42" s="15" t="str">
        <x:v>MLU</x:v>
      </x:c>
      <x:c r="G42" s="15" t="str">
        <x:v>3,5</x:v>
      </x:c>
      <x:c r="H42" s="15" t="str">
        <x:v>RQ3,RQ5</x:v>
      </x:c>
      <x:c r="I42" s="15" t="str">
        <x:v>H02 Regression</x:v>
      </x:c>
      <x:c r="J42" s="15" t="str">
        <x:v>Yes</x:v>
      </x:c>
    </x:row>
    <x:row r="43">
      <x:c r="A43" s="15" t="str">
        <x:v>MLU5</x:v>
      </x:c>
      <x:c r="B43" s="15" t="str">
        <x:v>E</x:v>
      </x:c>
      <x:c r="C43" s="15" t="str">
        <x:v>Support Vector Machines are suitable for customer churn prediction in Nigerian digital banking institutions.</x:v>
      </x:c>
      <x:c r="D43" s="15" t="str">
        <x:v>Likert 1-5</x:v>
      </x:c>
      <x:c r="E43" s="15" t="str">
        <x:v>1=SD; 2=D; 3=N; 4=A; 5=SA</x:v>
      </x:c>
      <x:c r="F43" s="15" t="str">
        <x:v>MLU</x:v>
      </x:c>
      <x:c r="G43" s="15" t="str">
        <x:v>3,5</x:v>
      </x:c>
      <x:c r="H43" s="15" t="str">
        <x:v>RQ3,RQ5</x:v>
      </x:c>
      <x:c r="I43" s="15" t="str">
        <x:v>H02 Regression</x:v>
      </x:c>
      <x:c r="J43" s="15" t="str">
        <x:v>Yes</x:v>
      </x:c>
    </x:row>
    <x:row r="44">
      <x:c r="A44" s="15" t="str">
        <x:v>MLU6</x:v>
      </x:c>
      <x:c r="B44" s="15" t="str">
        <x:v>E</x:v>
      </x:c>
      <x:c r="C44" s="15" t="str">
        <x:v>Artificial neural networks are suitable for customer churn prediction in Nigerian digital banking institutions.</x:v>
      </x:c>
      <x:c r="D44" s="15" t="str">
        <x:v>Likert 1-5</x:v>
      </x:c>
      <x:c r="E44" s="15" t="str">
        <x:v>1=SD; 2=D; 3=N; 4=A; 5=SA</x:v>
      </x:c>
      <x:c r="F44" s="15" t="str">
        <x:v>MLU</x:v>
      </x:c>
      <x:c r="G44" s="15" t="str">
        <x:v>3,5</x:v>
      </x:c>
      <x:c r="H44" s="15" t="str">
        <x:v>RQ3,RQ5</x:v>
      </x:c>
      <x:c r="I44" s="15" t="str">
        <x:v>H02 Regression</x:v>
      </x:c>
      <x:c r="J44" s="15" t="str">
        <x:v>Yes</x:v>
      </x:c>
    </x:row>
    <x:row r="45">
      <x:c r="A45" s="15" t="str">
        <x:v>MLU7</x:v>
      </x:c>
      <x:c r="B45" s="15" t="str">
        <x:v>E</x:v>
      </x:c>
      <x:c r="C45" s="15" t="str">
        <x:v>Deep-learning methods are useful where sequential or high-volume customer transaction data are available.</x:v>
      </x:c>
      <x:c r="D45" s="15" t="str">
        <x:v>Likert 1-5</x:v>
      </x:c>
      <x:c r="E45" s="15" t="str">
        <x:v>1=SD; 2=D; 3=N; 4=A; 5=SA</x:v>
      </x:c>
      <x:c r="F45" s="15" t="str">
        <x:v>MLU</x:v>
      </x:c>
      <x:c r="G45" s="15" t="str">
        <x:v>3,5</x:v>
      </x:c>
      <x:c r="H45" s="15" t="str">
        <x:v>RQ3,RQ5</x:v>
      </x:c>
      <x:c r="I45" s="15" t="str">
        <x:v>H02 Regression</x:v>
      </x:c>
      <x:c r="J45" s="15" t="str">
        <x:v>Yes</x:v>
      </x:c>
    </x:row>
    <x:row r="46">
      <x:c r="A46" s="15" t="str">
        <x:v>MLU8</x:v>
      </x:c>
      <x:c r="B46" s="15" t="str">
        <x:v>E</x:v>
      </x:c>
      <x:c r="C46" s="15" t="str">
        <x:v>Customer segmentation or clustering should be combined with predictive models to improve churn-management decisions.</x:v>
      </x:c>
      <x:c r="D46" s="15" t="str">
        <x:v>Likert 1-5</x:v>
      </x:c>
      <x:c r="E46" s="15" t="str">
        <x:v>1=SD; 2=D; 3=N; 4=A; 5=SA</x:v>
      </x:c>
      <x:c r="F46" s="15" t="str">
        <x:v>MLU</x:v>
      </x:c>
      <x:c r="G46" s="15" t="str">
        <x:v>3,5</x:v>
      </x:c>
      <x:c r="H46" s="15" t="str">
        <x:v>RQ3,RQ5</x:v>
      </x:c>
      <x:c r="I46" s="15" t="str">
        <x:v>H02 Regression</x:v>
      </x:c>
      <x:c r="J46" s="15" t="str">
        <x:v>Yes</x:v>
      </x:c>
    </x:row>
    <x:row r="47">
      <x:c r="A47" s="15" t="str">
        <x:v>MLU9</x:v>
      </x:c>
      <x:c r="B47" s="15" t="str">
        <x:v>E</x:v>
      </x:c>
      <x:c r="C47" s="15" t="str">
        <x:v>Explainable-AI techniques such as SHAP or LIME are important for making churn predictions actionable and trustworthy.</x:v>
      </x:c>
      <x:c r="D47" s="15" t="str">
        <x:v>Likert 1-5</x:v>
      </x:c>
      <x:c r="E47" s="15" t="str">
        <x:v>1=SD; 2=D; 3=N; 4=A; 5=SA</x:v>
      </x:c>
      <x:c r="F47" s="15" t="str">
        <x:v>MLU</x:v>
      </x:c>
      <x:c r="G47" s="15" t="str">
        <x:v>3,5</x:v>
      </x:c>
      <x:c r="H47" s="15" t="str">
        <x:v>RQ3,RQ5</x:v>
      </x:c>
      <x:c r="I47" s="15" t="str">
        <x:v>H02 Regression</x:v>
      </x:c>
      <x:c r="J47" s="15" t="str">
        <x:v>Yes</x:v>
      </x:c>
    </x:row>
    <x:row r="48">
      <x:c r="A48" s="15" t="str">
        <x:v>RSO1</x:v>
      </x:c>
      <x:c r="B48" s="15" t="str">
        <x:v>F1</x:v>
      </x:c>
      <x:c r="C48" s="15" t="str">
        <x:v>AI-generated churn insights enable the institution to target retention actions at the customers who need them most.</x:v>
      </x:c>
      <x:c r="D48" s="15" t="str">
        <x:v>Likert 1-5</x:v>
      </x:c>
      <x:c r="E48" s="15" t="str">
        <x:v>1=SD; 2=D; 3=N; 4=A; 5=SA</x:v>
      </x:c>
      <x:c r="F48" s="15" t="str">
        <x:v>RSO</x:v>
      </x:c>
      <x:c r="G48" s="15" t="str">
        <x:v>5</x:v>
      </x:c>
      <x:c r="H48" s="15" t="str">
        <x:v>RQ5</x:v>
      </x:c>
      <x:c r="I48" s="15" t="str">
        <x:v>H02 Regression DV</x:v>
      </x:c>
      <x:c r="J48" s="15" t="str">
        <x:v>Yes</x:v>
      </x:c>
    </x:row>
    <x:row r="49">
      <x:c r="A49" s="15" t="str">
        <x:v>RSO2</x:v>
      </x:c>
      <x:c r="B49" s="15" t="str">
        <x:v>F1</x:v>
      </x:c>
      <x:c r="C49" s="15" t="str">
        <x:v>Predictive insights improve the personalization of retention offers and customer communication.</x:v>
      </x:c>
      <x:c r="D49" s="15" t="str">
        <x:v>Likert 1-5</x:v>
      </x:c>
      <x:c r="E49" s="15" t="str">
        <x:v>1=SD; 2=D; 3=N; 4=A; 5=SA</x:v>
      </x:c>
      <x:c r="F49" s="15" t="str">
        <x:v>RSO</x:v>
      </x:c>
      <x:c r="G49" s="15" t="str">
        <x:v>5</x:v>
      </x:c>
      <x:c r="H49" s="15" t="str">
        <x:v>RQ5</x:v>
      </x:c>
      <x:c r="I49" s="15" t="str">
        <x:v>H02 Regression DV</x:v>
      </x:c>
      <x:c r="J49" s="15" t="str">
        <x:v>Yes</x:v>
      </x:c>
    </x:row>
    <x:row r="50">
      <x:c r="A50" s="15" t="str">
        <x:v>RSO3</x:v>
      </x:c>
      <x:c r="B50" s="15" t="str">
        <x:v>F1</x:v>
      </x:c>
      <x:c r="C50" s="15" t="str">
        <x:v>AI-generated insights improve the timing of retention interventions.</x:v>
      </x:c>
      <x:c r="D50" s="15" t="str">
        <x:v>Likert 1-5</x:v>
      </x:c>
      <x:c r="E50" s="15" t="str">
        <x:v>1=SD; 2=D; 3=N; 4=A; 5=SA</x:v>
      </x:c>
      <x:c r="F50" s="15" t="str">
        <x:v>RSO</x:v>
      </x:c>
      <x:c r="G50" s="15" t="str">
        <x:v>5</x:v>
      </x:c>
      <x:c r="H50" s="15" t="str">
        <x:v>RQ5</x:v>
      </x:c>
      <x:c r="I50" s="15" t="str">
        <x:v>H02 Regression DV</x:v>
      </x:c>
      <x:c r="J50" s="15" t="str">
        <x:v>Yes</x:v>
      </x:c>
    </x:row>
    <x:row r="51">
      <x:c r="A51" s="15" t="str">
        <x:v>RSO4</x:v>
      </x:c>
      <x:c r="B51" s="15" t="str">
        <x:v>F1</x:v>
      </x:c>
      <x:c r="C51" s="15" t="str">
        <x:v>Predictive analytics helps select the most appropriate communication channel or treatment for an at-risk customer.</x:v>
      </x:c>
      <x:c r="D51" s="15" t="str">
        <x:v>Likert 1-5</x:v>
      </x:c>
      <x:c r="E51" s="15" t="str">
        <x:v>1=SD; 2=D; 3=N; 4=A; 5=SA</x:v>
      </x:c>
      <x:c r="F51" s="15" t="str">
        <x:v>RSO</x:v>
      </x:c>
      <x:c r="G51" s="15" t="str">
        <x:v>5</x:v>
      </x:c>
      <x:c r="H51" s="15" t="str">
        <x:v>RQ5</x:v>
      </x:c>
      <x:c r="I51" s="15" t="str">
        <x:v>H02 Regression DV</x:v>
      </x:c>
      <x:c r="J51" s="15" t="str">
        <x:v>Yes</x:v>
      </x:c>
    </x:row>
    <x:row r="52">
      <x:c r="A52" s="15" t="str">
        <x:v>RSO5</x:v>
      </x:c>
      <x:c r="B52" s="15" t="str">
        <x:v>F1</x:v>
      </x:c>
      <x:c r="C52" s="15" t="str">
        <x:v>Combining churn risk with customer value helps the institution prioritize retention resources more effectively.</x:v>
      </x:c>
      <x:c r="D52" s="15" t="str">
        <x:v>Likert 1-5</x:v>
      </x:c>
      <x:c r="E52" s="15" t="str">
        <x:v>1=SD; 2=D; 3=N; 4=A; 5=SA</x:v>
      </x:c>
      <x:c r="F52" s="15" t="str">
        <x:v>RSO</x:v>
      </x:c>
      <x:c r="G52" s="15" t="str">
        <x:v>5</x:v>
      </x:c>
      <x:c r="H52" s="15" t="str">
        <x:v>RQ5</x:v>
      </x:c>
      <x:c r="I52" s="15" t="str">
        <x:v>H02 Regression DV</x:v>
      </x:c>
      <x:c r="J52" s="15" t="str">
        <x:v>Yes</x:v>
      </x:c>
    </x:row>
    <x:row r="53">
      <x:c r="A53" s="15" t="str">
        <x:v>RSO6</x:v>
      </x:c>
      <x:c r="B53" s="15" t="str">
        <x:v>F1</x:v>
      </x:c>
      <x:c r="C53" s="15" t="str">
        <x:v>Knowing the likely reason for churn enables more appropriate service-recovery actions.</x:v>
      </x:c>
      <x:c r="D53" s="15" t="str">
        <x:v>Likert 1-5</x:v>
      </x:c>
      <x:c r="E53" s="15" t="str">
        <x:v>1=SD; 2=D; 3=N; 4=A; 5=SA</x:v>
      </x:c>
      <x:c r="F53" s="15" t="str">
        <x:v>RSO</x:v>
      </x:c>
      <x:c r="G53" s="15" t="str">
        <x:v>5</x:v>
      </x:c>
      <x:c r="H53" s="15" t="str">
        <x:v>RQ5</x:v>
      </x:c>
      <x:c r="I53" s="15" t="str">
        <x:v>H02 Regression DV</x:v>
      </x:c>
      <x:c r="J53" s="15" t="str">
        <x:v>Yes</x:v>
      </x:c>
    </x:row>
    <x:row r="54">
      <x:c r="A54" s="15" t="str">
        <x:v>RSO7</x:v>
      </x:c>
      <x:c r="B54" s="15" t="str">
        <x:v>F1</x:v>
      </x:c>
      <x:c r="C54" s="15" t="str">
        <x:v>AI-driven targeting reduces wasteful retention spending on customers who do not require intervention.</x:v>
      </x:c>
      <x:c r="D54" s="15" t="str">
        <x:v>Likert 1-5</x:v>
      </x:c>
      <x:c r="E54" s="15" t="str">
        <x:v>1=SD; 2=D; 3=N; 4=A; 5=SA</x:v>
      </x:c>
      <x:c r="F54" s="15" t="str">
        <x:v>RSO</x:v>
      </x:c>
      <x:c r="G54" s="15" t="str">
        <x:v>5</x:v>
      </x:c>
      <x:c r="H54" s="15" t="str">
        <x:v>RQ5</x:v>
      </x:c>
      <x:c r="I54" s="15" t="str">
        <x:v>H02 Regression DV</x:v>
      </x:c>
      <x:c r="J54" s="15" t="str">
        <x:v>Yes</x:v>
      </x:c>
    </x:row>
    <x:row r="55">
      <x:c r="A55" s="15" t="str">
        <x:v>RSO8</x:v>
      </x:c>
      <x:c r="B55" s="15" t="str">
        <x:v>F1</x:v>
      </x:c>
      <x:c r="C55" s="15" t="str">
        <x:v>Feedback from retention outcomes is used to improve future churn models and interventions.</x:v>
      </x:c>
      <x:c r="D55" s="15" t="str">
        <x:v>Likert 1-5</x:v>
      </x:c>
      <x:c r="E55" s="15" t="str">
        <x:v>1=SD; 2=D; 3=N; 4=A; 5=SA</x:v>
      </x:c>
      <x:c r="F55" s="15" t="str">
        <x:v>RSO</x:v>
      </x:c>
      <x:c r="G55" s="15" t="str">
        <x:v>5</x:v>
      </x:c>
      <x:c r="H55" s="15" t="str">
        <x:v>RQ5</x:v>
      </x:c>
      <x:c r="I55" s="15" t="str">
        <x:v>H02 Regression DV</x:v>
      </x:c>
      <x:c r="J55" s="15" t="str">
        <x:v>Yes</x:v>
      </x:c>
    </x:row>
    <x:row r="56">
      <x:c r="A56" s="15" t="str">
        <x:v>CRE1</x:v>
      </x:c>
      <x:c r="B56" s="15" t="str">
        <x:v>F2</x:v>
      </x:c>
      <x:c r="C56" s="15" t="str">
        <x:v>AI-driven predictive analytics has contributed to reducing customer churn in my institution.</x:v>
      </x:c>
      <x:c r="D56" s="15" t="str">
        <x:v>Likert 1-5</x:v>
      </x:c>
      <x:c r="E56" s="15" t="str">
        <x:v>1=SD; 2=D; 3=N; 4=A; 5=SA</x:v>
      </x:c>
      <x:c r="F56" s="15" t="str">
        <x:v>CRE</x:v>
      </x:c>
      <x:c r="G56" s="15" t="str">
        <x:v>4</x:v>
      </x:c>
      <x:c r="H56" s="15" t="str">
        <x:v>RQ4</x:v>
      </x:c>
      <x:c r="I56" s="15" t="str">
        <x:v>H03 ANOVA DV</x:v>
      </x:c>
      <x:c r="J56" s="15" t="str">
        <x:v>Yes</x:v>
      </x:c>
    </x:row>
    <x:row r="57">
      <x:c r="A57" s="15" t="str">
        <x:v>CRE2</x:v>
      </x:c>
      <x:c r="B57" s="15" t="str">
        <x:v>F2</x:v>
      </x:c>
      <x:c r="C57" s="15" t="str">
        <x:v>AI-enabled retention practices have helped sustain customers' use of digital banking services.</x:v>
      </x:c>
      <x:c r="D57" s="15" t="str">
        <x:v>Likert 1-5</x:v>
      </x:c>
      <x:c r="E57" s="15" t="str">
        <x:v>1=SD; 2=D; 3=N; 4=A; 5=SA</x:v>
      </x:c>
      <x:c r="F57" s="15" t="str">
        <x:v>CRE</x:v>
      </x:c>
      <x:c r="G57" s="15" t="str">
        <x:v>4</x:v>
      </x:c>
      <x:c r="H57" s="15" t="str">
        <x:v>RQ4</x:v>
      </x:c>
      <x:c r="I57" s="15" t="str">
        <x:v>H03 ANOVA DV</x:v>
      </x:c>
      <x:c r="J57" s="15" t="str">
        <x:v>Yes</x:v>
      </x:c>
    </x:row>
    <x:row r="58">
      <x:c r="A58" s="15" t="str">
        <x:v>CRE3</x:v>
      </x:c>
      <x:c r="B58" s="15" t="str">
        <x:v>F2</x:v>
      </x:c>
      <x:c r="C58" s="15" t="str">
        <x:v>AI-enabled retention practices have improved customer engagement.</x:v>
      </x:c>
      <x:c r="D58" s="15" t="str">
        <x:v>Likert 1-5</x:v>
      </x:c>
      <x:c r="E58" s="15" t="str">
        <x:v>1=SD; 2=D; 3=N; 4=A; 5=SA</x:v>
      </x:c>
      <x:c r="F58" s="15" t="str">
        <x:v>CRE</x:v>
      </x:c>
      <x:c r="G58" s="15" t="str">
        <x:v>4</x:v>
      </x:c>
      <x:c r="H58" s="15" t="str">
        <x:v>RQ4</x:v>
      </x:c>
      <x:c r="I58" s="15" t="str">
        <x:v>H03 ANOVA DV</x:v>
      </x:c>
      <x:c r="J58" s="15" t="str">
        <x:v>Yes</x:v>
      </x:c>
    </x:row>
    <x:row r="59">
      <x:c r="A59" s="15" t="str">
        <x:v>CRE4</x:v>
      </x:c>
      <x:c r="B59" s="15" t="str">
        <x:v>F2</x:v>
      </x:c>
      <x:c r="C59" s="15" t="str">
        <x:v>AI-enabled retention practices have improved customer loyalty or relationship continuity.</x:v>
      </x:c>
      <x:c r="D59" s="15" t="str">
        <x:v>Likert 1-5</x:v>
      </x:c>
      <x:c r="E59" s="15" t="str">
        <x:v>1=SD; 2=D; 3=N; 4=A; 5=SA</x:v>
      </x:c>
      <x:c r="F59" s="15" t="str">
        <x:v>CRE</x:v>
      </x:c>
      <x:c r="G59" s="15" t="str">
        <x:v>4</x:v>
      </x:c>
      <x:c r="H59" s="15" t="str">
        <x:v>RQ4</x:v>
      </x:c>
      <x:c r="I59" s="15" t="str">
        <x:v>H03 ANOVA DV</x:v>
      </x:c>
      <x:c r="J59" s="15" t="str">
        <x:v>Yes</x:v>
      </x:c>
    </x:row>
    <x:row r="60">
      <x:c r="A60" s="15" t="str">
        <x:v>CRE5</x:v>
      </x:c>
      <x:c r="B60" s="15" t="str">
        <x:v>F2</x:v>
      </x:c>
      <x:c r="C60" s="15" t="str">
        <x:v>AI-driven churn prediction has improved the effectiveness of retention campaigns or service-recovery efforts.</x:v>
      </x:c>
      <x:c r="D60" s="15" t="str">
        <x:v>Likert 1-5</x:v>
      </x:c>
      <x:c r="E60" s="15" t="str">
        <x:v>1=SD; 2=D; 3=N; 4=A; 5=SA</x:v>
      </x:c>
      <x:c r="F60" s="15" t="str">
        <x:v>CRE</x:v>
      </x:c>
      <x:c r="G60" s="15" t="str">
        <x:v>4</x:v>
      </x:c>
      <x:c r="H60" s="15" t="str">
        <x:v>RQ4</x:v>
      </x:c>
      <x:c r="I60" s="15" t="str">
        <x:v>H03 ANOVA DV</x:v>
      </x:c>
      <x:c r="J60" s="15" t="str">
        <x:v>Yes</x:v>
      </x:c>
    </x:row>
    <x:row r="61">
      <x:c r="A61" s="15" t="str">
        <x:v>CRE6</x:v>
      </x:c>
      <x:c r="B61" s="15" t="str">
        <x:v>F2</x:v>
      </x:c>
      <x:c r="C61" s="15" t="str">
        <x:v>AI-driven churn prediction helps reduce silent migration of customer activity to competing providers.</x:v>
      </x:c>
      <x:c r="D61" s="15" t="str">
        <x:v>Likert 1-5</x:v>
      </x:c>
      <x:c r="E61" s="15" t="str">
        <x:v>1=SD; 2=D; 3=N; 4=A; 5=SA</x:v>
      </x:c>
      <x:c r="F61" s="15" t="str">
        <x:v>CRE</x:v>
      </x:c>
      <x:c r="G61" s="15" t="str">
        <x:v>4</x:v>
      </x:c>
      <x:c r="H61" s="15" t="str">
        <x:v>RQ4</x:v>
      </x:c>
      <x:c r="I61" s="15" t="str">
        <x:v>H03 ANOVA DV</x:v>
      </x:c>
      <x:c r="J61" s="15" t="str">
        <x:v>Yes</x:v>
      </x:c>
    </x:row>
    <x:row r="62">
      <x:c r="A62" s="15" t="str">
        <x:v>IMP1</x:v>
      </x:c>
      <x:c r="B62" s="15" t="str">
        <x:v>F3</x:v>
      </x:c>
      <x:c r="C62" s="15" t="str">
        <x:v>High-quality, accessible customer data are essential for successful AI-enabled churn management.</x:v>
      </x:c>
      <x:c r="D62" s="15" t="str">
        <x:v>Likert 1-5</x:v>
      </x:c>
      <x:c r="E62" s="15" t="str">
        <x:v>1=SD; 2=D; 3=N; 4=A; 5=SA</x:v>
      </x:c>
      <x:c r="F62" s="15" t="str">
        <x:v>IMP</x:v>
      </x:c>
      <x:c r="G62" s="15" t="str">
        <x:v>6</x:v>
      </x:c>
      <x:c r="H62" s="15" t="str">
        <x:v>RQ6</x:v>
      </x:c>
      <x:c r="I62" s="15" t="str">
        <x:v>Framework synthesis</x:v>
      </x:c>
      <x:c r="J62" s="15" t="str">
        <x:v>Yes</x:v>
      </x:c>
    </x:row>
    <x:row r="63">
      <x:c r="A63" s="15" t="str">
        <x:v>IMP2</x:v>
      </x:c>
      <x:c r="B63" s="15" t="str">
        <x:v>F3</x:v>
      </x:c>
      <x:c r="C63" s="15" t="str">
        <x:v>Banks need adequate analytical and AI skills to translate churn predictions into business action.</x:v>
      </x:c>
      <x:c r="D63" s="15" t="str">
        <x:v>Likert 1-5</x:v>
      </x:c>
      <x:c r="E63" s="15" t="str">
        <x:v>1=SD; 2=D; 3=N; 4=A; 5=SA</x:v>
      </x:c>
      <x:c r="F63" s="15" t="str">
        <x:v>IMP</x:v>
      </x:c>
      <x:c r="G63" s="15" t="str">
        <x:v>6</x:v>
      </x:c>
      <x:c r="H63" s="15" t="str">
        <x:v>RQ6</x:v>
      </x:c>
      <x:c r="I63" s="15" t="str">
        <x:v>Framework synthesis</x:v>
      </x:c>
      <x:c r="J63" s="15" t="str">
        <x:v>Yes</x:v>
      </x:c>
    </x:row>
    <x:row r="64">
      <x:c r="A64" s="15" t="str">
        <x:v>IMP3</x:v>
      </x:c>
      <x:c r="B64" s="15" t="str">
        <x:v>F3</x:v>
      </x:c>
      <x:c r="C64" s="15" t="str">
        <x:v>AI-enabled churn systems should comply with applicable data-protection, privacy, and customer-protection requirements.</x:v>
      </x:c>
      <x:c r="D64" s="15" t="str">
        <x:v>Likert 1-5</x:v>
      </x:c>
      <x:c r="E64" s="15" t="str">
        <x:v>1=SD; 2=D; 3=N; 4=A; 5=SA</x:v>
      </x:c>
      <x:c r="F64" s="15" t="str">
        <x:v>IMP</x:v>
      </x:c>
      <x:c r="G64" s="15" t="str">
        <x:v>6</x:v>
      </x:c>
      <x:c r="H64" s="15" t="str">
        <x:v>RQ6</x:v>
      </x:c>
      <x:c r="I64" s="15" t="str">
        <x:v>Framework synthesis</x:v>
      </x:c>
      <x:c r="J64" s="15" t="str">
        <x:v>Yes</x:v>
      </x:c>
    </x:row>
    <x:row r="65">
      <x:c r="A65" s="15" t="str">
        <x:v>IMP4</x:v>
      </x:c>
      <x:c r="B65" s="15" t="str">
        <x:v>F3</x:v>
      </x:c>
      <x:c r="C65" s="15" t="str">
        <x:v>Explainability should be built into churn systems so managers can understand and act on model outputs.</x:v>
      </x:c>
      <x:c r="D65" s="15" t="str">
        <x:v>Likert 1-5</x:v>
      </x:c>
      <x:c r="E65" s="15" t="str">
        <x:v>1=SD; 2=D; 3=N; 4=A; 5=SA</x:v>
      </x:c>
      <x:c r="F65" s="15" t="str">
        <x:v>IMP</x:v>
      </x:c>
      <x:c r="G65" s="15" t="str">
        <x:v>6</x:v>
      </x:c>
      <x:c r="H65" s="15" t="str">
        <x:v>RQ6</x:v>
      </x:c>
      <x:c r="I65" s="15" t="str">
        <x:v>Framework synthesis</x:v>
      </x:c>
      <x:c r="J65" s="15" t="str">
        <x:v>Yes</x:v>
      </x:c>
    </x:row>
    <x:row r="66">
      <x:c r="A66" s="15" t="str">
        <x:v>IMP5</x:v>
      </x:c>
      <x:c r="B66" s="15" t="str">
        <x:v>F3</x:v>
      </x:c>
      <x:c r="C66" s="15" t="str">
        <x:v>Human oversight should remain part of customer-retention decisions informed by AI.</x:v>
      </x:c>
      <x:c r="D66" s="15" t="str">
        <x:v>Likert 1-5</x:v>
      </x:c>
      <x:c r="E66" s="15" t="str">
        <x:v>1=SD; 2=D; 3=N; 4=A; 5=SA</x:v>
      </x:c>
      <x:c r="F66" s="15" t="str">
        <x:v>IMP</x:v>
      </x:c>
      <x:c r="G66" s="15" t="str">
        <x:v>6</x:v>
      </x:c>
      <x:c r="H66" s="15" t="str">
        <x:v>RQ6</x:v>
      </x:c>
      <x:c r="I66" s="15" t="str">
        <x:v>Framework synthesis</x:v>
      </x:c>
      <x:c r="J66" s="15" t="str">
        <x:v>Yes</x:v>
      </x:c>
    </x:row>
    <x:row r="67">
      <x:c r="A67" s="15" t="str">
        <x:v>IMP6</x:v>
      </x:c>
      <x:c r="B67" s="15" t="str">
        <x:v>F3</x:v>
      </x:c>
      <x:c r="C67" s="15" t="str">
        <x:v>Churn models should be monitored for performance deterioration, bias, and changing customer behaviour.</x:v>
      </x:c>
      <x:c r="D67" s="15" t="str">
        <x:v>Likert 1-5</x:v>
      </x:c>
      <x:c r="E67" s="15" t="str">
        <x:v>1=SD; 2=D; 3=N; 4=A; 5=SA</x:v>
      </x:c>
      <x:c r="F67" s="15" t="str">
        <x:v>IMP</x:v>
      </x:c>
      <x:c r="G67" s="15" t="str">
        <x:v>6</x:v>
      </x:c>
      <x:c r="H67" s="15" t="str">
        <x:v>RQ6</x:v>
      </x:c>
      <x:c r="I67" s="15" t="str">
        <x:v>Framework synthesis</x:v>
      </x:c>
      <x:c r="J67" s="15" t="str">
        <x:v>Yes</x:v>
      </x:c>
    </x:row>
    <x:row r="68">
      <x:c r="A68" s="15" t="str">
        <x:v>IMP7</x:v>
      </x:c>
      <x:c r="B68" s="15" t="str">
        <x:v>F3</x:v>
      </x:c>
      <x:c r="C68" s="15" t="str">
        <x:v>Clear cross-functional ownership across business, technology, data, customer experience, and governance teams is necessary for successful implementation.</x:v>
      </x:c>
      <x:c r="D68" s="15" t="str">
        <x:v>Likert 1-5</x:v>
      </x:c>
      <x:c r="E68" s="15" t="str">
        <x:v>1=SD; 2=D; 3=N; 4=A; 5=SA</x:v>
      </x:c>
      <x:c r="F68" s="15" t="str">
        <x:v>IMP</x:v>
      </x:c>
      <x:c r="G68" s="15" t="str">
        <x:v>6</x:v>
      </x:c>
      <x:c r="H68" s="15" t="str">
        <x:v>RQ6</x:v>
      </x:c>
      <x:c r="I68" s="15" t="str">
        <x:v>Framework synthesis</x:v>
      </x:c>
      <x:c r="J68" s="15" t="str">
        <x:v>Yes</x:v>
      </x:c>
    </x:row>
    <x:row r="69">
      <x:c r="A69" s="15" t="str">
        <x:v>IMP8</x:v>
      </x:c>
      <x:c r="B69" s="15" t="str">
        <x:v>F3</x:v>
      </x:c>
      <x:c r="C69" s="15" t="str">
        <x:v>Accurate churn prediction will have limited retention value if underlying service-quality problems are not corrected.</x:v>
      </x:c>
      <x:c r="D69" s="15" t="str">
        <x:v>Likert 1-5</x:v>
      </x:c>
      <x:c r="E69" s="15" t="str">
        <x:v>1=SD; 2=D; 3=N; 4=A; 5=SA</x:v>
      </x:c>
      <x:c r="F69" s="15" t="str">
        <x:v>IMP</x:v>
      </x:c>
      <x:c r="G69" s="15" t="str">
        <x:v>6</x:v>
      </x:c>
      <x:c r="H69" s="15" t="str">
        <x:v>RQ6</x:v>
      </x:c>
      <x:c r="I69" s="15" t="str">
        <x:v>Framework synthesis</x:v>
      </x:c>
      <x:c r="J69" s="15" t="str">
        <x:v>Yes</x:v>
      </x:c>
    </x:row>
    <x:row r="70">
      <x:c r="A70" s="15" t="str">
        <x:v>CHD_Mean</x:v>
      </x:c>
      <x:c r="B70" s="15" t="str">
        <x:v>Derived</x:v>
      </x:c>
      <x:c r="C70" s="15" t="str">
        <x:v>Customer Churn Determinants mean</x:v>
      </x:c>
      <x:c r="D70" s="15" t="str">
        <x:v>Continuous 1-5</x:v>
      </x:c>
      <x:c r="E70" s="15" t="str">
        <x:v>Formula / SPSS compute</x:v>
      </x:c>
      <x:c r="F70" s="15" t="str">
        <x:v>Customer Churn Determinants</x:v>
      </x:c>
      <x:c r="G70" s="15" t="str"/>
      <x:c r="H70" s="15" t="str"/>
      <x:c r="I70" s="15" t="str">
        <x:v>Derived composite</x:v>
      </x:c>
      <x:c r="J70" s="15" t="str">
        <x:v>Derived</x:v>
      </x:c>
    </x:row>
    <x:row r="71">
      <x:c r="A71" s="15" t="str">
        <x:v>AIA_Mean</x:v>
      </x:c>
      <x:c r="B71" s="15" t="str">
        <x:v>Derived</x:v>
      </x:c>
      <x:c r="C71" s="15" t="str">
        <x:v>AI Adoption mean</x:v>
      </x:c>
      <x:c r="D71" s="15" t="str">
        <x:v>Continuous 1-5</x:v>
      </x:c>
      <x:c r="E71" s="15" t="str">
        <x:v>Formula / SPSS compute</x:v>
      </x:c>
      <x:c r="F71" s="15" t="str">
        <x:v>AI Adoption</x:v>
      </x:c>
      <x:c r="G71" s="15" t="str"/>
      <x:c r="H71" s="15" t="str"/>
      <x:c r="I71" s="15" t="str">
        <x:v>Derived composite</x:v>
      </x:c>
      <x:c r="J71" s="15" t="str">
        <x:v>Derived</x:v>
      </x:c>
    </x:row>
    <x:row r="72">
      <x:c r="A72" s="15" t="str">
        <x:v>PAC_Mean</x:v>
      </x:c>
      <x:c r="B72" s="15" t="str">
        <x:v>Derived</x:v>
      </x:c>
      <x:c r="C72" s="15" t="str">
        <x:v>Predictive Analytics Capability mean</x:v>
      </x:c>
      <x:c r="D72" s="15" t="str">
        <x:v>Continuous 1-5</x:v>
      </x:c>
      <x:c r="E72" s="15" t="str">
        <x:v>Formula / SPSS compute</x:v>
      </x:c>
      <x:c r="F72" s="15" t="str">
        <x:v>Predictive Analytics Capability</x:v>
      </x:c>
      <x:c r="G72" s="15" t="str"/>
      <x:c r="H72" s="15" t="str"/>
      <x:c r="I72" s="15" t="str">
        <x:v>Derived composite</x:v>
      </x:c>
      <x:c r="J72" s="15" t="str">
        <x:v>Derived</x:v>
      </x:c>
    </x:row>
    <x:row r="73">
      <x:c r="A73" s="15" t="str">
        <x:v>MLU_Mean</x:v>
      </x:c>
      <x:c r="B73" s="15" t="str">
        <x:v>Derived</x:v>
      </x:c>
      <x:c r="C73" s="15" t="str">
        <x:v>ML Technique Suitability mean</x:v>
      </x:c>
      <x:c r="D73" s="15" t="str">
        <x:v>Continuous 1-5</x:v>
      </x:c>
      <x:c r="E73" s="15" t="str">
        <x:v>Formula / SPSS compute</x:v>
      </x:c>
      <x:c r="F73" s="15" t="str">
        <x:v>ML Technique Suitability</x:v>
      </x:c>
      <x:c r="G73" s="15" t="str"/>
      <x:c r="H73" s="15" t="str"/>
      <x:c r="I73" s="15" t="str">
        <x:v>Derived composite</x:v>
      </x:c>
      <x:c r="J73" s="15" t="str">
        <x:v>Derived</x:v>
      </x:c>
    </x:row>
    <x:row r="74">
      <x:c r="A74" s="15" t="str">
        <x:v>RSO_Mean</x:v>
      </x:c>
      <x:c r="B74" s="15" t="str">
        <x:v>Derived</x:v>
      </x:c>
      <x:c r="C74" s="15" t="str">
        <x:v>Retention Strategy Optimization mean</x:v>
      </x:c>
      <x:c r="D74" s="15" t="str">
        <x:v>Continuous 1-5</x:v>
      </x:c>
      <x:c r="E74" s="15" t="str">
        <x:v>Formula / SPSS compute</x:v>
      </x:c>
      <x:c r="F74" s="15" t="str">
        <x:v>Retention Strategy Optimization</x:v>
      </x:c>
      <x:c r="G74" s="15" t="str"/>
      <x:c r="H74" s="15" t="str"/>
      <x:c r="I74" s="15" t="str">
        <x:v>Derived composite</x:v>
      </x:c>
      <x:c r="J74" s="15" t="str">
        <x:v>Derived</x:v>
      </x:c>
    </x:row>
    <x:row r="75">
      <x:c r="A75" s="15" t="str">
        <x:v>CRE_Mean</x:v>
      </x:c>
      <x:c r="B75" s="15" t="str">
        <x:v>Derived</x:v>
      </x:c>
      <x:c r="C75" s="15" t="str">
        <x:v>Customer Retention Effectiveness mean</x:v>
      </x:c>
      <x:c r="D75" s="15" t="str">
        <x:v>Continuous 1-5</x:v>
      </x:c>
      <x:c r="E75" s="15" t="str">
        <x:v>Formula / SPSS compute</x:v>
      </x:c>
      <x:c r="F75" s="15" t="str">
        <x:v>Customer Retention Effectiveness</x:v>
      </x:c>
      <x:c r="G75" s="15" t="str"/>
      <x:c r="H75" s="15" t="str"/>
      <x:c r="I75" s="15" t="str">
        <x:v>Derived composite</x:v>
      </x:c>
      <x:c r="J75" s="15" t="str">
        <x:v>Derived</x:v>
      </x:c>
    </x:row>
    <x:row r="76">
      <x:c r="A76" s="15" t="str">
        <x:v>IMP_Mean</x:v>
      </x:c>
      <x:c r="B76" s="15" t="str">
        <x:v>Derived</x:v>
      </x:c>
      <x:c r="C76" s="15" t="str">
        <x:v>Implementation/Governance mean</x:v>
      </x:c>
      <x:c r="D76" s="15" t="str">
        <x:v>Continuous 1-5</x:v>
      </x:c>
      <x:c r="E76" s="15" t="str">
        <x:v>Formula / SPSS compute</x:v>
      </x:c>
      <x:c r="F76" s="15" t="str">
        <x:v>Implementation/Governance</x:v>
      </x:c>
      <x:c r="G76" s="15" t="str"/>
      <x:c r="H76" s="15" t="str"/>
      <x:c r="I76" s="15" t="str">
        <x:v>Derived composite</x:v>
      </x:c>
      <x:c r="J76" s="15" t="str">
        <x:v>Derived</x:v>
      </x:c>
    </x:row>
  </x:sheetData>
  <x:pageMargins left="0.7" right="0.7" top="0.75" bottom="0.75" header="0.3" footer="0.3"/>
  <x:tableParts count="1">
    <x:tablePart xmlns:r="http://schemas.openxmlformats.org/officeDocument/2006/relationships" r:id="Rf736f056cd134a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</x:cols>
  <x:sheetData>
    <x:row r="1" ht="28" customHeight="1">
      <x:c r="A1" s="35" t="str">
        <x:v>Respondent_ID</x:v>
      </x:c>
      <x:c r="B1" s="35" t="str">
        <x:v>Valid_Record</x:v>
      </x:c>
      <x:c r="C1" s="35" t="str">
        <x:v>Consent</x:v>
      </x:c>
      <x:c r="D1" s="35" t="str">
        <x:v>A1</x:v>
      </x:c>
      <x:c r="E1" s="35" t="str">
        <x:v>A2</x:v>
      </x:c>
      <x:c r="F1" s="35" t="str">
        <x:v>A3</x:v>
      </x:c>
      <x:c r="G1" s="35" t="str">
        <x:v>A4</x:v>
      </x:c>
      <x:c r="H1" s="35" t="str">
        <x:v>A5</x:v>
      </x:c>
      <x:c r="I1" s="35" t="str">
        <x:v>A6</x:v>
      </x:c>
      <x:c r="J1" s="35" t="str">
        <x:v>A7</x:v>
      </x:c>
      <x:c r="K1" s="35" t="str">
        <x:v>A8</x:v>
      </x:c>
      <x:c r="L1" s="35" t="str">
        <x:v>A9</x:v>
      </x:c>
      <x:c r="M1" s="35" t="str">
        <x:v>A10</x:v>
      </x:c>
      <x:c r="N1" s="35" t="str">
        <x:v>CHD1</x:v>
      </x:c>
      <x:c r="O1" s="35" t="str">
        <x:v>CHD2</x:v>
      </x:c>
      <x:c r="P1" s="35" t="str">
        <x:v>CHD3</x:v>
      </x:c>
      <x:c r="Q1" s="35" t="str">
        <x:v>CHD4</x:v>
      </x:c>
      <x:c r="R1" s="35" t="str">
        <x:v>CHD5</x:v>
      </x:c>
      <x:c r="S1" s="35" t="str">
        <x:v>CHD6</x:v>
      </x:c>
      <x:c r="T1" s="35" t="str">
        <x:v>CHD7</x:v>
      </x:c>
      <x:c r="U1" s="35" t="str">
        <x:v>CHD8</x:v>
      </x:c>
      <x:c r="V1" s="35" t="str">
        <x:v>CHD9</x:v>
      </x:c>
      <x:c r="W1" s="35" t="str">
        <x:v>CHD10</x:v>
      </x:c>
      <x:c r="X1" s="35" t="str">
        <x:v>AIA1</x:v>
      </x:c>
      <x:c r="Y1" s="35" t="str">
        <x:v>AIA2</x:v>
      </x:c>
      <x:c r="Z1" s="35" t="str">
        <x:v>AIA3</x:v>
      </x:c>
      <x:c r="AA1" s="35" t="str">
        <x:v>AIA4</x:v>
      </x:c>
      <x:c r="AB1" s="35" t="str">
        <x:v>AIA5</x:v>
      </x:c>
      <x:c r="AC1" s="35" t="str">
        <x:v>AIA6</x:v>
      </x:c>
      <x:c r="AD1" s="35" t="str">
        <x:v>AIA7</x:v>
      </x:c>
      <x:c r="AE1" s="35" t="str">
        <x:v>AIA8</x:v>
      </x:c>
      <x:c r="AF1" s="35" t="str">
        <x:v>PAC1</x:v>
      </x:c>
      <x:c r="AG1" s="35" t="str">
        <x:v>PAC2</x:v>
      </x:c>
      <x:c r="AH1" s="35" t="str">
        <x:v>PAC3</x:v>
      </x:c>
      <x:c r="AI1" s="35" t="str">
        <x:v>PAC4</x:v>
      </x:c>
      <x:c r="AJ1" s="35" t="str">
        <x:v>PAC5</x:v>
      </x:c>
      <x:c r="AK1" s="35" t="str">
        <x:v>PAC6</x:v>
      </x:c>
      <x:c r="AL1" s="35" t="str">
        <x:v>PAC7</x:v>
      </x:c>
      <x:c r="AM1" s="35" t="str">
        <x:v>PAC8</x:v>
      </x:c>
      <x:c r="AN1" s="35" t="str">
        <x:v>MLU1</x:v>
      </x:c>
      <x:c r="AO1" s="35" t="str">
        <x:v>MLU2</x:v>
      </x:c>
      <x:c r="AP1" s="35" t="str">
        <x:v>MLU3</x:v>
      </x:c>
      <x:c r="AQ1" s="35" t="str">
        <x:v>MLU4</x:v>
      </x:c>
      <x:c r="AR1" s="35" t="str">
        <x:v>MLU5</x:v>
      </x:c>
      <x:c r="AS1" s="35" t="str">
        <x:v>MLU6</x:v>
      </x:c>
      <x:c r="AT1" s="35" t="str">
        <x:v>MLU7</x:v>
      </x:c>
      <x:c r="AU1" s="35" t="str">
        <x:v>MLU8</x:v>
      </x:c>
      <x:c r="AV1" s="35" t="str">
        <x:v>MLU9</x:v>
      </x:c>
      <x:c r="AW1" s="35" t="str">
        <x:v>RSO1</x:v>
      </x:c>
      <x:c r="AX1" s="35" t="str">
        <x:v>RSO2</x:v>
      </x:c>
      <x:c r="AY1" s="35" t="str">
        <x:v>RSO3</x:v>
      </x:c>
      <x:c r="AZ1" s="35" t="str">
        <x:v>RSO4</x:v>
      </x:c>
      <x:c r="BA1" s="35" t="str">
        <x:v>RSO5</x:v>
      </x:c>
      <x:c r="BB1" s="35" t="str">
        <x:v>RSO6</x:v>
      </x:c>
      <x:c r="BC1" s="35" t="str">
        <x:v>RSO7</x:v>
      </x:c>
      <x:c r="BD1" s="35" t="str">
        <x:v>RSO8</x:v>
      </x:c>
      <x:c r="BE1" s="35" t="str">
        <x:v>CRE1</x:v>
      </x:c>
      <x:c r="BF1" s="35" t="str">
        <x:v>CRE2</x:v>
      </x:c>
      <x:c r="BG1" s="35" t="str">
        <x:v>CRE3</x:v>
      </x:c>
      <x:c r="BH1" s="35" t="str">
        <x:v>CRE4</x:v>
      </x:c>
      <x:c r="BI1" s="35" t="str">
        <x:v>CRE5</x:v>
      </x:c>
      <x:c r="BJ1" s="35" t="str">
        <x:v>CRE6</x:v>
      </x:c>
      <x:c r="BK1" s="35" t="str">
        <x:v>IMP1</x:v>
      </x:c>
      <x:c r="BL1" s="35" t="str">
        <x:v>IMP2</x:v>
      </x:c>
      <x:c r="BM1" s="35" t="str">
        <x:v>IMP3</x:v>
      </x:c>
      <x:c r="BN1" s="35" t="str">
        <x:v>IMP4</x:v>
      </x:c>
      <x:c r="BO1" s="35" t="str">
        <x:v>IMP5</x:v>
      </x:c>
      <x:c r="BP1" s="35" t="str">
        <x:v>IMP6</x:v>
      </x:c>
      <x:c r="BQ1" s="35" t="str">
        <x:v>IMP7</x:v>
      </x:c>
      <x:c r="BR1" s="35" t="str">
        <x:v>IMP8</x:v>
      </x:c>
      <x:c r="BS1" s="35" t="str">
        <x:v>CHD_Mean</x:v>
      </x:c>
      <x:c r="BT1" s="35" t="str">
        <x:v>AIA_Mean</x:v>
      </x:c>
      <x:c r="BU1" s="35" t="str">
        <x:v>PAC_Mean</x:v>
      </x:c>
      <x:c r="BV1" s="35" t="str">
        <x:v>MLU_Mean</x:v>
      </x:c>
      <x:c r="BW1" s="35" t="str">
        <x:v>RSO_Mean</x:v>
      </x:c>
      <x:c r="BX1" s="35" t="str">
        <x:v>CRE_Mean</x:v>
      </x:c>
      <x:c r="BY1" s="35" t="str">
        <x:v>IMP_Mean</x:v>
      </x:c>
    </x:row>
    <x:row r="2">
      <x:c r="A2" t="str">
        <x:v>R001</x:v>
      </x:c>
      <x:c r="BS2" s="40" t="str">
        <x:f>IF(COUNT(N2:W2)&gt;=8,AVERAGE(N2:W2),"")</x:f>
      </x:c>
      <x:c r="BT2" s="40" t="str">
        <x:f>IF(COUNT(X2:AE2)&gt;=7,AVERAGE(X2:AE2),"")</x:f>
      </x:c>
      <x:c r="BU2" s="40" t="str">
        <x:f>IF(COUNT(AF2:AM2)&gt;=7,AVERAGE(AF2:AM2),"")</x:f>
      </x:c>
      <x:c r="BV2" s="40" t="str">
        <x:f>IF(COUNT(AN2:AV2)&gt;=8,AVERAGE(AN2:AV2),"")</x:f>
      </x:c>
      <x:c r="BW2" s="40" t="str">
        <x:f>IF(COUNT(AW2:BD2)&gt;=7,AVERAGE(AW2:BD2),"")</x:f>
      </x:c>
      <x:c r="BX2" s="40" t="str">
        <x:f>IF(COUNT(BE2:BJ2)&gt;=5,AVERAGE(BE2:BJ2),"")</x:f>
      </x:c>
      <x:c r="BY2" s="40" t="str">
        <x:f>IF(COUNT(BK2:BR2)&gt;=7,AVERAGE(BK2:BR2),"")</x:f>
      </x:c>
    </x:row>
    <x:row r="3">
      <x:c r="A3" t="str">
        <x:v>R002</x:v>
      </x:c>
      <x:c r="BS3" s="40" t="str">
        <x:f>IF(COUNT(N3:W3)&gt;=8,AVERAGE(N3:W3),"")</x:f>
      </x:c>
      <x:c r="BT3" s="40" t="str">
        <x:f>IF(COUNT(X3:AE3)&gt;=7,AVERAGE(X3:AE3),"")</x:f>
      </x:c>
      <x:c r="BU3" s="40" t="str">
        <x:f>IF(COUNT(AF3:AM3)&gt;=7,AVERAGE(AF3:AM3),"")</x:f>
      </x:c>
      <x:c r="BV3" s="40" t="str">
        <x:f>IF(COUNT(AN3:AV3)&gt;=8,AVERAGE(AN3:AV3),"")</x:f>
      </x:c>
      <x:c r="BW3" s="40" t="str">
        <x:f>IF(COUNT(AW3:BD3)&gt;=7,AVERAGE(AW3:BD3),"")</x:f>
      </x:c>
      <x:c r="BX3" s="40" t="str">
        <x:f>IF(COUNT(BE3:BJ3)&gt;=5,AVERAGE(BE3:BJ3),"")</x:f>
      </x:c>
      <x:c r="BY3" s="40" t="str">
        <x:f>IF(COUNT(BK3:BR3)&gt;=7,AVERAGE(BK3:BR3),"")</x:f>
      </x:c>
    </x:row>
    <x:row r="4">
      <x:c r="A4" t="str">
        <x:v>R003</x:v>
      </x:c>
      <x:c r="BS4" s="40" t="str">
        <x:f>IF(COUNT(N4:W4)&gt;=8,AVERAGE(N4:W4),"")</x:f>
      </x:c>
      <x:c r="BT4" s="40" t="str">
        <x:f>IF(COUNT(X4:AE4)&gt;=7,AVERAGE(X4:AE4),"")</x:f>
      </x:c>
      <x:c r="BU4" s="40" t="str">
        <x:f>IF(COUNT(AF4:AM4)&gt;=7,AVERAGE(AF4:AM4),"")</x:f>
      </x:c>
      <x:c r="BV4" s="40" t="str">
        <x:f>IF(COUNT(AN4:AV4)&gt;=8,AVERAGE(AN4:AV4),"")</x:f>
      </x:c>
      <x:c r="BW4" s="40" t="str">
        <x:f>IF(COUNT(AW4:BD4)&gt;=7,AVERAGE(AW4:BD4),"")</x:f>
      </x:c>
      <x:c r="BX4" s="40" t="str">
        <x:f>IF(COUNT(BE4:BJ4)&gt;=5,AVERAGE(BE4:BJ4),"")</x:f>
      </x:c>
      <x:c r="BY4" s="40" t="str">
        <x:f>IF(COUNT(BK4:BR4)&gt;=7,AVERAGE(BK4:BR4),"")</x:f>
      </x:c>
    </x:row>
    <x:row r="5">
      <x:c r="A5" t="str">
        <x:v>R004</x:v>
      </x:c>
      <x:c r="BS5" s="40" t="str">
        <x:f>IF(COUNT(N5:W5)&gt;=8,AVERAGE(N5:W5),"")</x:f>
      </x:c>
      <x:c r="BT5" s="40" t="str">
        <x:f>IF(COUNT(X5:AE5)&gt;=7,AVERAGE(X5:AE5),"")</x:f>
      </x:c>
      <x:c r="BU5" s="40" t="str">
        <x:f>IF(COUNT(AF5:AM5)&gt;=7,AVERAGE(AF5:AM5),"")</x:f>
      </x:c>
      <x:c r="BV5" s="40" t="str">
        <x:f>IF(COUNT(AN5:AV5)&gt;=8,AVERAGE(AN5:AV5),"")</x:f>
      </x:c>
      <x:c r="BW5" s="40" t="str">
        <x:f>IF(COUNT(AW5:BD5)&gt;=7,AVERAGE(AW5:BD5),"")</x:f>
      </x:c>
      <x:c r="BX5" s="40" t="str">
        <x:f>IF(COUNT(BE5:BJ5)&gt;=5,AVERAGE(BE5:BJ5),"")</x:f>
      </x:c>
      <x:c r="BY5" s="40" t="str">
        <x:f>IF(COUNT(BK5:BR5)&gt;=7,AVERAGE(BK5:BR5),"")</x:f>
      </x:c>
    </x:row>
    <x:row r="6">
      <x:c r="A6" t="str">
        <x:v>R005</x:v>
      </x:c>
      <x:c r="BS6" s="40" t="str">
        <x:f>IF(COUNT(N6:W6)&gt;=8,AVERAGE(N6:W6),"")</x:f>
      </x:c>
      <x:c r="BT6" s="40" t="str">
        <x:f>IF(COUNT(X6:AE6)&gt;=7,AVERAGE(X6:AE6),"")</x:f>
      </x:c>
      <x:c r="BU6" s="40" t="str">
        <x:f>IF(COUNT(AF6:AM6)&gt;=7,AVERAGE(AF6:AM6),"")</x:f>
      </x:c>
      <x:c r="BV6" s="40" t="str">
        <x:f>IF(COUNT(AN6:AV6)&gt;=8,AVERAGE(AN6:AV6),"")</x:f>
      </x:c>
      <x:c r="BW6" s="40" t="str">
        <x:f>IF(COUNT(AW6:BD6)&gt;=7,AVERAGE(AW6:BD6),"")</x:f>
      </x:c>
      <x:c r="BX6" s="40" t="str">
        <x:f>IF(COUNT(BE6:BJ6)&gt;=5,AVERAGE(BE6:BJ6),"")</x:f>
      </x:c>
      <x:c r="BY6" s="40" t="str">
        <x:f>IF(COUNT(BK6:BR6)&gt;=7,AVERAGE(BK6:BR6),"")</x:f>
      </x:c>
    </x:row>
    <x:row r="7">
      <x:c r="A7" t="str">
        <x:v>R006</x:v>
      </x:c>
      <x:c r="BS7" s="40" t="str">
        <x:f>IF(COUNT(N7:W7)&gt;=8,AVERAGE(N7:W7),"")</x:f>
      </x:c>
      <x:c r="BT7" s="40" t="str">
        <x:f>IF(COUNT(X7:AE7)&gt;=7,AVERAGE(X7:AE7),"")</x:f>
      </x:c>
      <x:c r="BU7" s="40" t="str">
        <x:f>IF(COUNT(AF7:AM7)&gt;=7,AVERAGE(AF7:AM7),"")</x:f>
      </x:c>
      <x:c r="BV7" s="40" t="str">
        <x:f>IF(COUNT(AN7:AV7)&gt;=8,AVERAGE(AN7:AV7),"")</x:f>
      </x:c>
      <x:c r="BW7" s="40" t="str">
        <x:f>IF(COUNT(AW7:BD7)&gt;=7,AVERAGE(AW7:BD7),"")</x:f>
      </x:c>
      <x:c r="BX7" s="40" t="str">
        <x:f>IF(COUNT(BE7:BJ7)&gt;=5,AVERAGE(BE7:BJ7),"")</x:f>
      </x:c>
      <x:c r="BY7" s="40" t="str">
        <x:f>IF(COUNT(BK7:BR7)&gt;=7,AVERAGE(BK7:BR7),"")</x:f>
      </x:c>
    </x:row>
    <x:row r="8">
      <x:c r="A8" t="str">
        <x:v>R007</x:v>
      </x:c>
      <x:c r="BS8" s="40" t="str">
        <x:f>IF(COUNT(N8:W8)&gt;=8,AVERAGE(N8:W8),"")</x:f>
      </x:c>
      <x:c r="BT8" s="40" t="str">
        <x:f>IF(COUNT(X8:AE8)&gt;=7,AVERAGE(X8:AE8),"")</x:f>
      </x:c>
      <x:c r="BU8" s="40" t="str">
        <x:f>IF(COUNT(AF8:AM8)&gt;=7,AVERAGE(AF8:AM8),"")</x:f>
      </x:c>
      <x:c r="BV8" s="40" t="str">
        <x:f>IF(COUNT(AN8:AV8)&gt;=8,AVERAGE(AN8:AV8),"")</x:f>
      </x:c>
      <x:c r="BW8" s="40" t="str">
        <x:f>IF(COUNT(AW8:BD8)&gt;=7,AVERAGE(AW8:BD8),"")</x:f>
      </x:c>
      <x:c r="BX8" s="40" t="str">
        <x:f>IF(COUNT(BE8:BJ8)&gt;=5,AVERAGE(BE8:BJ8),"")</x:f>
      </x:c>
      <x:c r="BY8" s="40" t="str">
        <x:f>IF(COUNT(BK8:BR8)&gt;=7,AVERAGE(BK8:BR8),"")</x:f>
      </x:c>
    </x:row>
    <x:row r="9">
      <x:c r="A9" t="str">
        <x:v>R008</x:v>
      </x:c>
      <x:c r="BS9" s="40" t="str">
        <x:f>IF(COUNT(N9:W9)&gt;=8,AVERAGE(N9:W9),"")</x:f>
      </x:c>
      <x:c r="BT9" s="40" t="str">
        <x:f>IF(COUNT(X9:AE9)&gt;=7,AVERAGE(X9:AE9),"")</x:f>
      </x:c>
      <x:c r="BU9" s="40" t="str">
        <x:f>IF(COUNT(AF9:AM9)&gt;=7,AVERAGE(AF9:AM9),"")</x:f>
      </x:c>
      <x:c r="BV9" s="40" t="str">
        <x:f>IF(COUNT(AN9:AV9)&gt;=8,AVERAGE(AN9:AV9),"")</x:f>
      </x:c>
      <x:c r="BW9" s="40" t="str">
        <x:f>IF(COUNT(AW9:BD9)&gt;=7,AVERAGE(AW9:BD9),"")</x:f>
      </x:c>
      <x:c r="BX9" s="40" t="str">
        <x:f>IF(COUNT(BE9:BJ9)&gt;=5,AVERAGE(BE9:BJ9),"")</x:f>
      </x:c>
      <x:c r="BY9" s="40" t="str">
        <x:f>IF(COUNT(BK9:BR9)&gt;=7,AVERAGE(BK9:BR9),"")</x:f>
      </x:c>
    </x:row>
    <x:row r="10">
      <x:c r="A10" t="str">
        <x:v>R009</x:v>
      </x:c>
      <x:c r="BS10" s="40" t="str">
        <x:f>IF(COUNT(N10:W10)&gt;=8,AVERAGE(N10:W10),"")</x:f>
      </x:c>
      <x:c r="BT10" s="40" t="str">
        <x:f>IF(COUNT(X10:AE10)&gt;=7,AVERAGE(X10:AE10),"")</x:f>
      </x:c>
      <x:c r="BU10" s="40" t="str">
        <x:f>IF(COUNT(AF10:AM10)&gt;=7,AVERAGE(AF10:AM10),"")</x:f>
      </x:c>
      <x:c r="BV10" s="40" t="str">
        <x:f>IF(COUNT(AN10:AV10)&gt;=8,AVERAGE(AN10:AV10),"")</x:f>
      </x:c>
      <x:c r="BW10" s="40" t="str">
        <x:f>IF(COUNT(AW10:BD10)&gt;=7,AVERAGE(AW10:BD10),"")</x:f>
      </x:c>
      <x:c r="BX10" s="40" t="str">
        <x:f>IF(COUNT(BE10:BJ10)&gt;=5,AVERAGE(BE10:BJ10),"")</x:f>
      </x:c>
      <x:c r="BY10" s="40" t="str">
        <x:f>IF(COUNT(BK10:BR10)&gt;=7,AVERAGE(BK10:BR10),"")</x:f>
      </x:c>
    </x:row>
    <x:row r="11">
      <x:c r="A11" t="str">
        <x:v>R010</x:v>
      </x:c>
      <x:c r="BS11" s="40" t="str">
        <x:f>IF(COUNT(N11:W11)&gt;=8,AVERAGE(N11:W11),"")</x:f>
      </x:c>
      <x:c r="BT11" s="40" t="str">
        <x:f>IF(COUNT(X11:AE11)&gt;=7,AVERAGE(X11:AE11),"")</x:f>
      </x:c>
      <x:c r="BU11" s="40" t="str">
        <x:f>IF(COUNT(AF11:AM11)&gt;=7,AVERAGE(AF11:AM11),"")</x:f>
      </x:c>
      <x:c r="BV11" s="40" t="str">
        <x:f>IF(COUNT(AN11:AV11)&gt;=8,AVERAGE(AN11:AV11),"")</x:f>
      </x:c>
      <x:c r="BW11" s="40" t="str">
        <x:f>IF(COUNT(AW11:BD11)&gt;=7,AVERAGE(AW11:BD11),"")</x:f>
      </x:c>
      <x:c r="BX11" s="40" t="str">
        <x:f>IF(COUNT(BE11:BJ11)&gt;=5,AVERAGE(BE11:BJ11),"")</x:f>
      </x:c>
      <x:c r="BY11" s="40" t="str">
        <x:f>IF(COUNT(BK11:BR11)&gt;=7,AVERAGE(BK11:BR11),"")</x:f>
      </x:c>
    </x:row>
    <x:row r="12">
      <x:c r="A12" t="str">
        <x:v>R011</x:v>
      </x:c>
      <x:c r="BS12" s="40" t="str">
        <x:f>IF(COUNT(N12:W12)&gt;=8,AVERAGE(N12:W12),"")</x:f>
      </x:c>
      <x:c r="BT12" s="40" t="str">
        <x:f>IF(COUNT(X12:AE12)&gt;=7,AVERAGE(X12:AE12),"")</x:f>
      </x:c>
      <x:c r="BU12" s="40" t="str">
        <x:f>IF(COUNT(AF12:AM12)&gt;=7,AVERAGE(AF12:AM12),"")</x:f>
      </x:c>
      <x:c r="BV12" s="40" t="str">
        <x:f>IF(COUNT(AN12:AV12)&gt;=8,AVERAGE(AN12:AV12),"")</x:f>
      </x:c>
      <x:c r="BW12" s="40" t="str">
        <x:f>IF(COUNT(AW12:BD12)&gt;=7,AVERAGE(AW12:BD12),"")</x:f>
      </x:c>
      <x:c r="BX12" s="40" t="str">
        <x:f>IF(COUNT(BE12:BJ12)&gt;=5,AVERAGE(BE12:BJ12),"")</x:f>
      </x:c>
      <x:c r="BY12" s="40" t="str">
        <x:f>IF(COUNT(BK12:BR12)&gt;=7,AVERAGE(BK12:BR12),"")</x:f>
      </x:c>
    </x:row>
    <x:row r="13">
      <x:c r="A13" t="str">
        <x:v>R012</x:v>
      </x:c>
      <x:c r="BS13" s="40" t="str">
        <x:f>IF(COUNT(N13:W13)&gt;=8,AVERAGE(N13:W13),"")</x:f>
      </x:c>
      <x:c r="BT13" s="40" t="str">
        <x:f>IF(COUNT(X13:AE13)&gt;=7,AVERAGE(X13:AE13),"")</x:f>
      </x:c>
      <x:c r="BU13" s="40" t="str">
        <x:f>IF(COUNT(AF13:AM13)&gt;=7,AVERAGE(AF13:AM13),"")</x:f>
      </x:c>
      <x:c r="BV13" s="40" t="str">
        <x:f>IF(COUNT(AN13:AV13)&gt;=8,AVERAGE(AN13:AV13),"")</x:f>
      </x:c>
      <x:c r="BW13" s="40" t="str">
        <x:f>IF(COUNT(AW13:BD13)&gt;=7,AVERAGE(AW13:BD13),"")</x:f>
      </x:c>
      <x:c r="BX13" s="40" t="str">
        <x:f>IF(COUNT(BE13:BJ13)&gt;=5,AVERAGE(BE13:BJ13),"")</x:f>
      </x:c>
      <x:c r="BY13" s="40" t="str">
        <x:f>IF(COUNT(BK13:BR13)&gt;=7,AVERAGE(BK13:BR13),"")</x:f>
      </x:c>
    </x:row>
    <x:row r="14">
      <x:c r="A14" t="str">
        <x:v>R013</x:v>
      </x:c>
      <x:c r="BS14" s="40" t="str">
        <x:f>IF(COUNT(N14:W14)&gt;=8,AVERAGE(N14:W14),"")</x:f>
      </x:c>
      <x:c r="BT14" s="40" t="str">
        <x:f>IF(COUNT(X14:AE14)&gt;=7,AVERAGE(X14:AE14),"")</x:f>
      </x:c>
      <x:c r="BU14" s="40" t="str">
        <x:f>IF(COUNT(AF14:AM14)&gt;=7,AVERAGE(AF14:AM14),"")</x:f>
      </x:c>
      <x:c r="BV14" s="40" t="str">
        <x:f>IF(COUNT(AN14:AV14)&gt;=8,AVERAGE(AN14:AV14),"")</x:f>
      </x:c>
      <x:c r="BW14" s="40" t="str">
        <x:f>IF(COUNT(AW14:BD14)&gt;=7,AVERAGE(AW14:BD14),"")</x:f>
      </x:c>
      <x:c r="BX14" s="40" t="str">
        <x:f>IF(COUNT(BE14:BJ14)&gt;=5,AVERAGE(BE14:BJ14),"")</x:f>
      </x:c>
      <x:c r="BY14" s="40" t="str">
        <x:f>IF(COUNT(BK14:BR14)&gt;=7,AVERAGE(BK14:BR14),"")</x:f>
      </x:c>
    </x:row>
    <x:row r="15">
      <x:c r="A15" t="str">
        <x:v>R014</x:v>
      </x:c>
      <x:c r="BS15" s="40" t="str">
        <x:f>IF(COUNT(N15:W15)&gt;=8,AVERAGE(N15:W15),"")</x:f>
      </x:c>
      <x:c r="BT15" s="40" t="str">
        <x:f>IF(COUNT(X15:AE15)&gt;=7,AVERAGE(X15:AE15),"")</x:f>
      </x:c>
      <x:c r="BU15" s="40" t="str">
        <x:f>IF(COUNT(AF15:AM15)&gt;=7,AVERAGE(AF15:AM15),"")</x:f>
      </x:c>
      <x:c r="BV15" s="40" t="str">
        <x:f>IF(COUNT(AN15:AV15)&gt;=8,AVERAGE(AN15:AV15),"")</x:f>
      </x:c>
      <x:c r="BW15" s="40" t="str">
        <x:f>IF(COUNT(AW15:BD15)&gt;=7,AVERAGE(AW15:BD15),"")</x:f>
      </x:c>
      <x:c r="BX15" s="40" t="str">
        <x:f>IF(COUNT(BE15:BJ15)&gt;=5,AVERAGE(BE15:BJ15),"")</x:f>
      </x:c>
      <x:c r="BY15" s="40" t="str">
        <x:f>IF(COUNT(BK15:BR15)&gt;=7,AVERAGE(BK15:BR15),"")</x:f>
      </x:c>
    </x:row>
    <x:row r="16">
      <x:c r="A16" t="str">
        <x:v>R015</x:v>
      </x:c>
      <x:c r="BS16" s="40" t="str">
        <x:f>IF(COUNT(N16:W16)&gt;=8,AVERAGE(N16:W16),"")</x:f>
      </x:c>
      <x:c r="BT16" s="40" t="str">
        <x:f>IF(COUNT(X16:AE16)&gt;=7,AVERAGE(X16:AE16),"")</x:f>
      </x:c>
      <x:c r="BU16" s="40" t="str">
        <x:f>IF(COUNT(AF16:AM16)&gt;=7,AVERAGE(AF16:AM16),"")</x:f>
      </x:c>
      <x:c r="BV16" s="40" t="str">
        <x:f>IF(COUNT(AN16:AV16)&gt;=8,AVERAGE(AN16:AV16),"")</x:f>
      </x:c>
      <x:c r="BW16" s="40" t="str">
        <x:f>IF(COUNT(AW16:BD16)&gt;=7,AVERAGE(AW16:BD16),"")</x:f>
      </x:c>
      <x:c r="BX16" s="40" t="str">
        <x:f>IF(COUNT(BE16:BJ16)&gt;=5,AVERAGE(BE16:BJ16),"")</x:f>
      </x:c>
      <x:c r="BY16" s="40" t="str">
        <x:f>IF(COUNT(BK16:BR16)&gt;=7,AVERAGE(BK16:BR16),"")</x:f>
      </x:c>
    </x:row>
    <x:row r="17">
      <x:c r="A17" t="str">
        <x:v>R016</x:v>
      </x:c>
      <x:c r="BS17" s="40" t="str">
        <x:f>IF(COUNT(N17:W17)&gt;=8,AVERAGE(N17:W17),"")</x:f>
      </x:c>
      <x:c r="BT17" s="40" t="str">
        <x:f>IF(COUNT(X17:AE17)&gt;=7,AVERAGE(X17:AE17),"")</x:f>
      </x:c>
      <x:c r="BU17" s="40" t="str">
        <x:f>IF(COUNT(AF17:AM17)&gt;=7,AVERAGE(AF17:AM17),"")</x:f>
      </x:c>
      <x:c r="BV17" s="40" t="str">
        <x:f>IF(COUNT(AN17:AV17)&gt;=8,AVERAGE(AN17:AV17),"")</x:f>
      </x:c>
      <x:c r="BW17" s="40" t="str">
        <x:f>IF(COUNT(AW17:BD17)&gt;=7,AVERAGE(AW17:BD17),"")</x:f>
      </x:c>
      <x:c r="BX17" s="40" t="str">
        <x:f>IF(COUNT(BE17:BJ17)&gt;=5,AVERAGE(BE17:BJ17),"")</x:f>
      </x:c>
      <x:c r="BY17" s="40" t="str">
        <x:f>IF(COUNT(BK17:BR17)&gt;=7,AVERAGE(BK17:BR17),"")</x:f>
      </x:c>
    </x:row>
    <x:row r="18">
      <x:c r="A18" t="str">
        <x:v>R017</x:v>
      </x:c>
      <x:c r="BS18" s="40" t="str">
        <x:f>IF(COUNT(N18:W18)&gt;=8,AVERAGE(N18:W18),"")</x:f>
      </x:c>
      <x:c r="BT18" s="40" t="str">
        <x:f>IF(COUNT(X18:AE18)&gt;=7,AVERAGE(X18:AE18),"")</x:f>
      </x:c>
      <x:c r="BU18" s="40" t="str">
        <x:f>IF(COUNT(AF18:AM18)&gt;=7,AVERAGE(AF18:AM18),"")</x:f>
      </x:c>
      <x:c r="BV18" s="40" t="str">
        <x:f>IF(COUNT(AN18:AV18)&gt;=8,AVERAGE(AN18:AV18),"")</x:f>
      </x:c>
      <x:c r="BW18" s="40" t="str">
        <x:f>IF(COUNT(AW18:BD18)&gt;=7,AVERAGE(AW18:BD18),"")</x:f>
      </x:c>
      <x:c r="BX18" s="40" t="str">
        <x:f>IF(COUNT(BE18:BJ18)&gt;=5,AVERAGE(BE18:BJ18),"")</x:f>
      </x:c>
      <x:c r="BY18" s="40" t="str">
        <x:f>IF(COUNT(BK18:BR18)&gt;=7,AVERAGE(BK18:BR18),"")</x:f>
      </x:c>
    </x:row>
    <x:row r="19">
      <x:c r="A19" t="str">
        <x:v>R018</x:v>
      </x:c>
      <x:c r="BS19" s="40" t="str">
        <x:f>IF(COUNT(N19:W19)&gt;=8,AVERAGE(N19:W19),"")</x:f>
      </x:c>
      <x:c r="BT19" s="40" t="str">
        <x:f>IF(COUNT(X19:AE19)&gt;=7,AVERAGE(X19:AE19),"")</x:f>
      </x:c>
      <x:c r="BU19" s="40" t="str">
        <x:f>IF(COUNT(AF19:AM19)&gt;=7,AVERAGE(AF19:AM19),"")</x:f>
      </x:c>
      <x:c r="BV19" s="40" t="str">
        <x:f>IF(COUNT(AN19:AV19)&gt;=8,AVERAGE(AN19:AV19),"")</x:f>
      </x:c>
      <x:c r="BW19" s="40" t="str">
        <x:f>IF(COUNT(AW19:BD19)&gt;=7,AVERAGE(AW19:BD19),"")</x:f>
      </x:c>
      <x:c r="BX19" s="40" t="str">
        <x:f>IF(COUNT(BE19:BJ19)&gt;=5,AVERAGE(BE19:BJ19),"")</x:f>
      </x:c>
      <x:c r="BY19" s="40" t="str">
        <x:f>IF(COUNT(BK19:BR19)&gt;=7,AVERAGE(BK19:BR19),"")</x:f>
      </x:c>
    </x:row>
    <x:row r="20">
      <x:c r="A20" t="str">
        <x:v>R019</x:v>
      </x:c>
      <x:c r="BS20" s="40" t="str">
        <x:f>IF(COUNT(N20:W20)&gt;=8,AVERAGE(N20:W20),"")</x:f>
      </x:c>
      <x:c r="BT20" s="40" t="str">
        <x:f>IF(COUNT(X20:AE20)&gt;=7,AVERAGE(X20:AE20),"")</x:f>
      </x:c>
      <x:c r="BU20" s="40" t="str">
        <x:f>IF(COUNT(AF20:AM20)&gt;=7,AVERAGE(AF20:AM20),"")</x:f>
      </x:c>
      <x:c r="BV20" s="40" t="str">
        <x:f>IF(COUNT(AN20:AV20)&gt;=8,AVERAGE(AN20:AV20),"")</x:f>
      </x:c>
      <x:c r="BW20" s="40" t="str">
        <x:f>IF(COUNT(AW20:BD20)&gt;=7,AVERAGE(AW20:BD20),"")</x:f>
      </x:c>
      <x:c r="BX20" s="40" t="str">
        <x:f>IF(COUNT(BE20:BJ20)&gt;=5,AVERAGE(BE20:BJ20),"")</x:f>
      </x:c>
      <x:c r="BY20" s="40" t="str">
        <x:f>IF(COUNT(BK20:BR20)&gt;=7,AVERAGE(BK20:BR20),"")</x:f>
      </x:c>
    </x:row>
    <x:row r="21">
      <x:c r="A21" t="str">
        <x:v>R020</x:v>
      </x:c>
      <x:c r="BS21" s="40" t="str">
        <x:f>IF(COUNT(N21:W21)&gt;=8,AVERAGE(N21:W21),"")</x:f>
      </x:c>
      <x:c r="BT21" s="40" t="str">
        <x:f>IF(COUNT(X21:AE21)&gt;=7,AVERAGE(X21:AE21),"")</x:f>
      </x:c>
      <x:c r="BU21" s="40" t="str">
        <x:f>IF(COUNT(AF21:AM21)&gt;=7,AVERAGE(AF21:AM21),"")</x:f>
      </x:c>
      <x:c r="BV21" s="40" t="str">
        <x:f>IF(COUNT(AN21:AV21)&gt;=8,AVERAGE(AN21:AV21),"")</x:f>
      </x:c>
      <x:c r="BW21" s="40" t="str">
        <x:f>IF(COUNT(AW21:BD21)&gt;=7,AVERAGE(AW21:BD21),"")</x:f>
      </x:c>
      <x:c r="BX21" s="40" t="str">
        <x:f>IF(COUNT(BE21:BJ21)&gt;=5,AVERAGE(BE21:BJ21),"")</x:f>
      </x:c>
      <x:c r="BY21" s="40" t="str">
        <x:f>IF(COUNT(BK21:BR21)&gt;=7,AVERAGE(BK21:BR21),"")</x:f>
      </x:c>
    </x:row>
    <x:row r="22">
      <x:c r="A22" t="str">
        <x:v>R021</x:v>
      </x:c>
      <x:c r="BS22" s="40" t="str">
        <x:f>IF(COUNT(N22:W22)&gt;=8,AVERAGE(N22:W22),"")</x:f>
      </x:c>
      <x:c r="BT22" s="40" t="str">
        <x:f>IF(COUNT(X22:AE22)&gt;=7,AVERAGE(X22:AE22),"")</x:f>
      </x:c>
      <x:c r="BU22" s="40" t="str">
        <x:f>IF(COUNT(AF22:AM22)&gt;=7,AVERAGE(AF22:AM22),"")</x:f>
      </x:c>
      <x:c r="BV22" s="40" t="str">
        <x:f>IF(COUNT(AN22:AV22)&gt;=8,AVERAGE(AN22:AV22),"")</x:f>
      </x:c>
      <x:c r="BW22" s="40" t="str">
        <x:f>IF(COUNT(AW22:BD22)&gt;=7,AVERAGE(AW22:BD22),"")</x:f>
      </x:c>
      <x:c r="BX22" s="40" t="str">
        <x:f>IF(COUNT(BE22:BJ22)&gt;=5,AVERAGE(BE22:BJ22),"")</x:f>
      </x:c>
      <x:c r="BY22" s="40" t="str">
        <x:f>IF(COUNT(BK22:BR22)&gt;=7,AVERAGE(BK22:BR22),"")</x:f>
      </x:c>
    </x:row>
    <x:row r="23">
      <x:c r="A23" t="str">
        <x:v>R022</x:v>
      </x:c>
      <x:c r="BS23" s="40" t="str">
        <x:f>IF(COUNT(N23:W23)&gt;=8,AVERAGE(N23:W23),"")</x:f>
      </x:c>
      <x:c r="BT23" s="40" t="str">
        <x:f>IF(COUNT(X23:AE23)&gt;=7,AVERAGE(X23:AE23),"")</x:f>
      </x:c>
      <x:c r="BU23" s="40" t="str">
        <x:f>IF(COUNT(AF23:AM23)&gt;=7,AVERAGE(AF23:AM23),"")</x:f>
      </x:c>
      <x:c r="BV23" s="40" t="str">
        <x:f>IF(COUNT(AN23:AV23)&gt;=8,AVERAGE(AN23:AV23),"")</x:f>
      </x:c>
      <x:c r="BW23" s="40" t="str">
        <x:f>IF(COUNT(AW23:BD23)&gt;=7,AVERAGE(AW23:BD23),"")</x:f>
      </x:c>
      <x:c r="BX23" s="40" t="str">
        <x:f>IF(COUNT(BE23:BJ23)&gt;=5,AVERAGE(BE23:BJ23),"")</x:f>
      </x:c>
      <x:c r="BY23" s="40" t="str">
        <x:f>IF(COUNT(BK23:BR23)&gt;=7,AVERAGE(BK23:BR23),"")</x:f>
      </x:c>
    </x:row>
    <x:row r="24">
      <x:c r="A24" t="str">
        <x:v>R023</x:v>
      </x:c>
      <x:c r="BS24" s="40" t="str">
        <x:f>IF(COUNT(N24:W24)&gt;=8,AVERAGE(N24:W24),"")</x:f>
      </x:c>
      <x:c r="BT24" s="40" t="str">
        <x:f>IF(COUNT(X24:AE24)&gt;=7,AVERAGE(X24:AE24),"")</x:f>
      </x:c>
      <x:c r="BU24" s="40" t="str">
        <x:f>IF(COUNT(AF24:AM24)&gt;=7,AVERAGE(AF24:AM24),"")</x:f>
      </x:c>
      <x:c r="BV24" s="40" t="str">
        <x:f>IF(COUNT(AN24:AV24)&gt;=8,AVERAGE(AN24:AV24),"")</x:f>
      </x:c>
      <x:c r="BW24" s="40" t="str">
        <x:f>IF(COUNT(AW24:BD24)&gt;=7,AVERAGE(AW24:BD24),"")</x:f>
      </x:c>
      <x:c r="BX24" s="40" t="str">
        <x:f>IF(COUNT(BE24:BJ24)&gt;=5,AVERAGE(BE24:BJ24),"")</x:f>
      </x:c>
      <x:c r="BY24" s="40" t="str">
        <x:f>IF(COUNT(BK24:BR24)&gt;=7,AVERAGE(BK24:BR24),"")</x:f>
      </x:c>
    </x:row>
    <x:row r="25">
      <x:c r="A25" t="str">
        <x:v>R024</x:v>
      </x:c>
      <x:c r="BS25" s="40" t="str">
        <x:f>IF(COUNT(N25:W25)&gt;=8,AVERAGE(N25:W25),"")</x:f>
      </x:c>
      <x:c r="BT25" s="40" t="str">
        <x:f>IF(COUNT(X25:AE25)&gt;=7,AVERAGE(X25:AE25),"")</x:f>
      </x:c>
      <x:c r="BU25" s="40" t="str">
        <x:f>IF(COUNT(AF25:AM25)&gt;=7,AVERAGE(AF25:AM25),"")</x:f>
      </x:c>
      <x:c r="BV25" s="40" t="str">
        <x:f>IF(COUNT(AN25:AV25)&gt;=8,AVERAGE(AN25:AV25),"")</x:f>
      </x:c>
      <x:c r="BW25" s="40" t="str">
        <x:f>IF(COUNT(AW25:BD25)&gt;=7,AVERAGE(AW25:BD25),"")</x:f>
      </x:c>
      <x:c r="BX25" s="40" t="str">
        <x:f>IF(COUNT(BE25:BJ25)&gt;=5,AVERAGE(BE25:BJ25),"")</x:f>
      </x:c>
      <x:c r="BY25" s="40" t="str">
        <x:f>IF(COUNT(BK25:BR25)&gt;=7,AVERAGE(BK25:BR25),"")</x:f>
      </x:c>
    </x:row>
    <x:row r="26">
      <x:c r="A26" t="str">
        <x:v>R025</x:v>
      </x:c>
      <x:c r="BS26" s="40" t="str">
        <x:f>IF(COUNT(N26:W26)&gt;=8,AVERAGE(N26:W26),"")</x:f>
      </x:c>
      <x:c r="BT26" s="40" t="str">
        <x:f>IF(COUNT(X26:AE26)&gt;=7,AVERAGE(X26:AE26),"")</x:f>
      </x:c>
      <x:c r="BU26" s="40" t="str">
        <x:f>IF(COUNT(AF26:AM26)&gt;=7,AVERAGE(AF26:AM26),"")</x:f>
      </x:c>
      <x:c r="BV26" s="40" t="str">
        <x:f>IF(COUNT(AN26:AV26)&gt;=8,AVERAGE(AN26:AV26),"")</x:f>
      </x:c>
      <x:c r="BW26" s="40" t="str">
        <x:f>IF(COUNT(AW26:BD26)&gt;=7,AVERAGE(AW26:BD26),"")</x:f>
      </x:c>
      <x:c r="BX26" s="40" t="str">
        <x:f>IF(COUNT(BE26:BJ26)&gt;=5,AVERAGE(BE26:BJ26),"")</x:f>
      </x:c>
      <x:c r="BY26" s="40" t="str">
        <x:f>IF(COUNT(BK26:BR26)&gt;=7,AVERAGE(BK26:BR26),"")</x:f>
      </x:c>
    </x:row>
    <x:row r="27">
      <x:c r="A27" t="str">
        <x:v>R026</x:v>
      </x:c>
      <x:c r="BS27" s="40" t="str">
        <x:f>IF(COUNT(N27:W27)&gt;=8,AVERAGE(N27:W27),"")</x:f>
      </x:c>
      <x:c r="BT27" s="40" t="str">
        <x:f>IF(COUNT(X27:AE27)&gt;=7,AVERAGE(X27:AE27),"")</x:f>
      </x:c>
      <x:c r="BU27" s="40" t="str">
        <x:f>IF(COUNT(AF27:AM27)&gt;=7,AVERAGE(AF27:AM27),"")</x:f>
      </x:c>
      <x:c r="BV27" s="40" t="str">
        <x:f>IF(COUNT(AN27:AV27)&gt;=8,AVERAGE(AN27:AV27),"")</x:f>
      </x:c>
      <x:c r="BW27" s="40" t="str">
        <x:f>IF(COUNT(AW27:BD27)&gt;=7,AVERAGE(AW27:BD27),"")</x:f>
      </x:c>
      <x:c r="BX27" s="40" t="str">
        <x:f>IF(COUNT(BE27:BJ27)&gt;=5,AVERAGE(BE27:BJ27),"")</x:f>
      </x:c>
      <x:c r="BY27" s="40" t="str">
        <x:f>IF(COUNT(BK27:BR27)&gt;=7,AVERAGE(BK27:BR27),"")</x:f>
      </x:c>
    </x:row>
    <x:row r="28">
      <x:c r="A28" t="str">
        <x:v>R027</x:v>
      </x:c>
      <x:c r="BS28" s="40" t="str">
        <x:f>IF(COUNT(N28:W28)&gt;=8,AVERAGE(N28:W28),"")</x:f>
      </x:c>
      <x:c r="BT28" s="40" t="str">
        <x:f>IF(COUNT(X28:AE28)&gt;=7,AVERAGE(X28:AE28),"")</x:f>
      </x:c>
      <x:c r="BU28" s="40" t="str">
        <x:f>IF(COUNT(AF28:AM28)&gt;=7,AVERAGE(AF28:AM28),"")</x:f>
      </x:c>
      <x:c r="BV28" s="40" t="str">
        <x:f>IF(COUNT(AN28:AV28)&gt;=8,AVERAGE(AN28:AV28),"")</x:f>
      </x:c>
      <x:c r="BW28" s="40" t="str">
        <x:f>IF(COUNT(AW28:BD28)&gt;=7,AVERAGE(AW28:BD28),"")</x:f>
      </x:c>
      <x:c r="BX28" s="40" t="str">
        <x:f>IF(COUNT(BE28:BJ28)&gt;=5,AVERAGE(BE28:BJ28),"")</x:f>
      </x:c>
      <x:c r="BY28" s="40" t="str">
        <x:f>IF(COUNT(BK28:BR28)&gt;=7,AVERAGE(BK28:BR28),"")</x:f>
      </x:c>
    </x:row>
    <x:row r="29">
      <x:c r="A29" t="str">
        <x:v>R028</x:v>
      </x:c>
      <x:c r="BS29" s="40" t="str">
        <x:f>IF(COUNT(N29:W29)&gt;=8,AVERAGE(N29:W29),"")</x:f>
      </x:c>
      <x:c r="BT29" s="40" t="str">
        <x:f>IF(COUNT(X29:AE29)&gt;=7,AVERAGE(X29:AE29),"")</x:f>
      </x:c>
      <x:c r="BU29" s="40" t="str">
        <x:f>IF(COUNT(AF29:AM29)&gt;=7,AVERAGE(AF29:AM29),"")</x:f>
      </x:c>
      <x:c r="BV29" s="40" t="str">
        <x:f>IF(COUNT(AN29:AV29)&gt;=8,AVERAGE(AN29:AV29),"")</x:f>
      </x:c>
      <x:c r="BW29" s="40" t="str">
        <x:f>IF(COUNT(AW29:BD29)&gt;=7,AVERAGE(AW29:BD29),"")</x:f>
      </x:c>
      <x:c r="BX29" s="40" t="str">
        <x:f>IF(COUNT(BE29:BJ29)&gt;=5,AVERAGE(BE29:BJ29),"")</x:f>
      </x:c>
      <x:c r="BY29" s="40" t="str">
        <x:f>IF(COUNT(BK29:BR29)&gt;=7,AVERAGE(BK29:BR29),"")</x:f>
      </x:c>
    </x:row>
    <x:row r="30">
      <x:c r="A30" t="str">
        <x:v>R029</x:v>
      </x:c>
      <x:c r="BS30" s="40" t="str">
        <x:f>IF(COUNT(N30:W30)&gt;=8,AVERAGE(N30:W30),"")</x:f>
      </x:c>
      <x:c r="BT30" s="40" t="str">
        <x:f>IF(COUNT(X30:AE30)&gt;=7,AVERAGE(X30:AE30),"")</x:f>
      </x:c>
      <x:c r="BU30" s="40" t="str">
        <x:f>IF(COUNT(AF30:AM30)&gt;=7,AVERAGE(AF30:AM30),"")</x:f>
      </x:c>
      <x:c r="BV30" s="40" t="str">
        <x:f>IF(COUNT(AN30:AV30)&gt;=8,AVERAGE(AN30:AV30),"")</x:f>
      </x:c>
      <x:c r="BW30" s="40" t="str">
        <x:f>IF(COUNT(AW30:BD30)&gt;=7,AVERAGE(AW30:BD30),"")</x:f>
      </x:c>
      <x:c r="BX30" s="40" t="str">
        <x:f>IF(COUNT(BE30:BJ30)&gt;=5,AVERAGE(BE30:BJ30),"")</x:f>
      </x:c>
      <x:c r="BY30" s="40" t="str">
        <x:f>IF(COUNT(BK30:BR30)&gt;=7,AVERAGE(BK30:BR30),"")</x:f>
      </x:c>
    </x:row>
    <x:row r="31">
      <x:c r="A31" t="str">
        <x:v>R030</x:v>
      </x:c>
      <x:c r="BS31" s="40" t="str">
        <x:f>IF(COUNT(N31:W31)&gt;=8,AVERAGE(N31:W31),"")</x:f>
      </x:c>
      <x:c r="BT31" s="40" t="str">
        <x:f>IF(COUNT(X31:AE31)&gt;=7,AVERAGE(X31:AE31),"")</x:f>
      </x:c>
      <x:c r="BU31" s="40" t="str">
        <x:f>IF(COUNT(AF31:AM31)&gt;=7,AVERAGE(AF31:AM31),"")</x:f>
      </x:c>
      <x:c r="BV31" s="40" t="str">
        <x:f>IF(COUNT(AN31:AV31)&gt;=8,AVERAGE(AN31:AV31),"")</x:f>
      </x:c>
      <x:c r="BW31" s="40" t="str">
        <x:f>IF(COUNT(AW31:BD31)&gt;=7,AVERAGE(AW31:BD31),"")</x:f>
      </x:c>
      <x:c r="BX31" s="40" t="str">
        <x:f>IF(COUNT(BE31:BJ31)&gt;=5,AVERAGE(BE31:BJ31),"")</x:f>
      </x:c>
      <x:c r="BY31" s="40" t="str">
        <x:f>IF(COUNT(BK31:BR31)&gt;=7,AVERAGE(BK31:BR31),"")</x:f>
      </x:c>
    </x:row>
    <x:row r="32">
      <x:c r="A32" t="str">
        <x:v>R031</x:v>
      </x:c>
      <x:c r="BS32" s="40" t="str">
        <x:f>IF(COUNT(N32:W32)&gt;=8,AVERAGE(N32:W32),"")</x:f>
      </x:c>
      <x:c r="BT32" s="40" t="str">
        <x:f>IF(COUNT(X32:AE32)&gt;=7,AVERAGE(X32:AE32),"")</x:f>
      </x:c>
      <x:c r="BU32" s="40" t="str">
        <x:f>IF(COUNT(AF32:AM32)&gt;=7,AVERAGE(AF32:AM32),"")</x:f>
      </x:c>
      <x:c r="BV32" s="40" t="str">
        <x:f>IF(COUNT(AN32:AV32)&gt;=8,AVERAGE(AN32:AV32),"")</x:f>
      </x:c>
      <x:c r="BW32" s="40" t="str">
        <x:f>IF(COUNT(AW32:BD32)&gt;=7,AVERAGE(AW32:BD32),"")</x:f>
      </x:c>
      <x:c r="BX32" s="40" t="str">
        <x:f>IF(COUNT(BE32:BJ32)&gt;=5,AVERAGE(BE32:BJ32),"")</x:f>
      </x:c>
      <x:c r="BY32" s="40" t="str">
        <x:f>IF(COUNT(BK32:BR32)&gt;=7,AVERAGE(BK32:BR32),"")</x:f>
      </x:c>
    </x:row>
    <x:row r="33">
      <x:c r="A33" t="str">
        <x:v>R032</x:v>
      </x:c>
      <x:c r="BS33" s="40" t="str">
        <x:f>IF(COUNT(N33:W33)&gt;=8,AVERAGE(N33:W33),"")</x:f>
      </x:c>
      <x:c r="BT33" s="40" t="str">
        <x:f>IF(COUNT(X33:AE33)&gt;=7,AVERAGE(X33:AE33),"")</x:f>
      </x:c>
      <x:c r="BU33" s="40" t="str">
        <x:f>IF(COUNT(AF33:AM33)&gt;=7,AVERAGE(AF33:AM33),"")</x:f>
      </x:c>
      <x:c r="BV33" s="40" t="str">
        <x:f>IF(COUNT(AN33:AV33)&gt;=8,AVERAGE(AN33:AV33),"")</x:f>
      </x:c>
      <x:c r="BW33" s="40" t="str">
        <x:f>IF(COUNT(AW33:BD33)&gt;=7,AVERAGE(AW33:BD33),"")</x:f>
      </x:c>
      <x:c r="BX33" s="40" t="str">
        <x:f>IF(COUNT(BE33:BJ33)&gt;=5,AVERAGE(BE33:BJ33),"")</x:f>
      </x:c>
      <x:c r="BY33" s="40" t="str">
        <x:f>IF(COUNT(BK33:BR33)&gt;=7,AVERAGE(BK33:BR33),"")</x:f>
      </x:c>
    </x:row>
    <x:row r="34">
      <x:c r="A34" t="str">
        <x:v>R033</x:v>
      </x:c>
      <x:c r="BS34" s="40" t="str">
        <x:f>IF(COUNT(N34:W34)&gt;=8,AVERAGE(N34:W34),"")</x:f>
      </x:c>
      <x:c r="BT34" s="40" t="str">
        <x:f>IF(COUNT(X34:AE34)&gt;=7,AVERAGE(X34:AE34),"")</x:f>
      </x:c>
      <x:c r="BU34" s="40" t="str">
        <x:f>IF(COUNT(AF34:AM34)&gt;=7,AVERAGE(AF34:AM34),"")</x:f>
      </x:c>
      <x:c r="BV34" s="40" t="str">
        <x:f>IF(COUNT(AN34:AV34)&gt;=8,AVERAGE(AN34:AV34),"")</x:f>
      </x:c>
      <x:c r="BW34" s="40" t="str">
        <x:f>IF(COUNT(AW34:BD34)&gt;=7,AVERAGE(AW34:BD34),"")</x:f>
      </x:c>
      <x:c r="BX34" s="40" t="str">
        <x:f>IF(COUNT(BE34:BJ34)&gt;=5,AVERAGE(BE34:BJ34),"")</x:f>
      </x:c>
      <x:c r="BY34" s="40" t="str">
        <x:f>IF(COUNT(BK34:BR34)&gt;=7,AVERAGE(BK34:BR34),"")</x:f>
      </x:c>
    </x:row>
    <x:row r="35">
      <x:c r="A35" t="str">
        <x:v>R034</x:v>
      </x:c>
      <x:c r="BS35" s="40" t="str">
        <x:f>IF(COUNT(N35:W35)&gt;=8,AVERAGE(N35:W35),"")</x:f>
      </x:c>
      <x:c r="BT35" s="40" t="str">
        <x:f>IF(COUNT(X35:AE35)&gt;=7,AVERAGE(X35:AE35),"")</x:f>
      </x:c>
      <x:c r="BU35" s="40" t="str">
        <x:f>IF(COUNT(AF35:AM35)&gt;=7,AVERAGE(AF35:AM35),"")</x:f>
      </x:c>
      <x:c r="BV35" s="40" t="str">
        <x:f>IF(COUNT(AN35:AV35)&gt;=8,AVERAGE(AN35:AV35),"")</x:f>
      </x:c>
      <x:c r="BW35" s="40" t="str">
        <x:f>IF(COUNT(AW35:BD35)&gt;=7,AVERAGE(AW35:BD35),"")</x:f>
      </x:c>
      <x:c r="BX35" s="40" t="str">
        <x:f>IF(COUNT(BE35:BJ35)&gt;=5,AVERAGE(BE35:BJ35),"")</x:f>
      </x:c>
      <x:c r="BY35" s="40" t="str">
        <x:f>IF(COUNT(BK35:BR35)&gt;=7,AVERAGE(BK35:BR35),"")</x:f>
      </x:c>
    </x:row>
    <x:row r="36">
      <x:c r="A36" t="str">
        <x:v>R035</x:v>
      </x:c>
      <x:c r="BS36" s="40" t="str">
        <x:f>IF(COUNT(N36:W36)&gt;=8,AVERAGE(N36:W36),"")</x:f>
      </x:c>
      <x:c r="BT36" s="40" t="str">
        <x:f>IF(COUNT(X36:AE36)&gt;=7,AVERAGE(X36:AE36),"")</x:f>
      </x:c>
      <x:c r="BU36" s="40" t="str">
        <x:f>IF(COUNT(AF36:AM36)&gt;=7,AVERAGE(AF36:AM36),"")</x:f>
      </x:c>
      <x:c r="BV36" s="40" t="str">
        <x:f>IF(COUNT(AN36:AV36)&gt;=8,AVERAGE(AN36:AV36),"")</x:f>
      </x:c>
      <x:c r="BW36" s="40" t="str">
        <x:f>IF(COUNT(AW36:BD36)&gt;=7,AVERAGE(AW36:BD36),"")</x:f>
      </x:c>
      <x:c r="BX36" s="40" t="str">
        <x:f>IF(COUNT(BE36:BJ36)&gt;=5,AVERAGE(BE36:BJ36),"")</x:f>
      </x:c>
      <x:c r="BY36" s="40" t="str">
        <x:f>IF(COUNT(BK36:BR36)&gt;=7,AVERAGE(BK36:BR36),"")</x:f>
      </x:c>
    </x:row>
    <x:row r="37">
      <x:c r="A37" t="str">
        <x:v>R036</x:v>
      </x:c>
      <x:c r="BS37" s="40" t="str">
        <x:f>IF(COUNT(N37:W37)&gt;=8,AVERAGE(N37:W37),"")</x:f>
      </x:c>
      <x:c r="BT37" s="40" t="str">
        <x:f>IF(COUNT(X37:AE37)&gt;=7,AVERAGE(X37:AE37),"")</x:f>
      </x:c>
      <x:c r="BU37" s="40" t="str">
        <x:f>IF(COUNT(AF37:AM37)&gt;=7,AVERAGE(AF37:AM37),"")</x:f>
      </x:c>
      <x:c r="BV37" s="40" t="str">
        <x:f>IF(COUNT(AN37:AV37)&gt;=8,AVERAGE(AN37:AV37),"")</x:f>
      </x:c>
      <x:c r="BW37" s="40" t="str">
        <x:f>IF(COUNT(AW37:BD37)&gt;=7,AVERAGE(AW37:BD37),"")</x:f>
      </x:c>
      <x:c r="BX37" s="40" t="str">
        <x:f>IF(COUNT(BE37:BJ37)&gt;=5,AVERAGE(BE37:BJ37),"")</x:f>
      </x:c>
      <x:c r="BY37" s="40" t="str">
        <x:f>IF(COUNT(BK37:BR37)&gt;=7,AVERAGE(BK37:BR37),"")</x:f>
      </x:c>
    </x:row>
    <x:row r="38">
      <x:c r="A38" t="str">
        <x:v>R037</x:v>
      </x:c>
      <x:c r="BS38" s="40" t="str">
        <x:f>IF(COUNT(N38:W38)&gt;=8,AVERAGE(N38:W38),"")</x:f>
      </x:c>
      <x:c r="BT38" s="40" t="str">
        <x:f>IF(COUNT(X38:AE38)&gt;=7,AVERAGE(X38:AE38),"")</x:f>
      </x:c>
      <x:c r="BU38" s="40" t="str">
        <x:f>IF(COUNT(AF38:AM38)&gt;=7,AVERAGE(AF38:AM38),"")</x:f>
      </x:c>
      <x:c r="BV38" s="40" t="str">
        <x:f>IF(COUNT(AN38:AV38)&gt;=8,AVERAGE(AN38:AV38),"")</x:f>
      </x:c>
      <x:c r="BW38" s="40" t="str">
        <x:f>IF(COUNT(AW38:BD38)&gt;=7,AVERAGE(AW38:BD38),"")</x:f>
      </x:c>
      <x:c r="BX38" s="40" t="str">
        <x:f>IF(COUNT(BE38:BJ38)&gt;=5,AVERAGE(BE38:BJ38),"")</x:f>
      </x:c>
      <x:c r="BY38" s="40" t="str">
        <x:f>IF(COUNT(BK38:BR38)&gt;=7,AVERAGE(BK38:BR38),"")</x:f>
      </x:c>
    </x:row>
    <x:row r="39">
      <x:c r="A39" t="str">
        <x:v>R038</x:v>
      </x:c>
      <x:c r="BS39" s="40" t="str">
        <x:f>IF(COUNT(N39:W39)&gt;=8,AVERAGE(N39:W39),"")</x:f>
      </x:c>
      <x:c r="BT39" s="40" t="str">
        <x:f>IF(COUNT(X39:AE39)&gt;=7,AVERAGE(X39:AE39),"")</x:f>
      </x:c>
      <x:c r="BU39" s="40" t="str">
        <x:f>IF(COUNT(AF39:AM39)&gt;=7,AVERAGE(AF39:AM39),"")</x:f>
      </x:c>
      <x:c r="BV39" s="40" t="str">
        <x:f>IF(COUNT(AN39:AV39)&gt;=8,AVERAGE(AN39:AV39),"")</x:f>
      </x:c>
      <x:c r="BW39" s="40" t="str">
        <x:f>IF(COUNT(AW39:BD39)&gt;=7,AVERAGE(AW39:BD39),"")</x:f>
      </x:c>
      <x:c r="BX39" s="40" t="str">
        <x:f>IF(COUNT(BE39:BJ39)&gt;=5,AVERAGE(BE39:BJ39),"")</x:f>
      </x:c>
      <x:c r="BY39" s="40" t="str">
        <x:f>IF(COUNT(BK39:BR39)&gt;=7,AVERAGE(BK39:BR39),"")</x:f>
      </x:c>
    </x:row>
    <x:row r="40">
      <x:c r="A40" t="str">
        <x:v>R039</x:v>
      </x:c>
      <x:c r="BS40" s="40" t="str">
        <x:f>IF(COUNT(N40:W40)&gt;=8,AVERAGE(N40:W40),"")</x:f>
      </x:c>
      <x:c r="BT40" s="40" t="str">
        <x:f>IF(COUNT(X40:AE40)&gt;=7,AVERAGE(X40:AE40),"")</x:f>
      </x:c>
      <x:c r="BU40" s="40" t="str">
        <x:f>IF(COUNT(AF40:AM40)&gt;=7,AVERAGE(AF40:AM40),"")</x:f>
      </x:c>
      <x:c r="BV40" s="40" t="str">
        <x:f>IF(COUNT(AN40:AV40)&gt;=8,AVERAGE(AN40:AV40),"")</x:f>
      </x:c>
      <x:c r="BW40" s="40" t="str">
        <x:f>IF(COUNT(AW40:BD40)&gt;=7,AVERAGE(AW40:BD40),"")</x:f>
      </x:c>
      <x:c r="BX40" s="40" t="str">
        <x:f>IF(COUNT(BE40:BJ40)&gt;=5,AVERAGE(BE40:BJ40),"")</x:f>
      </x:c>
      <x:c r="BY40" s="40" t="str">
        <x:f>IF(COUNT(BK40:BR40)&gt;=7,AVERAGE(BK40:BR40),"")</x:f>
      </x:c>
    </x:row>
    <x:row r="41">
      <x:c r="A41" t="str">
        <x:v>R040</x:v>
      </x:c>
      <x:c r="BS41" s="40" t="str">
        <x:f>IF(COUNT(N41:W41)&gt;=8,AVERAGE(N41:W41),"")</x:f>
      </x:c>
      <x:c r="BT41" s="40" t="str">
        <x:f>IF(COUNT(X41:AE41)&gt;=7,AVERAGE(X41:AE41),"")</x:f>
      </x:c>
      <x:c r="BU41" s="40" t="str">
        <x:f>IF(COUNT(AF41:AM41)&gt;=7,AVERAGE(AF41:AM41),"")</x:f>
      </x:c>
      <x:c r="BV41" s="40" t="str">
        <x:f>IF(COUNT(AN41:AV41)&gt;=8,AVERAGE(AN41:AV41),"")</x:f>
      </x:c>
      <x:c r="BW41" s="40" t="str">
        <x:f>IF(COUNT(AW41:BD41)&gt;=7,AVERAGE(AW41:BD41),"")</x:f>
      </x:c>
      <x:c r="BX41" s="40" t="str">
        <x:f>IF(COUNT(BE41:BJ41)&gt;=5,AVERAGE(BE41:BJ41),"")</x:f>
      </x:c>
      <x:c r="BY41" s="40" t="str">
        <x:f>IF(COUNT(BK41:BR41)&gt;=7,AVERAGE(BK41:BR41),"")</x:f>
      </x:c>
    </x:row>
    <x:row r="42">
      <x:c r="A42" t="str">
        <x:v>R041</x:v>
      </x:c>
      <x:c r="BS42" s="40" t="str">
        <x:f>IF(COUNT(N42:W42)&gt;=8,AVERAGE(N42:W42),"")</x:f>
      </x:c>
      <x:c r="BT42" s="40" t="str">
        <x:f>IF(COUNT(X42:AE42)&gt;=7,AVERAGE(X42:AE42),"")</x:f>
      </x:c>
      <x:c r="BU42" s="40" t="str">
        <x:f>IF(COUNT(AF42:AM42)&gt;=7,AVERAGE(AF42:AM42),"")</x:f>
      </x:c>
      <x:c r="BV42" s="40" t="str">
        <x:f>IF(COUNT(AN42:AV42)&gt;=8,AVERAGE(AN42:AV42),"")</x:f>
      </x:c>
      <x:c r="BW42" s="40" t="str">
        <x:f>IF(COUNT(AW42:BD42)&gt;=7,AVERAGE(AW42:BD42),"")</x:f>
      </x:c>
      <x:c r="BX42" s="40" t="str">
        <x:f>IF(COUNT(BE42:BJ42)&gt;=5,AVERAGE(BE42:BJ42),"")</x:f>
      </x:c>
      <x:c r="BY42" s="40" t="str">
        <x:f>IF(COUNT(BK42:BR42)&gt;=7,AVERAGE(BK42:BR42),"")</x:f>
      </x:c>
    </x:row>
    <x:row r="43">
      <x:c r="A43" t="str">
        <x:v>R042</x:v>
      </x:c>
      <x:c r="BS43" s="40" t="str">
        <x:f>IF(COUNT(N43:W43)&gt;=8,AVERAGE(N43:W43),"")</x:f>
      </x:c>
      <x:c r="BT43" s="40" t="str">
        <x:f>IF(COUNT(X43:AE43)&gt;=7,AVERAGE(X43:AE43),"")</x:f>
      </x:c>
      <x:c r="BU43" s="40" t="str">
        <x:f>IF(COUNT(AF43:AM43)&gt;=7,AVERAGE(AF43:AM43),"")</x:f>
      </x:c>
      <x:c r="BV43" s="40" t="str">
        <x:f>IF(COUNT(AN43:AV43)&gt;=8,AVERAGE(AN43:AV43),"")</x:f>
      </x:c>
      <x:c r="BW43" s="40" t="str">
        <x:f>IF(COUNT(AW43:BD43)&gt;=7,AVERAGE(AW43:BD43),"")</x:f>
      </x:c>
      <x:c r="BX43" s="40" t="str">
        <x:f>IF(COUNT(BE43:BJ43)&gt;=5,AVERAGE(BE43:BJ43),"")</x:f>
      </x:c>
      <x:c r="BY43" s="40" t="str">
        <x:f>IF(COUNT(BK43:BR43)&gt;=7,AVERAGE(BK43:BR43),"")</x:f>
      </x:c>
    </x:row>
    <x:row r="44">
      <x:c r="A44" t="str">
        <x:v>R043</x:v>
      </x:c>
      <x:c r="BS44" s="40" t="str">
        <x:f>IF(COUNT(N44:W44)&gt;=8,AVERAGE(N44:W44),"")</x:f>
      </x:c>
      <x:c r="BT44" s="40" t="str">
        <x:f>IF(COUNT(X44:AE44)&gt;=7,AVERAGE(X44:AE44),"")</x:f>
      </x:c>
      <x:c r="BU44" s="40" t="str">
        <x:f>IF(COUNT(AF44:AM44)&gt;=7,AVERAGE(AF44:AM44),"")</x:f>
      </x:c>
      <x:c r="BV44" s="40" t="str">
        <x:f>IF(COUNT(AN44:AV44)&gt;=8,AVERAGE(AN44:AV44),"")</x:f>
      </x:c>
      <x:c r="BW44" s="40" t="str">
        <x:f>IF(COUNT(AW44:BD44)&gt;=7,AVERAGE(AW44:BD44),"")</x:f>
      </x:c>
      <x:c r="BX44" s="40" t="str">
        <x:f>IF(COUNT(BE44:BJ44)&gt;=5,AVERAGE(BE44:BJ44),"")</x:f>
      </x:c>
      <x:c r="BY44" s="40" t="str">
        <x:f>IF(COUNT(BK44:BR44)&gt;=7,AVERAGE(BK44:BR44),"")</x:f>
      </x:c>
    </x:row>
    <x:row r="45">
      <x:c r="A45" t="str">
        <x:v>R044</x:v>
      </x:c>
      <x:c r="BS45" s="40" t="str">
        <x:f>IF(COUNT(N45:W45)&gt;=8,AVERAGE(N45:W45),"")</x:f>
      </x:c>
      <x:c r="BT45" s="40" t="str">
        <x:f>IF(COUNT(X45:AE45)&gt;=7,AVERAGE(X45:AE45),"")</x:f>
      </x:c>
      <x:c r="BU45" s="40" t="str">
        <x:f>IF(COUNT(AF45:AM45)&gt;=7,AVERAGE(AF45:AM45),"")</x:f>
      </x:c>
      <x:c r="BV45" s="40" t="str">
        <x:f>IF(COUNT(AN45:AV45)&gt;=8,AVERAGE(AN45:AV45),"")</x:f>
      </x:c>
      <x:c r="BW45" s="40" t="str">
        <x:f>IF(COUNT(AW45:BD45)&gt;=7,AVERAGE(AW45:BD45),"")</x:f>
      </x:c>
      <x:c r="BX45" s="40" t="str">
        <x:f>IF(COUNT(BE45:BJ45)&gt;=5,AVERAGE(BE45:BJ45),"")</x:f>
      </x:c>
      <x:c r="BY45" s="40" t="str">
        <x:f>IF(COUNT(BK45:BR45)&gt;=7,AVERAGE(BK45:BR45),"")</x:f>
      </x:c>
    </x:row>
    <x:row r="46">
      <x:c r="A46" t="str">
        <x:v>R045</x:v>
      </x:c>
      <x:c r="BS46" s="40" t="str">
        <x:f>IF(COUNT(N46:W46)&gt;=8,AVERAGE(N46:W46),"")</x:f>
      </x:c>
      <x:c r="BT46" s="40" t="str">
        <x:f>IF(COUNT(X46:AE46)&gt;=7,AVERAGE(X46:AE46),"")</x:f>
      </x:c>
      <x:c r="BU46" s="40" t="str">
        <x:f>IF(COUNT(AF46:AM46)&gt;=7,AVERAGE(AF46:AM46),"")</x:f>
      </x:c>
      <x:c r="BV46" s="40" t="str">
        <x:f>IF(COUNT(AN46:AV46)&gt;=8,AVERAGE(AN46:AV46),"")</x:f>
      </x:c>
      <x:c r="BW46" s="40" t="str">
        <x:f>IF(COUNT(AW46:BD46)&gt;=7,AVERAGE(AW46:BD46),"")</x:f>
      </x:c>
      <x:c r="BX46" s="40" t="str">
        <x:f>IF(COUNT(BE46:BJ46)&gt;=5,AVERAGE(BE46:BJ46),"")</x:f>
      </x:c>
      <x:c r="BY46" s="40" t="str">
        <x:f>IF(COUNT(BK46:BR46)&gt;=7,AVERAGE(BK46:BR46),"")</x:f>
      </x:c>
    </x:row>
    <x:row r="47">
      <x:c r="A47" t="str">
        <x:v>R046</x:v>
      </x:c>
      <x:c r="BS47" s="40" t="str">
        <x:f>IF(COUNT(N47:W47)&gt;=8,AVERAGE(N47:W47),"")</x:f>
      </x:c>
      <x:c r="BT47" s="40" t="str">
        <x:f>IF(COUNT(X47:AE47)&gt;=7,AVERAGE(X47:AE47),"")</x:f>
      </x:c>
      <x:c r="BU47" s="40" t="str">
        <x:f>IF(COUNT(AF47:AM47)&gt;=7,AVERAGE(AF47:AM47),"")</x:f>
      </x:c>
      <x:c r="BV47" s="40" t="str">
        <x:f>IF(COUNT(AN47:AV47)&gt;=8,AVERAGE(AN47:AV47),"")</x:f>
      </x:c>
      <x:c r="BW47" s="40" t="str">
        <x:f>IF(COUNT(AW47:BD47)&gt;=7,AVERAGE(AW47:BD47),"")</x:f>
      </x:c>
      <x:c r="BX47" s="40" t="str">
        <x:f>IF(COUNT(BE47:BJ47)&gt;=5,AVERAGE(BE47:BJ47),"")</x:f>
      </x:c>
      <x:c r="BY47" s="40" t="str">
        <x:f>IF(COUNT(BK47:BR47)&gt;=7,AVERAGE(BK47:BR47),"")</x:f>
      </x:c>
    </x:row>
    <x:row r="48">
      <x:c r="A48" t="str">
        <x:v>R047</x:v>
      </x:c>
      <x:c r="BS48" s="40" t="str">
        <x:f>IF(COUNT(N48:W48)&gt;=8,AVERAGE(N48:W48),"")</x:f>
      </x:c>
      <x:c r="BT48" s="40" t="str">
        <x:f>IF(COUNT(X48:AE48)&gt;=7,AVERAGE(X48:AE48),"")</x:f>
      </x:c>
      <x:c r="BU48" s="40" t="str">
        <x:f>IF(COUNT(AF48:AM48)&gt;=7,AVERAGE(AF48:AM48),"")</x:f>
      </x:c>
      <x:c r="BV48" s="40" t="str">
        <x:f>IF(COUNT(AN48:AV48)&gt;=8,AVERAGE(AN48:AV48),"")</x:f>
      </x:c>
      <x:c r="BW48" s="40" t="str">
        <x:f>IF(COUNT(AW48:BD48)&gt;=7,AVERAGE(AW48:BD48),"")</x:f>
      </x:c>
      <x:c r="BX48" s="40" t="str">
        <x:f>IF(COUNT(BE48:BJ48)&gt;=5,AVERAGE(BE48:BJ48),"")</x:f>
      </x:c>
      <x:c r="BY48" s="40" t="str">
        <x:f>IF(COUNT(BK48:BR48)&gt;=7,AVERAGE(BK48:BR48),"")</x:f>
      </x:c>
    </x:row>
    <x:row r="49">
      <x:c r="A49" t="str">
        <x:v>R048</x:v>
      </x:c>
      <x:c r="BS49" s="40" t="str">
        <x:f>IF(COUNT(N49:W49)&gt;=8,AVERAGE(N49:W49),"")</x:f>
      </x:c>
      <x:c r="BT49" s="40" t="str">
        <x:f>IF(COUNT(X49:AE49)&gt;=7,AVERAGE(X49:AE49),"")</x:f>
      </x:c>
      <x:c r="BU49" s="40" t="str">
        <x:f>IF(COUNT(AF49:AM49)&gt;=7,AVERAGE(AF49:AM49),"")</x:f>
      </x:c>
      <x:c r="BV49" s="40" t="str">
        <x:f>IF(COUNT(AN49:AV49)&gt;=8,AVERAGE(AN49:AV49),"")</x:f>
      </x:c>
      <x:c r="BW49" s="40" t="str">
        <x:f>IF(COUNT(AW49:BD49)&gt;=7,AVERAGE(AW49:BD49),"")</x:f>
      </x:c>
      <x:c r="BX49" s="40" t="str">
        <x:f>IF(COUNT(BE49:BJ49)&gt;=5,AVERAGE(BE49:BJ49),"")</x:f>
      </x:c>
      <x:c r="BY49" s="40" t="str">
        <x:f>IF(COUNT(BK49:BR49)&gt;=7,AVERAGE(BK49:BR49),"")</x:f>
      </x:c>
    </x:row>
    <x:row r="50">
      <x:c r="A50" t="str">
        <x:v>R049</x:v>
      </x:c>
      <x:c r="BS50" s="40" t="str">
        <x:f>IF(COUNT(N50:W50)&gt;=8,AVERAGE(N50:W50),"")</x:f>
      </x:c>
      <x:c r="BT50" s="40" t="str">
        <x:f>IF(COUNT(X50:AE50)&gt;=7,AVERAGE(X50:AE50),"")</x:f>
      </x:c>
      <x:c r="BU50" s="40" t="str">
        <x:f>IF(COUNT(AF50:AM50)&gt;=7,AVERAGE(AF50:AM50),"")</x:f>
      </x:c>
      <x:c r="BV50" s="40" t="str">
        <x:f>IF(COUNT(AN50:AV50)&gt;=8,AVERAGE(AN50:AV50),"")</x:f>
      </x:c>
      <x:c r="BW50" s="40" t="str">
        <x:f>IF(COUNT(AW50:BD50)&gt;=7,AVERAGE(AW50:BD50),"")</x:f>
      </x:c>
      <x:c r="BX50" s="40" t="str">
        <x:f>IF(COUNT(BE50:BJ50)&gt;=5,AVERAGE(BE50:BJ50),"")</x:f>
      </x:c>
      <x:c r="BY50" s="40" t="str">
        <x:f>IF(COUNT(BK50:BR50)&gt;=7,AVERAGE(BK50:BR50),"")</x:f>
      </x:c>
    </x:row>
    <x:row r="51">
      <x:c r="A51" t="str">
        <x:v>R050</x:v>
      </x:c>
      <x:c r="BS51" s="40" t="str">
        <x:f>IF(COUNT(N51:W51)&gt;=8,AVERAGE(N51:W51),"")</x:f>
      </x:c>
      <x:c r="BT51" s="40" t="str">
        <x:f>IF(COUNT(X51:AE51)&gt;=7,AVERAGE(X51:AE51),"")</x:f>
      </x:c>
      <x:c r="BU51" s="40" t="str">
        <x:f>IF(COUNT(AF51:AM51)&gt;=7,AVERAGE(AF51:AM51),"")</x:f>
      </x:c>
      <x:c r="BV51" s="40" t="str">
        <x:f>IF(COUNT(AN51:AV51)&gt;=8,AVERAGE(AN51:AV51),"")</x:f>
      </x:c>
      <x:c r="BW51" s="40" t="str">
        <x:f>IF(COUNT(AW51:BD51)&gt;=7,AVERAGE(AW51:BD51),"")</x:f>
      </x:c>
      <x:c r="BX51" s="40" t="str">
        <x:f>IF(COUNT(BE51:BJ51)&gt;=5,AVERAGE(BE51:BJ51),"")</x:f>
      </x:c>
      <x:c r="BY51" s="40" t="str">
        <x:f>IF(COUNT(BK51:BR51)&gt;=7,AVERAGE(BK51:BR51),"")</x:f>
      </x:c>
    </x:row>
    <x:row r="52">
      <x:c r="A52" t="str">
        <x:v>R051</x:v>
      </x:c>
      <x:c r="BS52" s="40" t="str">
        <x:f>IF(COUNT(N52:W52)&gt;=8,AVERAGE(N52:W52),"")</x:f>
      </x:c>
      <x:c r="BT52" s="40" t="str">
        <x:f>IF(COUNT(X52:AE52)&gt;=7,AVERAGE(X52:AE52),"")</x:f>
      </x:c>
      <x:c r="BU52" s="40" t="str">
        <x:f>IF(COUNT(AF52:AM52)&gt;=7,AVERAGE(AF52:AM52),"")</x:f>
      </x:c>
      <x:c r="BV52" s="40" t="str">
        <x:f>IF(COUNT(AN52:AV52)&gt;=8,AVERAGE(AN52:AV52),"")</x:f>
      </x:c>
      <x:c r="BW52" s="40" t="str">
        <x:f>IF(COUNT(AW52:BD52)&gt;=7,AVERAGE(AW52:BD52),"")</x:f>
      </x:c>
      <x:c r="BX52" s="40" t="str">
        <x:f>IF(COUNT(BE52:BJ52)&gt;=5,AVERAGE(BE52:BJ52),"")</x:f>
      </x:c>
      <x:c r="BY52" s="40" t="str">
        <x:f>IF(COUNT(BK52:BR52)&gt;=7,AVERAGE(BK52:BR52),"")</x:f>
      </x:c>
    </x:row>
    <x:row r="53">
      <x:c r="A53" t="str">
        <x:v>R052</x:v>
      </x:c>
      <x:c r="BS53" s="40" t="str">
        <x:f>IF(COUNT(N53:W53)&gt;=8,AVERAGE(N53:W53),"")</x:f>
      </x:c>
      <x:c r="BT53" s="40" t="str">
        <x:f>IF(COUNT(X53:AE53)&gt;=7,AVERAGE(X53:AE53),"")</x:f>
      </x:c>
      <x:c r="BU53" s="40" t="str">
        <x:f>IF(COUNT(AF53:AM53)&gt;=7,AVERAGE(AF53:AM53),"")</x:f>
      </x:c>
      <x:c r="BV53" s="40" t="str">
        <x:f>IF(COUNT(AN53:AV53)&gt;=8,AVERAGE(AN53:AV53),"")</x:f>
      </x:c>
      <x:c r="BW53" s="40" t="str">
        <x:f>IF(COUNT(AW53:BD53)&gt;=7,AVERAGE(AW53:BD53),"")</x:f>
      </x:c>
      <x:c r="BX53" s="40" t="str">
        <x:f>IF(COUNT(BE53:BJ53)&gt;=5,AVERAGE(BE53:BJ53),"")</x:f>
      </x:c>
      <x:c r="BY53" s="40" t="str">
        <x:f>IF(COUNT(BK53:BR53)&gt;=7,AVERAGE(BK53:BR53),"")</x:f>
      </x:c>
    </x:row>
    <x:row r="54">
      <x:c r="A54" t="str">
        <x:v>R053</x:v>
      </x:c>
      <x:c r="BS54" s="40" t="str">
        <x:f>IF(COUNT(N54:W54)&gt;=8,AVERAGE(N54:W54),"")</x:f>
      </x:c>
      <x:c r="BT54" s="40" t="str">
        <x:f>IF(COUNT(X54:AE54)&gt;=7,AVERAGE(X54:AE54),"")</x:f>
      </x:c>
      <x:c r="BU54" s="40" t="str">
        <x:f>IF(COUNT(AF54:AM54)&gt;=7,AVERAGE(AF54:AM54),"")</x:f>
      </x:c>
      <x:c r="BV54" s="40" t="str">
        <x:f>IF(COUNT(AN54:AV54)&gt;=8,AVERAGE(AN54:AV54),"")</x:f>
      </x:c>
      <x:c r="BW54" s="40" t="str">
        <x:f>IF(COUNT(AW54:BD54)&gt;=7,AVERAGE(AW54:BD54),"")</x:f>
      </x:c>
      <x:c r="BX54" s="40" t="str">
        <x:f>IF(COUNT(BE54:BJ54)&gt;=5,AVERAGE(BE54:BJ54),"")</x:f>
      </x:c>
      <x:c r="BY54" s="40" t="str">
        <x:f>IF(COUNT(BK54:BR54)&gt;=7,AVERAGE(BK54:BR54),"")</x:f>
      </x:c>
    </x:row>
    <x:row r="55">
      <x:c r="A55" t="str">
        <x:v>R054</x:v>
      </x:c>
      <x:c r="BS55" s="40" t="str">
        <x:f>IF(COUNT(N55:W55)&gt;=8,AVERAGE(N55:W55),"")</x:f>
      </x:c>
      <x:c r="BT55" s="40" t="str">
        <x:f>IF(COUNT(X55:AE55)&gt;=7,AVERAGE(X55:AE55),"")</x:f>
      </x:c>
      <x:c r="BU55" s="40" t="str">
        <x:f>IF(COUNT(AF55:AM55)&gt;=7,AVERAGE(AF55:AM55),"")</x:f>
      </x:c>
      <x:c r="BV55" s="40" t="str">
        <x:f>IF(COUNT(AN55:AV55)&gt;=8,AVERAGE(AN55:AV55),"")</x:f>
      </x:c>
      <x:c r="BW55" s="40" t="str">
        <x:f>IF(COUNT(AW55:BD55)&gt;=7,AVERAGE(AW55:BD55),"")</x:f>
      </x:c>
      <x:c r="BX55" s="40" t="str">
        <x:f>IF(COUNT(BE55:BJ55)&gt;=5,AVERAGE(BE55:BJ55),"")</x:f>
      </x:c>
      <x:c r="BY55" s="40" t="str">
        <x:f>IF(COUNT(BK55:BR55)&gt;=7,AVERAGE(BK55:BR55),"")</x:f>
      </x:c>
    </x:row>
    <x:row r="56">
      <x:c r="A56" t="str">
        <x:v>R055</x:v>
      </x:c>
      <x:c r="BS56" s="40" t="str">
        <x:f>IF(COUNT(N56:W56)&gt;=8,AVERAGE(N56:W56),"")</x:f>
      </x:c>
      <x:c r="BT56" s="40" t="str">
        <x:f>IF(COUNT(X56:AE56)&gt;=7,AVERAGE(X56:AE56),"")</x:f>
      </x:c>
      <x:c r="BU56" s="40" t="str">
        <x:f>IF(COUNT(AF56:AM56)&gt;=7,AVERAGE(AF56:AM56),"")</x:f>
      </x:c>
      <x:c r="BV56" s="40" t="str">
        <x:f>IF(COUNT(AN56:AV56)&gt;=8,AVERAGE(AN56:AV56),"")</x:f>
      </x:c>
      <x:c r="BW56" s="40" t="str">
        <x:f>IF(COUNT(AW56:BD56)&gt;=7,AVERAGE(AW56:BD56),"")</x:f>
      </x:c>
      <x:c r="BX56" s="40" t="str">
        <x:f>IF(COUNT(BE56:BJ56)&gt;=5,AVERAGE(BE56:BJ56),"")</x:f>
      </x:c>
      <x:c r="BY56" s="40" t="str">
        <x:f>IF(COUNT(BK56:BR56)&gt;=7,AVERAGE(BK56:BR56),"")</x:f>
      </x:c>
    </x:row>
    <x:row r="57">
      <x:c r="A57" t="str">
        <x:v>R056</x:v>
      </x:c>
      <x:c r="BS57" s="40" t="str">
        <x:f>IF(COUNT(N57:W57)&gt;=8,AVERAGE(N57:W57),"")</x:f>
      </x:c>
      <x:c r="BT57" s="40" t="str">
        <x:f>IF(COUNT(X57:AE57)&gt;=7,AVERAGE(X57:AE57),"")</x:f>
      </x:c>
      <x:c r="BU57" s="40" t="str">
        <x:f>IF(COUNT(AF57:AM57)&gt;=7,AVERAGE(AF57:AM57),"")</x:f>
      </x:c>
      <x:c r="BV57" s="40" t="str">
        <x:f>IF(COUNT(AN57:AV57)&gt;=8,AVERAGE(AN57:AV57),"")</x:f>
      </x:c>
      <x:c r="BW57" s="40" t="str">
        <x:f>IF(COUNT(AW57:BD57)&gt;=7,AVERAGE(AW57:BD57),"")</x:f>
      </x:c>
      <x:c r="BX57" s="40" t="str">
        <x:f>IF(COUNT(BE57:BJ57)&gt;=5,AVERAGE(BE57:BJ57),"")</x:f>
      </x:c>
      <x:c r="BY57" s="40" t="str">
        <x:f>IF(COUNT(BK57:BR57)&gt;=7,AVERAGE(BK57:BR57),"")</x:f>
      </x:c>
    </x:row>
    <x:row r="58">
      <x:c r="A58" t="str">
        <x:v>R057</x:v>
      </x:c>
      <x:c r="BS58" s="40" t="str">
        <x:f>IF(COUNT(N58:W58)&gt;=8,AVERAGE(N58:W58),"")</x:f>
      </x:c>
      <x:c r="BT58" s="40" t="str">
        <x:f>IF(COUNT(X58:AE58)&gt;=7,AVERAGE(X58:AE58),"")</x:f>
      </x:c>
      <x:c r="BU58" s="40" t="str">
        <x:f>IF(COUNT(AF58:AM58)&gt;=7,AVERAGE(AF58:AM58),"")</x:f>
      </x:c>
      <x:c r="BV58" s="40" t="str">
        <x:f>IF(COUNT(AN58:AV58)&gt;=8,AVERAGE(AN58:AV58),"")</x:f>
      </x:c>
      <x:c r="BW58" s="40" t="str">
        <x:f>IF(COUNT(AW58:BD58)&gt;=7,AVERAGE(AW58:BD58),"")</x:f>
      </x:c>
      <x:c r="BX58" s="40" t="str">
        <x:f>IF(COUNT(BE58:BJ58)&gt;=5,AVERAGE(BE58:BJ58),"")</x:f>
      </x:c>
      <x:c r="BY58" s="40" t="str">
        <x:f>IF(COUNT(BK58:BR58)&gt;=7,AVERAGE(BK58:BR58),"")</x:f>
      </x:c>
    </x:row>
    <x:row r="59">
      <x:c r="A59" t="str">
        <x:v>R058</x:v>
      </x:c>
      <x:c r="BS59" s="40" t="str">
        <x:f>IF(COUNT(N59:W59)&gt;=8,AVERAGE(N59:W59),"")</x:f>
      </x:c>
      <x:c r="BT59" s="40" t="str">
        <x:f>IF(COUNT(X59:AE59)&gt;=7,AVERAGE(X59:AE59),"")</x:f>
      </x:c>
      <x:c r="BU59" s="40" t="str">
        <x:f>IF(COUNT(AF59:AM59)&gt;=7,AVERAGE(AF59:AM59),"")</x:f>
      </x:c>
      <x:c r="BV59" s="40" t="str">
        <x:f>IF(COUNT(AN59:AV59)&gt;=8,AVERAGE(AN59:AV59),"")</x:f>
      </x:c>
      <x:c r="BW59" s="40" t="str">
        <x:f>IF(COUNT(AW59:BD59)&gt;=7,AVERAGE(AW59:BD59),"")</x:f>
      </x:c>
      <x:c r="BX59" s="40" t="str">
        <x:f>IF(COUNT(BE59:BJ59)&gt;=5,AVERAGE(BE59:BJ59),"")</x:f>
      </x:c>
      <x:c r="BY59" s="40" t="str">
        <x:f>IF(COUNT(BK59:BR59)&gt;=7,AVERAGE(BK59:BR59),"")</x:f>
      </x:c>
    </x:row>
    <x:row r="60">
      <x:c r="A60" t="str">
        <x:v>R059</x:v>
      </x:c>
      <x:c r="BS60" s="40" t="str">
        <x:f>IF(COUNT(N60:W60)&gt;=8,AVERAGE(N60:W60),"")</x:f>
      </x:c>
      <x:c r="BT60" s="40" t="str">
        <x:f>IF(COUNT(X60:AE60)&gt;=7,AVERAGE(X60:AE60),"")</x:f>
      </x:c>
      <x:c r="BU60" s="40" t="str">
        <x:f>IF(COUNT(AF60:AM60)&gt;=7,AVERAGE(AF60:AM60),"")</x:f>
      </x:c>
      <x:c r="BV60" s="40" t="str">
        <x:f>IF(COUNT(AN60:AV60)&gt;=8,AVERAGE(AN60:AV60),"")</x:f>
      </x:c>
      <x:c r="BW60" s="40" t="str">
        <x:f>IF(COUNT(AW60:BD60)&gt;=7,AVERAGE(AW60:BD60),"")</x:f>
      </x:c>
      <x:c r="BX60" s="40" t="str">
        <x:f>IF(COUNT(BE60:BJ60)&gt;=5,AVERAGE(BE60:BJ60),"")</x:f>
      </x:c>
      <x:c r="BY60" s="40" t="str">
        <x:f>IF(COUNT(BK60:BR60)&gt;=7,AVERAGE(BK60:BR60),"")</x:f>
      </x:c>
    </x:row>
    <x:row r="61">
      <x:c r="A61" t="str">
        <x:v>R060</x:v>
      </x:c>
      <x:c r="BS61" s="40" t="str">
        <x:f>IF(COUNT(N61:W61)&gt;=8,AVERAGE(N61:W61),"")</x:f>
      </x:c>
      <x:c r="BT61" s="40" t="str">
        <x:f>IF(COUNT(X61:AE61)&gt;=7,AVERAGE(X61:AE61),"")</x:f>
      </x:c>
      <x:c r="BU61" s="40" t="str">
        <x:f>IF(COUNT(AF61:AM61)&gt;=7,AVERAGE(AF61:AM61),"")</x:f>
      </x:c>
      <x:c r="BV61" s="40" t="str">
        <x:f>IF(COUNT(AN61:AV61)&gt;=8,AVERAGE(AN61:AV61),"")</x:f>
      </x:c>
      <x:c r="BW61" s="40" t="str">
        <x:f>IF(COUNT(AW61:BD61)&gt;=7,AVERAGE(AW61:BD61),"")</x:f>
      </x:c>
      <x:c r="BX61" s="40" t="str">
        <x:f>IF(COUNT(BE61:BJ61)&gt;=5,AVERAGE(BE61:BJ61),"")</x:f>
      </x:c>
      <x:c r="BY61" s="40" t="str">
        <x:f>IF(COUNT(BK61:BR61)&gt;=7,AVERAGE(BK61:BR61),"")</x:f>
      </x:c>
    </x:row>
    <x:row r="62">
      <x:c r="A62" t="str">
        <x:v>R061</x:v>
      </x:c>
      <x:c r="BS62" s="40" t="str">
        <x:f>IF(COUNT(N62:W62)&gt;=8,AVERAGE(N62:W62),"")</x:f>
      </x:c>
      <x:c r="BT62" s="40" t="str">
        <x:f>IF(COUNT(X62:AE62)&gt;=7,AVERAGE(X62:AE62),"")</x:f>
      </x:c>
      <x:c r="BU62" s="40" t="str">
        <x:f>IF(COUNT(AF62:AM62)&gt;=7,AVERAGE(AF62:AM62),"")</x:f>
      </x:c>
      <x:c r="BV62" s="40" t="str">
        <x:f>IF(COUNT(AN62:AV62)&gt;=8,AVERAGE(AN62:AV62),"")</x:f>
      </x:c>
      <x:c r="BW62" s="40" t="str">
        <x:f>IF(COUNT(AW62:BD62)&gt;=7,AVERAGE(AW62:BD62),"")</x:f>
      </x:c>
      <x:c r="BX62" s="40" t="str">
        <x:f>IF(COUNT(BE62:BJ62)&gt;=5,AVERAGE(BE62:BJ62),"")</x:f>
      </x:c>
      <x:c r="BY62" s="40" t="str">
        <x:f>IF(COUNT(BK62:BR62)&gt;=7,AVERAGE(BK62:BR62),"")</x:f>
      </x:c>
    </x:row>
    <x:row r="63">
      <x:c r="A63" t="str">
        <x:v>R062</x:v>
      </x:c>
      <x:c r="BS63" s="40" t="str">
        <x:f>IF(COUNT(N63:W63)&gt;=8,AVERAGE(N63:W63),"")</x:f>
      </x:c>
      <x:c r="BT63" s="40" t="str">
        <x:f>IF(COUNT(X63:AE63)&gt;=7,AVERAGE(X63:AE63),"")</x:f>
      </x:c>
      <x:c r="BU63" s="40" t="str">
        <x:f>IF(COUNT(AF63:AM63)&gt;=7,AVERAGE(AF63:AM63),"")</x:f>
      </x:c>
      <x:c r="BV63" s="40" t="str">
        <x:f>IF(COUNT(AN63:AV63)&gt;=8,AVERAGE(AN63:AV63),"")</x:f>
      </x:c>
      <x:c r="BW63" s="40" t="str">
        <x:f>IF(COUNT(AW63:BD63)&gt;=7,AVERAGE(AW63:BD63),"")</x:f>
      </x:c>
      <x:c r="BX63" s="40" t="str">
        <x:f>IF(COUNT(BE63:BJ63)&gt;=5,AVERAGE(BE63:BJ63),"")</x:f>
      </x:c>
      <x:c r="BY63" s="40" t="str">
        <x:f>IF(COUNT(BK63:BR63)&gt;=7,AVERAGE(BK63:BR63),"")</x:f>
      </x:c>
    </x:row>
    <x:row r="64">
      <x:c r="A64" t="str">
        <x:v>R063</x:v>
      </x:c>
      <x:c r="BS64" s="40" t="str">
        <x:f>IF(COUNT(N64:W64)&gt;=8,AVERAGE(N64:W64),"")</x:f>
      </x:c>
      <x:c r="BT64" s="40" t="str">
        <x:f>IF(COUNT(X64:AE64)&gt;=7,AVERAGE(X64:AE64),"")</x:f>
      </x:c>
      <x:c r="BU64" s="40" t="str">
        <x:f>IF(COUNT(AF64:AM64)&gt;=7,AVERAGE(AF64:AM64),"")</x:f>
      </x:c>
      <x:c r="BV64" s="40" t="str">
        <x:f>IF(COUNT(AN64:AV64)&gt;=8,AVERAGE(AN64:AV64),"")</x:f>
      </x:c>
      <x:c r="BW64" s="40" t="str">
        <x:f>IF(COUNT(AW64:BD64)&gt;=7,AVERAGE(AW64:BD64),"")</x:f>
      </x:c>
      <x:c r="BX64" s="40" t="str">
        <x:f>IF(COUNT(BE64:BJ64)&gt;=5,AVERAGE(BE64:BJ64),"")</x:f>
      </x:c>
      <x:c r="BY64" s="40" t="str">
        <x:f>IF(COUNT(BK64:BR64)&gt;=7,AVERAGE(BK64:BR64),"")</x:f>
      </x:c>
    </x:row>
    <x:row r="65">
      <x:c r="A65" t="str">
        <x:v>R064</x:v>
      </x:c>
      <x:c r="BS65" s="40" t="str">
        <x:f>IF(COUNT(N65:W65)&gt;=8,AVERAGE(N65:W65),"")</x:f>
      </x:c>
      <x:c r="BT65" s="40" t="str">
        <x:f>IF(COUNT(X65:AE65)&gt;=7,AVERAGE(X65:AE65),"")</x:f>
      </x:c>
      <x:c r="BU65" s="40" t="str">
        <x:f>IF(COUNT(AF65:AM65)&gt;=7,AVERAGE(AF65:AM65),"")</x:f>
      </x:c>
      <x:c r="BV65" s="40" t="str">
        <x:f>IF(COUNT(AN65:AV65)&gt;=8,AVERAGE(AN65:AV65),"")</x:f>
      </x:c>
      <x:c r="BW65" s="40" t="str">
        <x:f>IF(COUNT(AW65:BD65)&gt;=7,AVERAGE(AW65:BD65),"")</x:f>
      </x:c>
      <x:c r="BX65" s="40" t="str">
        <x:f>IF(COUNT(BE65:BJ65)&gt;=5,AVERAGE(BE65:BJ65),"")</x:f>
      </x:c>
      <x:c r="BY65" s="40" t="str">
        <x:f>IF(COUNT(BK65:BR65)&gt;=7,AVERAGE(BK65:BR65),"")</x:f>
      </x:c>
    </x:row>
    <x:row r="66">
      <x:c r="A66" t="str">
        <x:v>R065</x:v>
      </x:c>
      <x:c r="BS66" s="40" t="str">
        <x:f>IF(COUNT(N66:W66)&gt;=8,AVERAGE(N66:W66),"")</x:f>
      </x:c>
      <x:c r="BT66" s="40" t="str">
        <x:f>IF(COUNT(X66:AE66)&gt;=7,AVERAGE(X66:AE66),"")</x:f>
      </x:c>
      <x:c r="BU66" s="40" t="str">
        <x:f>IF(COUNT(AF66:AM66)&gt;=7,AVERAGE(AF66:AM66),"")</x:f>
      </x:c>
      <x:c r="BV66" s="40" t="str">
        <x:f>IF(COUNT(AN66:AV66)&gt;=8,AVERAGE(AN66:AV66),"")</x:f>
      </x:c>
      <x:c r="BW66" s="40" t="str">
        <x:f>IF(COUNT(AW66:BD66)&gt;=7,AVERAGE(AW66:BD66),"")</x:f>
      </x:c>
      <x:c r="BX66" s="40" t="str">
        <x:f>IF(COUNT(BE66:BJ66)&gt;=5,AVERAGE(BE66:BJ66),"")</x:f>
      </x:c>
      <x:c r="BY66" s="40" t="str">
        <x:f>IF(COUNT(BK66:BR66)&gt;=7,AVERAGE(BK66:BR66),"")</x:f>
      </x:c>
    </x:row>
    <x:row r="67">
      <x:c r="A67" t="str">
        <x:v>R066</x:v>
      </x:c>
      <x:c r="BS67" s="40" t="str">
        <x:f>IF(COUNT(N67:W67)&gt;=8,AVERAGE(N67:W67),"")</x:f>
      </x:c>
      <x:c r="BT67" s="40" t="str">
        <x:f>IF(COUNT(X67:AE67)&gt;=7,AVERAGE(X67:AE67),"")</x:f>
      </x:c>
      <x:c r="BU67" s="40" t="str">
        <x:f>IF(COUNT(AF67:AM67)&gt;=7,AVERAGE(AF67:AM67),"")</x:f>
      </x:c>
      <x:c r="BV67" s="40" t="str">
        <x:f>IF(COUNT(AN67:AV67)&gt;=8,AVERAGE(AN67:AV67),"")</x:f>
      </x:c>
      <x:c r="BW67" s="40" t="str">
        <x:f>IF(COUNT(AW67:BD67)&gt;=7,AVERAGE(AW67:BD67),"")</x:f>
      </x:c>
      <x:c r="BX67" s="40" t="str">
        <x:f>IF(COUNT(BE67:BJ67)&gt;=5,AVERAGE(BE67:BJ67),"")</x:f>
      </x:c>
      <x:c r="BY67" s="40" t="str">
        <x:f>IF(COUNT(BK67:BR67)&gt;=7,AVERAGE(BK67:BR67),"")</x:f>
      </x:c>
    </x:row>
    <x:row r="68">
      <x:c r="A68" t="str">
        <x:v>R067</x:v>
      </x:c>
      <x:c r="BS68" s="40" t="str">
        <x:f>IF(COUNT(N68:W68)&gt;=8,AVERAGE(N68:W68),"")</x:f>
      </x:c>
      <x:c r="BT68" s="40" t="str">
        <x:f>IF(COUNT(X68:AE68)&gt;=7,AVERAGE(X68:AE68),"")</x:f>
      </x:c>
      <x:c r="BU68" s="40" t="str">
        <x:f>IF(COUNT(AF68:AM68)&gt;=7,AVERAGE(AF68:AM68),"")</x:f>
      </x:c>
      <x:c r="BV68" s="40" t="str">
        <x:f>IF(COUNT(AN68:AV68)&gt;=8,AVERAGE(AN68:AV68),"")</x:f>
      </x:c>
      <x:c r="BW68" s="40" t="str">
        <x:f>IF(COUNT(AW68:BD68)&gt;=7,AVERAGE(AW68:BD68),"")</x:f>
      </x:c>
      <x:c r="BX68" s="40" t="str">
        <x:f>IF(COUNT(BE68:BJ68)&gt;=5,AVERAGE(BE68:BJ68),"")</x:f>
      </x:c>
      <x:c r="BY68" s="40" t="str">
        <x:f>IF(COUNT(BK68:BR68)&gt;=7,AVERAGE(BK68:BR68),"")</x:f>
      </x:c>
    </x:row>
    <x:row r="69">
      <x:c r="A69" t="str">
        <x:v>R068</x:v>
      </x:c>
      <x:c r="BS69" s="40" t="str">
        <x:f>IF(COUNT(N69:W69)&gt;=8,AVERAGE(N69:W69),"")</x:f>
      </x:c>
      <x:c r="BT69" s="40" t="str">
        <x:f>IF(COUNT(X69:AE69)&gt;=7,AVERAGE(X69:AE69),"")</x:f>
      </x:c>
      <x:c r="BU69" s="40" t="str">
        <x:f>IF(COUNT(AF69:AM69)&gt;=7,AVERAGE(AF69:AM69),"")</x:f>
      </x:c>
      <x:c r="BV69" s="40" t="str">
        <x:f>IF(COUNT(AN69:AV69)&gt;=8,AVERAGE(AN69:AV69),"")</x:f>
      </x:c>
      <x:c r="BW69" s="40" t="str">
        <x:f>IF(COUNT(AW69:BD69)&gt;=7,AVERAGE(AW69:BD69),"")</x:f>
      </x:c>
      <x:c r="BX69" s="40" t="str">
        <x:f>IF(COUNT(BE69:BJ69)&gt;=5,AVERAGE(BE69:BJ69),"")</x:f>
      </x:c>
      <x:c r="BY69" s="40" t="str">
        <x:f>IF(COUNT(BK69:BR69)&gt;=7,AVERAGE(BK69:BR69),"")</x:f>
      </x:c>
    </x:row>
    <x:row r="70">
      <x:c r="A70" t="str">
        <x:v>R069</x:v>
      </x:c>
      <x:c r="BS70" s="40" t="str">
        <x:f>IF(COUNT(N70:W70)&gt;=8,AVERAGE(N70:W70),"")</x:f>
      </x:c>
      <x:c r="BT70" s="40" t="str">
        <x:f>IF(COUNT(X70:AE70)&gt;=7,AVERAGE(X70:AE70),"")</x:f>
      </x:c>
      <x:c r="BU70" s="40" t="str">
        <x:f>IF(COUNT(AF70:AM70)&gt;=7,AVERAGE(AF70:AM70),"")</x:f>
      </x:c>
      <x:c r="BV70" s="40" t="str">
        <x:f>IF(COUNT(AN70:AV70)&gt;=8,AVERAGE(AN70:AV70),"")</x:f>
      </x:c>
      <x:c r="BW70" s="40" t="str">
        <x:f>IF(COUNT(AW70:BD70)&gt;=7,AVERAGE(AW70:BD70),"")</x:f>
      </x:c>
      <x:c r="BX70" s="40" t="str">
        <x:f>IF(COUNT(BE70:BJ70)&gt;=5,AVERAGE(BE70:BJ70),"")</x:f>
      </x:c>
      <x:c r="BY70" s="40" t="str">
        <x:f>IF(COUNT(BK70:BR70)&gt;=7,AVERAGE(BK70:BR70),"")</x:f>
      </x:c>
    </x:row>
    <x:row r="71">
      <x:c r="A71" t="str">
        <x:v>R070</x:v>
      </x:c>
      <x:c r="BS71" s="40" t="str">
        <x:f>IF(COUNT(N71:W71)&gt;=8,AVERAGE(N71:W71),"")</x:f>
      </x:c>
      <x:c r="BT71" s="40" t="str">
        <x:f>IF(COUNT(X71:AE71)&gt;=7,AVERAGE(X71:AE71),"")</x:f>
      </x:c>
      <x:c r="BU71" s="40" t="str">
        <x:f>IF(COUNT(AF71:AM71)&gt;=7,AVERAGE(AF71:AM71),"")</x:f>
      </x:c>
      <x:c r="BV71" s="40" t="str">
        <x:f>IF(COUNT(AN71:AV71)&gt;=8,AVERAGE(AN71:AV71),"")</x:f>
      </x:c>
      <x:c r="BW71" s="40" t="str">
        <x:f>IF(COUNT(AW71:BD71)&gt;=7,AVERAGE(AW71:BD71),"")</x:f>
      </x:c>
      <x:c r="BX71" s="40" t="str">
        <x:f>IF(COUNT(BE71:BJ71)&gt;=5,AVERAGE(BE71:BJ71),"")</x:f>
      </x:c>
      <x:c r="BY71" s="40" t="str">
        <x:f>IF(COUNT(BK71:BR71)&gt;=7,AVERAGE(BK71:BR71),"")</x:f>
      </x:c>
    </x:row>
    <x:row r="72">
      <x:c r="A72" t="str">
        <x:v>R071</x:v>
      </x:c>
      <x:c r="BS72" s="40" t="str">
        <x:f>IF(COUNT(N72:W72)&gt;=8,AVERAGE(N72:W72),"")</x:f>
      </x:c>
      <x:c r="BT72" s="40" t="str">
        <x:f>IF(COUNT(X72:AE72)&gt;=7,AVERAGE(X72:AE72),"")</x:f>
      </x:c>
      <x:c r="BU72" s="40" t="str">
        <x:f>IF(COUNT(AF72:AM72)&gt;=7,AVERAGE(AF72:AM72),"")</x:f>
      </x:c>
      <x:c r="BV72" s="40" t="str">
        <x:f>IF(COUNT(AN72:AV72)&gt;=8,AVERAGE(AN72:AV72),"")</x:f>
      </x:c>
      <x:c r="BW72" s="40" t="str">
        <x:f>IF(COUNT(AW72:BD72)&gt;=7,AVERAGE(AW72:BD72),"")</x:f>
      </x:c>
      <x:c r="BX72" s="40" t="str">
        <x:f>IF(COUNT(BE72:BJ72)&gt;=5,AVERAGE(BE72:BJ72),"")</x:f>
      </x:c>
      <x:c r="BY72" s="40" t="str">
        <x:f>IF(COUNT(BK72:BR72)&gt;=7,AVERAGE(BK72:BR72),"")</x:f>
      </x:c>
    </x:row>
    <x:row r="73">
      <x:c r="A73" t="str">
        <x:v>R072</x:v>
      </x:c>
      <x:c r="BS73" s="40" t="str">
        <x:f>IF(COUNT(N73:W73)&gt;=8,AVERAGE(N73:W73),"")</x:f>
      </x:c>
      <x:c r="BT73" s="40" t="str">
        <x:f>IF(COUNT(X73:AE73)&gt;=7,AVERAGE(X73:AE73),"")</x:f>
      </x:c>
      <x:c r="BU73" s="40" t="str">
        <x:f>IF(COUNT(AF73:AM73)&gt;=7,AVERAGE(AF73:AM73),"")</x:f>
      </x:c>
      <x:c r="BV73" s="40" t="str">
        <x:f>IF(COUNT(AN73:AV73)&gt;=8,AVERAGE(AN73:AV73),"")</x:f>
      </x:c>
      <x:c r="BW73" s="40" t="str">
        <x:f>IF(COUNT(AW73:BD73)&gt;=7,AVERAGE(AW73:BD73),"")</x:f>
      </x:c>
      <x:c r="BX73" s="40" t="str">
        <x:f>IF(COUNT(BE73:BJ73)&gt;=5,AVERAGE(BE73:BJ73),"")</x:f>
      </x:c>
      <x:c r="BY73" s="40" t="str">
        <x:f>IF(COUNT(BK73:BR73)&gt;=7,AVERAGE(BK73:BR73),"")</x:f>
      </x:c>
    </x:row>
    <x:row r="74">
      <x:c r="A74" t="str">
        <x:v>R073</x:v>
      </x:c>
      <x:c r="BS74" s="40" t="str">
        <x:f>IF(COUNT(N74:W74)&gt;=8,AVERAGE(N74:W74),"")</x:f>
      </x:c>
      <x:c r="BT74" s="40" t="str">
        <x:f>IF(COUNT(X74:AE74)&gt;=7,AVERAGE(X74:AE74),"")</x:f>
      </x:c>
      <x:c r="BU74" s="40" t="str">
        <x:f>IF(COUNT(AF74:AM74)&gt;=7,AVERAGE(AF74:AM74),"")</x:f>
      </x:c>
      <x:c r="BV74" s="40" t="str">
        <x:f>IF(COUNT(AN74:AV74)&gt;=8,AVERAGE(AN74:AV74),"")</x:f>
      </x:c>
      <x:c r="BW74" s="40" t="str">
        <x:f>IF(COUNT(AW74:BD74)&gt;=7,AVERAGE(AW74:BD74),"")</x:f>
      </x:c>
      <x:c r="BX74" s="40" t="str">
        <x:f>IF(COUNT(BE74:BJ74)&gt;=5,AVERAGE(BE74:BJ74),"")</x:f>
      </x:c>
      <x:c r="BY74" s="40" t="str">
        <x:f>IF(COUNT(BK74:BR74)&gt;=7,AVERAGE(BK74:BR74),"")</x:f>
      </x:c>
    </x:row>
    <x:row r="75">
      <x:c r="A75" t="str">
        <x:v>R074</x:v>
      </x:c>
      <x:c r="BS75" s="40" t="str">
        <x:f>IF(COUNT(N75:W75)&gt;=8,AVERAGE(N75:W75),"")</x:f>
      </x:c>
      <x:c r="BT75" s="40" t="str">
        <x:f>IF(COUNT(X75:AE75)&gt;=7,AVERAGE(X75:AE75),"")</x:f>
      </x:c>
      <x:c r="BU75" s="40" t="str">
        <x:f>IF(COUNT(AF75:AM75)&gt;=7,AVERAGE(AF75:AM75),"")</x:f>
      </x:c>
      <x:c r="BV75" s="40" t="str">
        <x:f>IF(COUNT(AN75:AV75)&gt;=8,AVERAGE(AN75:AV75),"")</x:f>
      </x:c>
      <x:c r="BW75" s="40" t="str">
        <x:f>IF(COUNT(AW75:BD75)&gt;=7,AVERAGE(AW75:BD75),"")</x:f>
      </x:c>
      <x:c r="BX75" s="40" t="str">
        <x:f>IF(COUNT(BE75:BJ75)&gt;=5,AVERAGE(BE75:BJ75),"")</x:f>
      </x:c>
      <x:c r="BY75" s="40" t="str">
        <x:f>IF(COUNT(BK75:BR75)&gt;=7,AVERAGE(BK75:BR75),"")</x:f>
      </x:c>
    </x:row>
    <x:row r="76">
      <x:c r="A76" t="str">
        <x:v>R075</x:v>
      </x:c>
      <x:c r="BS76" s="40" t="str">
        <x:f>IF(COUNT(N76:W76)&gt;=8,AVERAGE(N76:W76),"")</x:f>
      </x:c>
      <x:c r="BT76" s="40" t="str">
        <x:f>IF(COUNT(X76:AE76)&gt;=7,AVERAGE(X76:AE76),"")</x:f>
      </x:c>
      <x:c r="BU76" s="40" t="str">
        <x:f>IF(COUNT(AF76:AM76)&gt;=7,AVERAGE(AF76:AM76),"")</x:f>
      </x:c>
      <x:c r="BV76" s="40" t="str">
        <x:f>IF(COUNT(AN76:AV76)&gt;=8,AVERAGE(AN76:AV76),"")</x:f>
      </x:c>
      <x:c r="BW76" s="40" t="str">
        <x:f>IF(COUNT(AW76:BD76)&gt;=7,AVERAGE(AW76:BD76),"")</x:f>
      </x:c>
      <x:c r="BX76" s="40" t="str">
        <x:f>IF(COUNT(BE76:BJ76)&gt;=5,AVERAGE(BE76:BJ76),"")</x:f>
      </x:c>
      <x:c r="BY76" s="40" t="str">
        <x:f>IF(COUNT(BK76:BR76)&gt;=7,AVERAGE(BK76:BR76),"")</x:f>
      </x:c>
    </x:row>
    <x:row r="77">
      <x:c r="A77" t="str">
        <x:v>R076</x:v>
      </x:c>
      <x:c r="BS77" s="40" t="str">
        <x:f>IF(COUNT(N77:W77)&gt;=8,AVERAGE(N77:W77),"")</x:f>
      </x:c>
      <x:c r="BT77" s="40" t="str">
        <x:f>IF(COUNT(X77:AE77)&gt;=7,AVERAGE(X77:AE77),"")</x:f>
      </x:c>
      <x:c r="BU77" s="40" t="str">
        <x:f>IF(COUNT(AF77:AM77)&gt;=7,AVERAGE(AF77:AM77),"")</x:f>
      </x:c>
      <x:c r="BV77" s="40" t="str">
        <x:f>IF(COUNT(AN77:AV77)&gt;=8,AVERAGE(AN77:AV77),"")</x:f>
      </x:c>
      <x:c r="BW77" s="40" t="str">
        <x:f>IF(COUNT(AW77:BD77)&gt;=7,AVERAGE(AW77:BD77),"")</x:f>
      </x:c>
      <x:c r="BX77" s="40" t="str">
        <x:f>IF(COUNT(BE77:BJ77)&gt;=5,AVERAGE(BE77:BJ77),"")</x:f>
      </x:c>
      <x:c r="BY77" s="40" t="str">
        <x:f>IF(COUNT(BK77:BR77)&gt;=7,AVERAGE(BK77:BR77),"")</x:f>
      </x:c>
    </x:row>
    <x:row r="78">
      <x:c r="A78" t="str">
        <x:v>R077</x:v>
      </x:c>
      <x:c r="BS78" s="40" t="str">
        <x:f>IF(COUNT(N78:W78)&gt;=8,AVERAGE(N78:W78),"")</x:f>
      </x:c>
      <x:c r="BT78" s="40" t="str">
        <x:f>IF(COUNT(X78:AE78)&gt;=7,AVERAGE(X78:AE78),"")</x:f>
      </x:c>
      <x:c r="BU78" s="40" t="str">
        <x:f>IF(COUNT(AF78:AM78)&gt;=7,AVERAGE(AF78:AM78),"")</x:f>
      </x:c>
      <x:c r="BV78" s="40" t="str">
        <x:f>IF(COUNT(AN78:AV78)&gt;=8,AVERAGE(AN78:AV78),"")</x:f>
      </x:c>
      <x:c r="BW78" s="40" t="str">
        <x:f>IF(COUNT(AW78:BD78)&gt;=7,AVERAGE(AW78:BD78),"")</x:f>
      </x:c>
      <x:c r="BX78" s="40" t="str">
        <x:f>IF(COUNT(BE78:BJ78)&gt;=5,AVERAGE(BE78:BJ78),"")</x:f>
      </x:c>
      <x:c r="BY78" s="40" t="str">
        <x:f>IF(COUNT(BK78:BR78)&gt;=7,AVERAGE(BK78:BR78),"")</x:f>
      </x:c>
    </x:row>
    <x:row r="79">
      <x:c r="A79" t="str">
        <x:v>R078</x:v>
      </x:c>
      <x:c r="BS79" s="40" t="str">
        <x:f>IF(COUNT(N79:W79)&gt;=8,AVERAGE(N79:W79),"")</x:f>
      </x:c>
      <x:c r="BT79" s="40" t="str">
        <x:f>IF(COUNT(X79:AE79)&gt;=7,AVERAGE(X79:AE79),"")</x:f>
      </x:c>
      <x:c r="BU79" s="40" t="str">
        <x:f>IF(COUNT(AF79:AM79)&gt;=7,AVERAGE(AF79:AM79),"")</x:f>
      </x:c>
      <x:c r="BV79" s="40" t="str">
        <x:f>IF(COUNT(AN79:AV79)&gt;=8,AVERAGE(AN79:AV79),"")</x:f>
      </x:c>
      <x:c r="BW79" s="40" t="str">
        <x:f>IF(COUNT(AW79:BD79)&gt;=7,AVERAGE(AW79:BD79),"")</x:f>
      </x:c>
      <x:c r="BX79" s="40" t="str">
        <x:f>IF(COUNT(BE79:BJ79)&gt;=5,AVERAGE(BE79:BJ79),"")</x:f>
      </x:c>
      <x:c r="BY79" s="40" t="str">
        <x:f>IF(COUNT(BK79:BR79)&gt;=7,AVERAGE(BK79:BR79),"")</x:f>
      </x:c>
    </x:row>
    <x:row r="80">
      <x:c r="A80" t="str">
        <x:v>R079</x:v>
      </x:c>
      <x:c r="BS80" s="40" t="str">
        <x:f>IF(COUNT(N80:W80)&gt;=8,AVERAGE(N80:W80),"")</x:f>
      </x:c>
      <x:c r="BT80" s="40" t="str">
        <x:f>IF(COUNT(X80:AE80)&gt;=7,AVERAGE(X80:AE80),"")</x:f>
      </x:c>
      <x:c r="BU80" s="40" t="str">
        <x:f>IF(COUNT(AF80:AM80)&gt;=7,AVERAGE(AF80:AM80),"")</x:f>
      </x:c>
      <x:c r="BV80" s="40" t="str">
        <x:f>IF(COUNT(AN80:AV80)&gt;=8,AVERAGE(AN80:AV80),"")</x:f>
      </x:c>
      <x:c r="BW80" s="40" t="str">
        <x:f>IF(COUNT(AW80:BD80)&gt;=7,AVERAGE(AW80:BD80),"")</x:f>
      </x:c>
      <x:c r="BX80" s="40" t="str">
        <x:f>IF(COUNT(BE80:BJ80)&gt;=5,AVERAGE(BE80:BJ80),"")</x:f>
      </x:c>
      <x:c r="BY80" s="40" t="str">
        <x:f>IF(COUNT(BK80:BR80)&gt;=7,AVERAGE(BK80:BR80),"")</x:f>
      </x:c>
    </x:row>
    <x:row r="81">
      <x:c r="A81" t="str">
        <x:v>R080</x:v>
      </x:c>
      <x:c r="BS81" s="40" t="str">
        <x:f>IF(COUNT(N81:W81)&gt;=8,AVERAGE(N81:W81),"")</x:f>
      </x:c>
      <x:c r="BT81" s="40" t="str">
        <x:f>IF(COUNT(X81:AE81)&gt;=7,AVERAGE(X81:AE81),"")</x:f>
      </x:c>
      <x:c r="BU81" s="40" t="str">
        <x:f>IF(COUNT(AF81:AM81)&gt;=7,AVERAGE(AF81:AM81),"")</x:f>
      </x:c>
      <x:c r="BV81" s="40" t="str">
        <x:f>IF(COUNT(AN81:AV81)&gt;=8,AVERAGE(AN81:AV81),"")</x:f>
      </x:c>
      <x:c r="BW81" s="40" t="str">
        <x:f>IF(COUNT(AW81:BD81)&gt;=7,AVERAGE(AW81:BD81),"")</x:f>
      </x:c>
      <x:c r="BX81" s="40" t="str">
        <x:f>IF(COUNT(BE81:BJ81)&gt;=5,AVERAGE(BE81:BJ81),"")</x:f>
      </x:c>
      <x:c r="BY81" s="40" t="str">
        <x:f>IF(COUNT(BK81:BR81)&gt;=7,AVERAGE(BK81:BR81),"")</x:f>
      </x:c>
    </x:row>
    <x:row r="82">
      <x:c r="A82" t="str">
        <x:v>R081</x:v>
      </x:c>
      <x:c r="BS82" s="40" t="str">
        <x:f>IF(COUNT(N82:W82)&gt;=8,AVERAGE(N82:W82),"")</x:f>
      </x:c>
      <x:c r="BT82" s="40" t="str">
        <x:f>IF(COUNT(X82:AE82)&gt;=7,AVERAGE(X82:AE82),"")</x:f>
      </x:c>
      <x:c r="BU82" s="40" t="str">
        <x:f>IF(COUNT(AF82:AM82)&gt;=7,AVERAGE(AF82:AM82),"")</x:f>
      </x:c>
      <x:c r="BV82" s="40" t="str">
        <x:f>IF(COUNT(AN82:AV82)&gt;=8,AVERAGE(AN82:AV82),"")</x:f>
      </x:c>
      <x:c r="BW82" s="40" t="str">
        <x:f>IF(COUNT(AW82:BD82)&gt;=7,AVERAGE(AW82:BD82),"")</x:f>
      </x:c>
      <x:c r="BX82" s="40" t="str">
        <x:f>IF(COUNT(BE82:BJ82)&gt;=5,AVERAGE(BE82:BJ82),"")</x:f>
      </x:c>
      <x:c r="BY82" s="40" t="str">
        <x:f>IF(COUNT(BK82:BR82)&gt;=7,AVERAGE(BK82:BR82),"")</x:f>
      </x:c>
    </x:row>
    <x:row r="83">
      <x:c r="A83" t="str">
        <x:v>R082</x:v>
      </x:c>
      <x:c r="BS83" s="40" t="str">
        <x:f>IF(COUNT(N83:W83)&gt;=8,AVERAGE(N83:W83),"")</x:f>
      </x:c>
      <x:c r="BT83" s="40" t="str">
        <x:f>IF(COUNT(X83:AE83)&gt;=7,AVERAGE(X83:AE83),"")</x:f>
      </x:c>
      <x:c r="BU83" s="40" t="str">
        <x:f>IF(COUNT(AF83:AM83)&gt;=7,AVERAGE(AF83:AM83),"")</x:f>
      </x:c>
      <x:c r="BV83" s="40" t="str">
        <x:f>IF(COUNT(AN83:AV83)&gt;=8,AVERAGE(AN83:AV83),"")</x:f>
      </x:c>
      <x:c r="BW83" s="40" t="str">
        <x:f>IF(COUNT(AW83:BD83)&gt;=7,AVERAGE(AW83:BD83),"")</x:f>
      </x:c>
      <x:c r="BX83" s="40" t="str">
        <x:f>IF(COUNT(BE83:BJ83)&gt;=5,AVERAGE(BE83:BJ83),"")</x:f>
      </x:c>
      <x:c r="BY83" s="40" t="str">
        <x:f>IF(COUNT(BK83:BR83)&gt;=7,AVERAGE(BK83:BR83),"")</x:f>
      </x:c>
    </x:row>
    <x:row r="84">
      <x:c r="A84" t="str">
        <x:v>R083</x:v>
      </x:c>
      <x:c r="BS84" s="40" t="str">
        <x:f>IF(COUNT(N84:W84)&gt;=8,AVERAGE(N84:W84),"")</x:f>
      </x:c>
      <x:c r="BT84" s="40" t="str">
        <x:f>IF(COUNT(X84:AE84)&gt;=7,AVERAGE(X84:AE84),"")</x:f>
      </x:c>
      <x:c r="BU84" s="40" t="str">
        <x:f>IF(COUNT(AF84:AM84)&gt;=7,AVERAGE(AF84:AM84),"")</x:f>
      </x:c>
      <x:c r="BV84" s="40" t="str">
        <x:f>IF(COUNT(AN84:AV84)&gt;=8,AVERAGE(AN84:AV84),"")</x:f>
      </x:c>
      <x:c r="BW84" s="40" t="str">
        <x:f>IF(COUNT(AW84:BD84)&gt;=7,AVERAGE(AW84:BD84),"")</x:f>
      </x:c>
      <x:c r="BX84" s="40" t="str">
        <x:f>IF(COUNT(BE84:BJ84)&gt;=5,AVERAGE(BE84:BJ84),"")</x:f>
      </x:c>
      <x:c r="BY84" s="40" t="str">
        <x:f>IF(COUNT(BK84:BR84)&gt;=7,AVERAGE(BK84:BR84),"")</x:f>
      </x:c>
    </x:row>
    <x:row r="85">
      <x:c r="A85" t="str">
        <x:v>R084</x:v>
      </x:c>
      <x:c r="BS85" s="40" t="str">
        <x:f>IF(COUNT(N85:W85)&gt;=8,AVERAGE(N85:W85),"")</x:f>
      </x:c>
      <x:c r="BT85" s="40" t="str">
        <x:f>IF(COUNT(X85:AE85)&gt;=7,AVERAGE(X85:AE85),"")</x:f>
      </x:c>
      <x:c r="BU85" s="40" t="str">
        <x:f>IF(COUNT(AF85:AM85)&gt;=7,AVERAGE(AF85:AM85),"")</x:f>
      </x:c>
      <x:c r="BV85" s="40" t="str">
        <x:f>IF(COUNT(AN85:AV85)&gt;=8,AVERAGE(AN85:AV85),"")</x:f>
      </x:c>
      <x:c r="BW85" s="40" t="str">
        <x:f>IF(COUNT(AW85:BD85)&gt;=7,AVERAGE(AW85:BD85),"")</x:f>
      </x:c>
      <x:c r="BX85" s="40" t="str">
        <x:f>IF(COUNT(BE85:BJ85)&gt;=5,AVERAGE(BE85:BJ85),"")</x:f>
      </x:c>
      <x:c r="BY85" s="40" t="str">
        <x:f>IF(COUNT(BK85:BR85)&gt;=7,AVERAGE(BK85:BR85),"")</x:f>
      </x:c>
    </x:row>
    <x:row r="86">
      <x:c r="A86" t="str">
        <x:v>R085</x:v>
      </x:c>
      <x:c r="BS86" s="40" t="str">
        <x:f>IF(COUNT(N86:W86)&gt;=8,AVERAGE(N86:W86),"")</x:f>
      </x:c>
      <x:c r="BT86" s="40" t="str">
        <x:f>IF(COUNT(X86:AE86)&gt;=7,AVERAGE(X86:AE86),"")</x:f>
      </x:c>
      <x:c r="BU86" s="40" t="str">
        <x:f>IF(COUNT(AF86:AM86)&gt;=7,AVERAGE(AF86:AM86),"")</x:f>
      </x:c>
      <x:c r="BV86" s="40" t="str">
        <x:f>IF(COUNT(AN86:AV86)&gt;=8,AVERAGE(AN86:AV86),"")</x:f>
      </x:c>
      <x:c r="BW86" s="40" t="str">
        <x:f>IF(COUNT(AW86:BD86)&gt;=7,AVERAGE(AW86:BD86),"")</x:f>
      </x:c>
      <x:c r="BX86" s="40" t="str">
        <x:f>IF(COUNT(BE86:BJ86)&gt;=5,AVERAGE(BE86:BJ86),"")</x:f>
      </x:c>
      <x:c r="BY86" s="40" t="str">
        <x:f>IF(COUNT(BK86:BR86)&gt;=7,AVERAGE(BK86:BR86),"")</x:f>
      </x:c>
    </x:row>
    <x:row r="87">
      <x:c r="A87" t="str">
        <x:v>R086</x:v>
      </x:c>
      <x:c r="BS87" s="40" t="str">
        <x:f>IF(COUNT(N87:W87)&gt;=8,AVERAGE(N87:W87),"")</x:f>
      </x:c>
      <x:c r="BT87" s="40" t="str">
        <x:f>IF(COUNT(X87:AE87)&gt;=7,AVERAGE(X87:AE87),"")</x:f>
      </x:c>
      <x:c r="BU87" s="40" t="str">
        <x:f>IF(COUNT(AF87:AM87)&gt;=7,AVERAGE(AF87:AM87),"")</x:f>
      </x:c>
      <x:c r="BV87" s="40" t="str">
        <x:f>IF(COUNT(AN87:AV87)&gt;=8,AVERAGE(AN87:AV87),"")</x:f>
      </x:c>
      <x:c r="BW87" s="40" t="str">
        <x:f>IF(COUNT(AW87:BD87)&gt;=7,AVERAGE(AW87:BD87),"")</x:f>
      </x:c>
      <x:c r="BX87" s="40" t="str">
        <x:f>IF(COUNT(BE87:BJ87)&gt;=5,AVERAGE(BE87:BJ87),"")</x:f>
      </x:c>
      <x:c r="BY87" s="40" t="str">
        <x:f>IF(COUNT(BK87:BR87)&gt;=7,AVERAGE(BK87:BR87),"")</x:f>
      </x:c>
    </x:row>
    <x:row r="88">
      <x:c r="A88" t="str">
        <x:v>R087</x:v>
      </x:c>
      <x:c r="BS88" s="40" t="str">
        <x:f>IF(COUNT(N88:W88)&gt;=8,AVERAGE(N88:W88),"")</x:f>
      </x:c>
      <x:c r="BT88" s="40" t="str">
        <x:f>IF(COUNT(X88:AE88)&gt;=7,AVERAGE(X88:AE88),"")</x:f>
      </x:c>
      <x:c r="BU88" s="40" t="str">
        <x:f>IF(COUNT(AF88:AM88)&gt;=7,AVERAGE(AF88:AM88),"")</x:f>
      </x:c>
      <x:c r="BV88" s="40" t="str">
        <x:f>IF(COUNT(AN88:AV88)&gt;=8,AVERAGE(AN88:AV88),"")</x:f>
      </x:c>
      <x:c r="BW88" s="40" t="str">
        <x:f>IF(COUNT(AW88:BD88)&gt;=7,AVERAGE(AW88:BD88),"")</x:f>
      </x:c>
      <x:c r="BX88" s="40" t="str">
        <x:f>IF(COUNT(BE88:BJ88)&gt;=5,AVERAGE(BE88:BJ88),"")</x:f>
      </x:c>
      <x:c r="BY88" s="40" t="str">
        <x:f>IF(COUNT(BK88:BR88)&gt;=7,AVERAGE(BK88:BR88),"")</x:f>
      </x:c>
    </x:row>
    <x:row r="89">
      <x:c r="A89" t="str">
        <x:v>R088</x:v>
      </x:c>
      <x:c r="BS89" s="40" t="str">
        <x:f>IF(COUNT(N89:W89)&gt;=8,AVERAGE(N89:W89),"")</x:f>
      </x:c>
      <x:c r="BT89" s="40" t="str">
        <x:f>IF(COUNT(X89:AE89)&gt;=7,AVERAGE(X89:AE89),"")</x:f>
      </x:c>
      <x:c r="BU89" s="40" t="str">
        <x:f>IF(COUNT(AF89:AM89)&gt;=7,AVERAGE(AF89:AM89),"")</x:f>
      </x:c>
      <x:c r="BV89" s="40" t="str">
        <x:f>IF(COUNT(AN89:AV89)&gt;=8,AVERAGE(AN89:AV89),"")</x:f>
      </x:c>
      <x:c r="BW89" s="40" t="str">
        <x:f>IF(COUNT(AW89:BD89)&gt;=7,AVERAGE(AW89:BD89),"")</x:f>
      </x:c>
      <x:c r="BX89" s="40" t="str">
        <x:f>IF(COUNT(BE89:BJ89)&gt;=5,AVERAGE(BE89:BJ89),"")</x:f>
      </x:c>
      <x:c r="BY89" s="40" t="str">
        <x:f>IF(COUNT(BK89:BR89)&gt;=7,AVERAGE(BK89:BR89),"")</x:f>
      </x:c>
    </x:row>
    <x:row r="90">
      <x:c r="A90" t="str">
        <x:v>R089</x:v>
      </x:c>
      <x:c r="BS90" s="40" t="str">
        <x:f>IF(COUNT(N90:W90)&gt;=8,AVERAGE(N90:W90),"")</x:f>
      </x:c>
      <x:c r="BT90" s="40" t="str">
        <x:f>IF(COUNT(X90:AE90)&gt;=7,AVERAGE(X90:AE90),"")</x:f>
      </x:c>
      <x:c r="BU90" s="40" t="str">
        <x:f>IF(COUNT(AF90:AM90)&gt;=7,AVERAGE(AF90:AM90),"")</x:f>
      </x:c>
      <x:c r="BV90" s="40" t="str">
        <x:f>IF(COUNT(AN90:AV90)&gt;=8,AVERAGE(AN90:AV90),"")</x:f>
      </x:c>
      <x:c r="BW90" s="40" t="str">
        <x:f>IF(COUNT(AW90:BD90)&gt;=7,AVERAGE(AW90:BD90),"")</x:f>
      </x:c>
      <x:c r="BX90" s="40" t="str">
        <x:f>IF(COUNT(BE90:BJ90)&gt;=5,AVERAGE(BE90:BJ90),"")</x:f>
      </x:c>
      <x:c r="BY90" s="40" t="str">
        <x:f>IF(COUNT(BK90:BR90)&gt;=7,AVERAGE(BK90:BR90),"")</x:f>
      </x:c>
    </x:row>
    <x:row r="91">
      <x:c r="A91" t="str">
        <x:v>R090</x:v>
      </x:c>
      <x:c r="BS91" s="40" t="str">
        <x:f>IF(COUNT(N91:W91)&gt;=8,AVERAGE(N91:W91),"")</x:f>
      </x:c>
      <x:c r="BT91" s="40" t="str">
        <x:f>IF(COUNT(X91:AE91)&gt;=7,AVERAGE(X91:AE91),"")</x:f>
      </x:c>
      <x:c r="BU91" s="40" t="str">
        <x:f>IF(COUNT(AF91:AM91)&gt;=7,AVERAGE(AF91:AM91),"")</x:f>
      </x:c>
      <x:c r="BV91" s="40" t="str">
        <x:f>IF(COUNT(AN91:AV91)&gt;=8,AVERAGE(AN91:AV91),"")</x:f>
      </x:c>
      <x:c r="BW91" s="40" t="str">
        <x:f>IF(COUNT(AW91:BD91)&gt;=7,AVERAGE(AW91:BD91),"")</x:f>
      </x:c>
      <x:c r="BX91" s="40" t="str">
        <x:f>IF(COUNT(BE91:BJ91)&gt;=5,AVERAGE(BE91:BJ91),"")</x:f>
      </x:c>
      <x:c r="BY91" s="40" t="str">
        <x:f>IF(COUNT(BK91:BR91)&gt;=7,AVERAGE(BK91:BR91),"")</x:f>
      </x:c>
    </x:row>
    <x:row r="92">
      <x:c r="A92" t="str">
        <x:v>R091</x:v>
      </x:c>
      <x:c r="BS92" s="40" t="str">
        <x:f>IF(COUNT(N92:W92)&gt;=8,AVERAGE(N92:W92),"")</x:f>
      </x:c>
      <x:c r="BT92" s="40" t="str">
        <x:f>IF(COUNT(X92:AE92)&gt;=7,AVERAGE(X92:AE92),"")</x:f>
      </x:c>
      <x:c r="BU92" s="40" t="str">
        <x:f>IF(COUNT(AF92:AM92)&gt;=7,AVERAGE(AF92:AM92),"")</x:f>
      </x:c>
      <x:c r="BV92" s="40" t="str">
        <x:f>IF(COUNT(AN92:AV92)&gt;=8,AVERAGE(AN92:AV92),"")</x:f>
      </x:c>
      <x:c r="BW92" s="40" t="str">
        <x:f>IF(COUNT(AW92:BD92)&gt;=7,AVERAGE(AW92:BD92),"")</x:f>
      </x:c>
      <x:c r="BX92" s="40" t="str">
        <x:f>IF(COUNT(BE92:BJ92)&gt;=5,AVERAGE(BE92:BJ92),"")</x:f>
      </x:c>
      <x:c r="BY92" s="40" t="str">
        <x:f>IF(COUNT(BK92:BR92)&gt;=7,AVERAGE(BK92:BR92),"")</x:f>
      </x:c>
    </x:row>
    <x:row r="93">
      <x:c r="A93" t="str">
        <x:v>R092</x:v>
      </x:c>
      <x:c r="BS93" s="40" t="str">
        <x:f>IF(COUNT(N93:W93)&gt;=8,AVERAGE(N93:W93),"")</x:f>
      </x:c>
      <x:c r="BT93" s="40" t="str">
        <x:f>IF(COUNT(X93:AE93)&gt;=7,AVERAGE(X93:AE93),"")</x:f>
      </x:c>
      <x:c r="BU93" s="40" t="str">
        <x:f>IF(COUNT(AF93:AM93)&gt;=7,AVERAGE(AF93:AM93),"")</x:f>
      </x:c>
      <x:c r="BV93" s="40" t="str">
        <x:f>IF(COUNT(AN93:AV93)&gt;=8,AVERAGE(AN93:AV93),"")</x:f>
      </x:c>
      <x:c r="BW93" s="40" t="str">
        <x:f>IF(COUNT(AW93:BD93)&gt;=7,AVERAGE(AW93:BD93),"")</x:f>
      </x:c>
      <x:c r="BX93" s="40" t="str">
        <x:f>IF(COUNT(BE93:BJ93)&gt;=5,AVERAGE(BE93:BJ93),"")</x:f>
      </x:c>
      <x:c r="BY93" s="40" t="str">
        <x:f>IF(COUNT(BK93:BR93)&gt;=7,AVERAGE(BK93:BR93),"")</x:f>
      </x:c>
    </x:row>
    <x:row r="94">
      <x:c r="A94" t="str">
        <x:v>R093</x:v>
      </x:c>
      <x:c r="BS94" s="40" t="str">
        <x:f>IF(COUNT(N94:W94)&gt;=8,AVERAGE(N94:W94),"")</x:f>
      </x:c>
      <x:c r="BT94" s="40" t="str">
        <x:f>IF(COUNT(X94:AE94)&gt;=7,AVERAGE(X94:AE94),"")</x:f>
      </x:c>
      <x:c r="BU94" s="40" t="str">
        <x:f>IF(COUNT(AF94:AM94)&gt;=7,AVERAGE(AF94:AM94),"")</x:f>
      </x:c>
      <x:c r="BV94" s="40" t="str">
        <x:f>IF(COUNT(AN94:AV94)&gt;=8,AVERAGE(AN94:AV94),"")</x:f>
      </x:c>
      <x:c r="BW94" s="40" t="str">
        <x:f>IF(COUNT(AW94:BD94)&gt;=7,AVERAGE(AW94:BD94),"")</x:f>
      </x:c>
      <x:c r="BX94" s="40" t="str">
        <x:f>IF(COUNT(BE94:BJ94)&gt;=5,AVERAGE(BE94:BJ94),"")</x:f>
      </x:c>
      <x:c r="BY94" s="40" t="str">
        <x:f>IF(COUNT(BK94:BR94)&gt;=7,AVERAGE(BK94:BR94),"")</x:f>
      </x:c>
    </x:row>
    <x:row r="95">
      <x:c r="A95" t="str">
        <x:v>R094</x:v>
      </x:c>
      <x:c r="BS95" s="40" t="str">
        <x:f>IF(COUNT(N95:W95)&gt;=8,AVERAGE(N95:W95),"")</x:f>
      </x:c>
      <x:c r="BT95" s="40" t="str">
        <x:f>IF(COUNT(X95:AE95)&gt;=7,AVERAGE(X95:AE95),"")</x:f>
      </x:c>
      <x:c r="BU95" s="40" t="str">
        <x:f>IF(COUNT(AF95:AM95)&gt;=7,AVERAGE(AF95:AM95),"")</x:f>
      </x:c>
      <x:c r="BV95" s="40" t="str">
        <x:f>IF(COUNT(AN95:AV95)&gt;=8,AVERAGE(AN95:AV95),"")</x:f>
      </x:c>
      <x:c r="BW95" s="40" t="str">
        <x:f>IF(COUNT(AW95:BD95)&gt;=7,AVERAGE(AW95:BD95),"")</x:f>
      </x:c>
      <x:c r="BX95" s="40" t="str">
        <x:f>IF(COUNT(BE95:BJ95)&gt;=5,AVERAGE(BE95:BJ95),"")</x:f>
      </x:c>
      <x:c r="BY95" s="40" t="str">
        <x:f>IF(COUNT(BK95:BR95)&gt;=7,AVERAGE(BK95:BR95),"")</x:f>
      </x:c>
    </x:row>
    <x:row r="96">
      <x:c r="A96" t="str">
        <x:v>R095</x:v>
      </x:c>
      <x:c r="BS96" s="40" t="str">
        <x:f>IF(COUNT(N96:W96)&gt;=8,AVERAGE(N96:W96),"")</x:f>
      </x:c>
      <x:c r="BT96" s="40" t="str">
        <x:f>IF(COUNT(X96:AE96)&gt;=7,AVERAGE(X96:AE96),"")</x:f>
      </x:c>
      <x:c r="BU96" s="40" t="str">
        <x:f>IF(COUNT(AF96:AM96)&gt;=7,AVERAGE(AF96:AM96),"")</x:f>
      </x:c>
      <x:c r="BV96" s="40" t="str">
        <x:f>IF(COUNT(AN96:AV96)&gt;=8,AVERAGE(AN96:AV96),"")</x:f>
      </x:c>
      <x:c r="BW96" s="40" t="str">
        <x:f>IF(COUNT(AW96:BD96)&gt;=7,AVERAGE(AW96:BD96),"")</x:f>
      </x:c>
      <x:c r="BX96" s="40" t="str">
        <x:f>IF(COUNT(BE96:BJ96)&gt;=5,AVERAGE(BE96:BJ96),"")</x:f>
      </x:c>
      <x:c r="BY96" s="40" t="str">
        <x:f>IF(COUNT(BK96:BR96)&gt;=7,AVERAGE(BK96:BR96),"")</x:f>
      </x:c>
    </x:row>
    <x:row r="97">
      <x:c r="A97" t="str">
        <x:v>R096</x:v>
      </x:c>
      <x:c r="BS97" s="40" t="str">
        <x:f>IF(COUNT(N97:W97)&gt;=8,AVERAGE(N97:W97),"")</x:f>
      </x:c>
      <x:c r="BT97" s="40" t="str">
        <x:f>IF(COUNT(X97:AE97)&gt;=7,AVERAGE(X97:AE97),"")</x:f>
      </x:c>
      <x:c r="BU97" s="40" t="str">
        <x:f>IF(COUNT(AF97:AM97)&gt;=7,AVERAGE(AF97:AM97),"")</x:f>
      </x:c>
      <x:c r="BV97" s="40" t="str">
        <x:f>IF(COUNT(AN97:AV97)&gt;=8,AVERAGE(AN97:AV97),"")</x:f>
      </x:c>
      <x:c r="BW97" s="40" t="str">
        <x:f>IF(COUNT(AW97:BD97)&gt;=7,AVERAGE(AW97:BD97),"")</x:f>
      </x:c>
      <x:c r="BX97" s="40" t="str">
        <x:f>IF(COUNT(BE97:BJ97)&gt;=5,AVERAGE(BE97:BJ97),"")</x:f>
      </x:c>
      <x:c r="BY97" s="40" t="str">
        <x:f>IF(COUNT(BK97:BR97)&gt;=7,AVERAGE(BK97:BR97),"")</x:f>
      </x:c>
    </x:row>
    <x:row r="98">
      <x:c r="A98" t="str">
        <x:v>R097</x:v>
      </x:c>
      <x:c r="BS98" s="40" t="str">
        <x:f>IF(COUNT(N98:W98)&gt;=8,AVERAGE(N98:W98),"")</x:f>
      </x:c>
      <x:c r="BT98" s="40" t="str">
        <x:f>IF(COUNT(X98:AE98)&gt;=7,AVERAGE(X98:AE98),"")</x:f>
      </x:c>
      <x:c r="BU98" s="40" t="str">
        <x:f>IF(COUNT(AF98:AM98)&gt;=7,AVERAGE(AF98:AM98),"")</x:f>
      </x:c>
      <x:c r="BV98" s="40" t="str">
        <x:f>IF(COUNT(AN98:AV98)&gt;=8,AVERAGE(AN98:AV98),"")</x:f>
      </x:c>
      <x:c r="BW98" s="40" t="str">
        <x:f>IF(COUNT(AW98:BD98)&gt;=7,AVERAGE(AW98:BD98),"")</x:f>
      </x:c>
      <x:c r="BX98" s="40" t="str">
        <x:f>IF(COUNT(BE98:BJ98)&gt;=5,AVERAGE(BE98:BJ98),"")</x:f>
      </x:c>
      <x:c r="BY98" s="40" t="str">
        <x:f>IF(COUNT(BK98:BR98)&gt;=7,AVERAGE(BK98:BR98),"")</x:f>
      </x:c>
    </x:row>
    <x:row r="99">
      <x:c r="A99" t="str">
        <x:v>R098</x:v>
      </x:c>
      <x:c r="BS99" s="40" t="str">
        <x:f>IF(COUNT(N99:W99)&gt;=8,AVERAGE(N99:W99),"")</x:f>
      </x:c>
      <x:c r="BT99" s="40" t="str">
        <x:f>IF(COUNT(X99:AE99)&gt;=7,AVERAGE(X99:AE99),"")</x:f>
      </x:c>
      <x:c r="BU99" s="40" t="str">
        <x:f>IF(COUNT(AF99:AM99)&gt;=7,AVERAGE(AF99:AM99),"")</x:f>
      </x:c>
      <x:c r="BV99" s="40" t="str">
        <x:f>IF(COUNT(AN99:AV99)&gt;=8,AVERAGE(AN99:AV99),"")</x:f>
      </x:c>
      <x:c r="BW99" s="40" t="str">
        <x:f>IF(COUNT(AW99:BD99)&gt;=7,AVERAGE(AW99:BD99),"")</x:f>
      </x:c>
      <x:c r="BX99" s="40" t="str">
        <x:f>IF(COUNT(BE99:BJ99)&gt;=5,AVERAGE(BE99:BJ99),"")</x:f>
      </x:c>
      <x:c r="BY99" s="40" t="str">
        <x:f>IF(COUNT(BK99:BR99)&gt;=7,AVERAGE(BK99:BR99),"")</x:f>
      </x:c>
    </x:row>
    <x:row r="100">
      <x:c r="A100" t="str">
        <x:v>R099</x:v>
      </x:c>
      <x:c r="BS100" s="40" t="str">
        <x:f>IF(COUNT(N100:W100)&gt;=8,AVERAGE(N100:W100),"")</x:f>
      </x:c>
      <x:c r="BT100" s="40" t="str">
        <x:f>IF(COUNT(X100:AE100)&gt;=7,AVERAGE(X100:AE100),"")</x:f>
      </x:c>
      <x:c r="BU100" s="40" t="str">
        <x:f>IF(COUNT(AF100:AM100)&gt;=7,AVERAGE(AF100:AM100),"")</x:f>
      </x:c>
      <x:c r="BV100" s="40" t="str">
        <x:f>IF(COUNT(AN100:AV100)&gt;=8,AVERAGE(AN100:AV100),"")</x:f>
      </x:c>
      <x:c r="BW100" s="40" t="str">
        <x:f>IF(COUNT(AW100:BD100)&gt;=7,AVERAGE(AW100:BD100),"")</x:f>
      </x:c>
      <x:c r="BX100" s="40" t="str">
        <x:f>IF(COUNT(BE100:BJ100)&gt;=5,AVERAGE(BE100:BJ100),"")</x:f>
      </x:c>
      <x:c r="BY100" s="40" t="str">
        <x:f>IF(COUNT(BK100:BR100)&gt;=7,AVERAGE(BK100:BR100),"")</x:f>
      </x:c>
    </x:row>
    <x:row r="101">
      <x:c r="A101" t="str">
        <x:v>R100</x:v>
      </x:c>
      <x:c r="BS101" s="40" t="str">
        <x:f>IF(COUNT(N101:W101)&gt;=8,AVERAGE(N101:W101),"")</x:f>
      </x:c>
      <x:c r="BT101" s="40" t="str">
        <x:f>IF(COUNT(X101:AE101)&gt;=7,AVERAGE(X101:AE101),"")</x:f>
      </x:c>
      <x:c r="BU101" s="40" t="str">
        <x:f>IF(COUNT(AF101:AM101)&gt;=7,AVERAGE(AF101:AM101),"")</x:f>
      </x:c>
      <x:c r="BV101" s="40" t="str">
        <x:f>IF(COUNT(AN101:AV101)&gt;=8,AVERAGE(AN101:AV101),"")</x:f>
      </x:c>
      <x:c r="BW101" s="40" t="str">
        <x:f>IF(COUNT(AW101:BD101)&gt;=7,AVERAGE(AW101:BD101),"")</x:f>
      </x:c>
      <x:c r="BX101" s="40" t="str">
        <x:f>IF(COUNT(BE101:BJ101)&gt;=5,AVERAGE(BE101:BJ101),"")</x:f>
      </x:c>
      <x:c r="BY101" s="40" t="str">
        <x:f>IF(COUNT(BK101:BR101)&gt;=7,AVERAGE(BK101:BR101),"")</x:f>
      </x:c>
    </x:row>
    <x:row r="102">
      <x:c r="A102" t="str">
        <x:v>R101</x:v>
      </x:c>
      <x:c r="BS102" s="40" t="str">
        <x:f>IF(COUNT(N102:W102)&gt;=8,AVERAGE(N102:W102),"")</x:f>
      </x:c>
      <x:c r="BT102" s="40" t="str">
        <x:f>IF(COUNT(X102:AE102)&gt;=7,AVERAGE(X102:AE102),"")</x:f>
      </x:c>
      <x:c r="BU102" s="40" t="str">
        <x:f>IF(COUNT(AF102:AM102)&gt;=7,AVERAGE(AF102:AM102),"")</x:f>
      </x:c>
      <x:c r="BV102" s="40" t="str">
        <x:f>IF(COUNT(AN102:AV102)&gt;=8,AVERAGE(AN102:AV102),"")</x:f>
      </x:c>
      <x:c r="BW102" s="40" t="str">
        <x:f>IF(COUNT(AW102:BD102)&gt;=7,AVERAGE(AW102:BD102),"")</x:f>
      </x:c>
      <x:c r="BX102" s="40" t="str">
        <x:f>IF(COUNT(BE102:BJ102)&gt;=5,AVERAGE(BE102:BJ102),"")</x:f>
      </x:c>
      <x:c r="BY102" s="40" t="str">
        <x:f>IF(COUNT(BK102:BR102)&gt;=7,AVERAGE(BK102:BR102),"")</x:f>
      </x:c>
    </x:row>
    <x:row r="103">
      <x:c r="A103" t="str">
        <x:v>R102</x:v>
      </x:c>
      <x:c r="BS103" s="40" t="str">
        <x:f>IF(COUNT(N103:W103)&gt;=8,AVERAGE(N103:W103),"")</x:f>
      </x:c>
      <x:c r="BT103" s="40" t="str">
        <x:f>IF(COUNT(X103:AE103)&gt;=7,AVERAGE(X103:AE103),"")</x:f>
      </x:c>
      <x:c r="BU103" s="40" t="str">
        <x:f>IF(COUNT(AF103:AM103)&gt;=7,AVERAGE(AF103:AM103),"")</x:f>
      </x:c>
      <x:c r="BV103" s="40" t="str">
        <x:f>IF(COUNT(AN103:AV103)&gt;=8,AVERAGE(AN103:AV103),"")</x:f>
      </x:c>
      <x:c r="BW103" s="40" t="str">
        <x:f>IF(COUNT(AW103:BD103)&gt;=7,AVERAGE(AW103:BD103),"")</x:f>
      </x:c>
      <x:c r="BX103" s="40" t="str">
        <x:f>IF(COUNT(BE103:BJ103)&gt;=5,AVERAGE(BE103:BJ103),"")</x:f>
      </x:c>
      <x:c r="BY103" s="40" t="str">
        <x:f>IF(COUNT(BK103:BR103)&gt;=7,AVERAGE(BK103:BR103),"")</x:f>
      </x:c>
    </x:row>
    <x:row r="104">
      <x:c r="A104" t="str">
        <x:v>R103</x:v>
      </x:c>
      <x:c r="BS104" s="40" t="str">
        <x:f>IF(COUNT(N104:W104)&gt;=8,AVERAGE(N104:W104),"")</x:f>
      </x:c>
      <x:c r="BT104" s="40" t="str">
        <x:f>IF(COUNT(X104:AE104)&gt;=7,AVERAGE(X104:AE104),"")</x:f>
      </x:c>
      <x:c r="BU104" s="40" t="str">
        <x:f>IF(COUNT(AF104:AM104)&gt;=7,AVERAGE(AF104:AM104),"")</x:f>
      </x:c>
      <x:c r="BV104" s="40" t="str">
        <x:f>IF(COUNT(AN104:AV104)&gt;=8,AVERAGE(AN104:AV104),"")</x:f>
      </x:c>
      <x:c r="BW104" s="40" t="str">
        <x:f>IF(COUNT(AW104:BD104)&gt;=7,AVERAGE(AW104:BD104),"")</x:f>
      </x:c>
      <x:c r="BX104" s="40" t="str">
        <x:f>IF(COUNT(BE104:BJ104)&gt;=5,AVERAGE(BE104:BJ104),"")</x:f>
      </x:c>
      <x:c r="BY104" s="40" t="str">
        <x:f>IF(COUNT(BK104:BR104)&gt;=7,AVERAGE(BK104:BR104),"")</x:f>
      </x:c>
    </x:row>
    <x:row r="105">
      <x:c r="A105" t="str">
        <x:v>R104</x:v>
      </x:c>
      <x:c r="BS105" s="40" t="str">
        <x:f>IF(COUNT(N105:W105)&gt;=8,AVERAGE(N105:W105),"")</x:f>
      </x:c>
      <x:c r="BT105" s="40" t="str">
        <x:f>IF(COUNT(X105:AE105)&gt;=7,AVERAGE(X105:AE105),"")</x:f>
      </x:c>
      <x:c r="BU105" s="40" t="str">
        <x:f>IF(COUNT(AF105:AM105)&gt;=7,AVERAGE(AF105:AM105),"")</x:f>
      </x:c>
      <x:c r="BV105" s="40" t="str">
        <x:f>IF(COUNT(AN105:AV105)&gt;=8,AVERAGE(AN105:AV105),"")</x:f>
      </x:c>
      <x:c r="BW105" s="40" t="str">
        <x:f>IF(COUNT(AW105:BD105)&gt;=7,AVERAGE(AW105:BD105),"")</x:f>
      </x:c>
      <x:c r="BX105" s="40" t="str">
        <x:f>IF(COUNT(BE105:BJ105)&gt;=5,AVERAGE(BE105:BJ105),"")</x:f>
      </x:c>
      <x:c r="BY105" s="40" t="str">
        <x:f>IF(COUNT(BK105:BR105)&gt;=7,AVERAGE(BK105:BR105),"")</x:f>
      </x:c>
    </x:row>
    <x:row r="106">
      <x:c r="A106" t="str">
        <x:v>R105</x:v>
      </x:c>
      <x:c r="BS106" s="40" t="str">
        <x:f>IF(COUNT(N106:W106)&gt;=8,AVERAGE(N106:W106),"")</x:f>
      </x:c>
      <x:c r="BT106" s="40" t="str">
        <x:f>IF(COUNT(X106:AE106)&gt;=7,AVERAGE(X106:AE106),"")</x:f>
      </x:c>
      <x:c r="BU106" s="40" t="str">
        <x:f>IF(COUNT(AF106:AM106)&gt;=7,AVERAGE(AF106:AM106),"")</x:f>
      </x:c>
      <x:c r="BV106" s="40" t="str">
        <x:f>IF(COUNT(AN106:AV106)&gt;=8,AVERAGE(AN106:AV106),"")</x:f>
      </x:c>
      <x:c r="BW106" s="40" t="str">
        <x:f>IF(COUNT(AW106:BD106)&gt;=7,AVERAGE(AW106:BD106),"")</x:f>
      </x:c>
      <x:c r="BX106" s="40" t="str">
        <x:f>IF(COUNT(BE106:BJ106)&gt;=5,AVERAGE(BE106:BJ106),"")</x:f>
      </x:c>
      <x:c r="BY106" s="40" t="str">
        <x:f>IF(COUNT(BK106:BR106)&gt;=7,AVERAGE(BK106:BR106),"")</x:f>
      </x:c>
    </x:row>
    <x:row r="107">
      <x:c r="A107" t="str">
        <x:v>R106</x:v>
      </x:c>
      <x:c r="BS107" s="40" t="str">
        <x:f>IF(COUNT(N107:W107)&gt;=8,AVERAGE(N107:W107),"")</x:f>
      </x:c>
      <x:c r="BT107" s="40" t="str">
        <x:f>IF(COUNT(X107:AE107)&gt;=7,AVERAGE(X107:AE107),"")</x:f>
      </x:c>
      <x:c r="BU107" s="40" t="str">
        <x:f>IF(COUNT(AF107:AM107)&gt;=7,AVERAGE(AF107:AM107),"")</x:f>
      </x:c>
      <x:c r="BV107" s="40" t="str">
        <x:f>IF(COUNT(AN107:AV107)&gt;=8,AVERAGE(AN107:AV107),"")</x:f>
      </x:c>
      <x:c r="BW107" s="40" t="str">
        <x:f>IF(COUNT(AW107:BD107)&gt;=7,AVERAGE(AW107:BD107),"")</x:f>
      </x:c>
      <x:c r="BX107" s="40" t="str">
        <x:f>IF(COUNT(BE107:BJ107)&gt;=5,AVERAGE(BE107:BJ107),"")</x:f>
      </x:c>
      <x:c r="BY107" s="40" t="str">
        <x:f>IF(COUNT(BK107:BR107)&gt;=7,AVERAGE(BK107:BR107),"")</x:f>
      </x:c>
    </x:row>
    <x:row r="108">
      <x:c r="A108" t="str">
        <x:v>R107</x:v>
      </x:c>
      <x:c r="BS108" s="40" t="str">
        <x:f>IF(COUNT(N108:W108)&gt;=8,AVERAGE(N108:W108),"")</x:f>
      </x:c>
      <x:c r="BT108" s="40" t="str">
        <x:f>IF(COUNT(X108:AE108)&gt;=7,AVERAGE(X108:AE108),"")</x:f>
      </x:c>
      <x:c r="BU108" s="40" t="str">
        <x:f>IF(COUNT(AF108:AM108)&gt;=7,AVERAGE(AF108:AM108),"")</x:f>
      </x:c>
      <x:c r="BV108" s="40" t="str">
        <x:f>IF(COUNT(AN108:AV108)&gt;=8,AVERAGE(AN108:AV108),"")</x:f>
      </x:c>
      <x:c r="BW108" s="40" t="str">
        <x:f>IF(COUNT(AW108:BD108)&gt;=7,AVERAGE(AW108:BD108),"")</x:f>
      </x:c>
      <x:c r="BX108" s="40" t="str">
        <x:f>IF(COUNT(BE108:BJ108)&gt;=5,AVERAGE(BE108:BJ108),"")</x:f>
      </x:c>
      <x:c r="BY108" s="40" t="str">
        <x:f>IF(COUNT(BK108:BR108)&gt;=7,AVERAGE(BK108:BR108),"")</x:f>
      </x:c>
    </x:row>
    <x:row r="109">
      <x:c r="A109" t="str">
        <x:v>R108</x:v>
      </x:c>
      <x:c r="BS109" s="40" t="str">
        <x:f>IF(COUNT(N109:W109)&gt;=8,AVERAGE(N109:W109),"")</x:f>
      </x:c>
      <x:c r="BT109" s="40" t="str">
        <x:f>IF(COUNT(X109:AE109)&gt;=7,AVERAGE(X109:AE109),"")</x:f>
      </x:c>
      <x:c r="BU109" s="40" t="str">
        <x:f>IF(COUNT(AF109:AM109)&gt;=7,AVERAGE(AF109:AM109),"")</x:f>
      </x:c>
      <x:c r="BV109" s="40" t="str">
        <x:f>IF(COUNT(AN109:AV109)&gt;=8,AVERAGE(AN109:AV109),"")</x:f>
      </x:c>
      <x:c r="BW109" s="40" t="str">
        <x:f>IF(COUNT(AW109:BD109)&gt;=7,AVERAGE(AW109:BD109),"")</x:f>
      </x:c>
      <x:c r="BX109" s="40" t="str">
        <x:f>IF(COUNT(BE109:BJ109)&gt;=5,AVERAGE(BE109:BJ109),"")</x:f>
      </x:c>
      <x:c r="BY109" s="40" t="str">
        <x:f>IF(COUNT(BK109:BR109)&gt;=7,AVERAGE(BK109:BR109),"")</x:f>
      </x:c>
    </x:row>
    <x:row r="110">
      <x:c r="A110" t="str">
        <x:v>R109</x:v>
      </x:c>
      <x:c r="BS110" s="40" t="str">
        <x:f>IF(COUNT(N110:W110)&gt;=8,AVERAGE(N110:W110),"")</x:f>
      </x:c>
      <x:c r="BT110" s="40" t="str">
        <x:f>IF(COUNT(X110:AE110)&gt;=7,AVERAGE(X110:AE110),"")</x:f>
      </x:c>
      <x:c r="BU110" s="40" t="str">
        <x:f>IF(COUNT(AF110:AM110)&gt;=7,AVERAGE(AF110:AM110),"")</x:f>
      </x:c>
      <x:c r="BV110" s="40" t="str">
        <x:f>IF(COUNT(AN110:AV110)&gt;=8,AVERAGE(AN110:AV110),"")</x:f>
      </x:c>
      <x:c r="BW110" s="40" t="str">
        <x:f>IF(COUNT(AW110:BD110)&gt;=7,AVERAGE(AW110:BD110),"")</x:f>
      </x:c>
      <x:c r="BX110" s="40" t="str">
        <x:f>IF(COUNT(BE110:BJ110)&gt;=5,AVERAGE(BE110:BJ110),"")</x:f>
      </x:c>
      <x:c r="BY110" s="40" t="str">
        <x:f>IF(COUNT(BK110:BR110)&gt;=7,AVERAGE(BK110:BR110),"")</x:f>
      </x:c>
    </x:row>
    <x:row r="111">
      <x:c r="A111" t="str">
        <x:v>R110</x:v>
      </x:c>
      <x:c r="BS111" s="40" t="str">
        <x:f>IF(COUNT(N111:W111)&gt;=8,AVERAGE(N111:W111),"")</x:f>
      </x:c>
      <x:c r="BT111" s="40" t="str">
        <x:f>IF(COUNT(X111:AE111)&gt;=7,AVERAGE(X111:AE111),"")</x:f>
      </x:c>
      <x:c r="BU111" s="40" t="str">
        <x:f>IF(COUNT(AF111:AM111)&gt;=7,AVERAGE(AF111:AM111),"")</x:f>
      </x:c>
      <x:c r="BV111" s="40" t="str">
        <x:f>IF(COUNT(AN111:AV111)&gt;=8,AVERAGE(AN111:AV111),"")</x:f>
      </x:c>
      <x:c r="BW111" s="40" t="str">
        <x:f>IF(COUNT(AW111:BD111)&gt;=7,AVERAGE(AW111:BD111),"")</x:f>
      </x:c>
      <x:c r="BX111" s="40" t="str">
        <x:f>IF(COUNT(BE111:BJ111)&gt;=5,AVERAGE(BE111:BJ111),"")</x:f>
      </x:c>
      <x:c r="BY111" s="40" t="str">
        <x:f>IF(COUNT(BK111:BR111)&gt;=7,AVERAGE(BK111:BR111),"")</x:f>
      </x:c>
    </x:row>
    <x:row r="112">
      <x:c r="A112" t="str">
        <x:v>R111</x:v>
      </x:c>
      <x:c r="BS112" s="40" t="str">
        <x:f>IF(COUNT(N112:W112)&gt;=8,AVERAGE(N112:W112),"")</x:f>
      </x:c>
      <x:c r="BT112" s="40" t="str">
        <x:f>IF(COUNT(X112:AE112)&gt;=7,AVERAGE(X112:AE112),"")</x:f>
      </x:c>
      <x:c r="BU112" s="40" t="str">
        <x:f>IF(COUNT(AF112:AM112)&gt;=7,AVERAGE(AF112:AM112),"")</x:f>
      </x:c>
      <x:c r="BV112" s="40" t="str">
        <x:f>IF(COUNT(AN112:AV112)&gt;=8,AVERAGE(AN112:AV112),"")</x:f>
      </x:c>
      <x:c r="BW112" s="40" t="str">
        <x:f>IF(COUNT(AW112:BD112)&gt;=7,AVERAGE(AW112:BD112),"")</x:f>
      </x:c>
      <x:c r="BX112" s="40" t="str">
        <x:f>IF(COUNT(BE112:BJ112)&gt;=5,AVERAGE(BE112:BJ112),"")</x:f>
      </x:c>
      <x:c r="BY112" s="40" t="str">
        <x:f>IF(COUNT(BK112:BR112)&gt;=7,AVERAGE(BK112:BR112),"")</x:f>
      </x:c>
    </x:row>
    <x:row r="113">
      <x:c r="A113" t="str">
        <x:v>R112</x:v>
      </x:c>
      <x:c r="BS113" s="40" t="str">
        <x:f>IF(COUNT(N113:W113)&gt;=8,AVERAGE(N113:W113),"")</x:f>
      </x:c>
      <x:c r="BT113" s="40" t="str">
        <x:f>IF(COUNT(X113:AE113)&gt;=7,AVERAGE(X113:AE113),"")</x:f>
      </x:c>
      <x:c r="BU113" s="40" t="str">
        <x:f>IF(COUNT(AF113:AM113)&gt;=7,AVERAGE(AF113:AM113),"")</x:f>
      </x:c>
      <x:c r="BV113" s="40" t="str">
        <x:f>IF(COUNT(AN113:AV113)&gt;=8,AVERAGE(AN113:AV113),"")</x:f>
      </x:c>
      <x:c r="BW113" s="40" t="str">
        <x:f>IF(COUNT(AW113:BD113)&gt;=7,AVERAGE(AW113:BD113),"")</x:f>
      </x:c>
      <x:c r="BX113" s="40" t="str">
        <x:f>IF(COUNT(BE113:BJ113)&gt;=5,AVERAGE(BE113:BJ113),"")</x:f>
      </x:c>
      <x:c r="BY113" s="40" t="str">
        <x:f>IF(COUNT(BK113:BR113)&gt;=7,AVERAGE(BK113:BR113),"")</x:f>
      </x:c>
    </x:row>
    <x:row r="114">
      <x:c r="A114" t="str">
        <x:v>R113</x:v>
      </x:c>
      <x:c r="BS114" s="40" t="str">
        <x:f>IF(COUNT(N114:W114)&gt;=8,AVERAGE(N114:W114),"")</x:f>
      </x:c>
      <x:c r="BT114" s="40" t="str">
        <x:f>IF(COUNT(X114:AE114)&gt;=7,AVERAGE(X114:AE114),"")</x:f>
      </x:c>
      <x:c r="BU114" s="40" t="str">
        <x:f>IF(COUNT(AF114:AM114)&gt;=7,AVERAGE(AF114:AM114),"")</x:f>
      </x:c>
      <x:c r="BV114" s="40" t="str">
        <x:f>IF(COUNT(AN114:AV114)&gt;=8,AVERAGE(AN114:AV114),"")</x:f>
      </x:c>
      <x:c r="BW114" s="40" t="str">
        <x:f>IF(COUNT(AW114:BD114)&gt;=7,AVERAGE(AW114:BD114),"")</x:f>
      </x:c>
      <x:c r="BX114" s="40" t="str">
        <x:f>IF(COUNT(BE114:BJ114)&gt;=5,AVERAGE(BE114:BJ114),"")</x:f>
      </x:c>
      <x:c r="BY114" s="40" t="str">
        <x:f>IF(COUNT(BK114:BR114)&gt;=7,AVERAGE(BK114:BR114),"")</x:f>
      </x:c>
    </x:row>
    <x:row r="115">
      <x:c r="A115" t="str">
        <x:v>R114</x:v>
      </x:c>
      <x:c r="BS115" s="40" t="str">
        <x:f>IF(COUNT(N115:W115)&gt;=8,AVERAGE(N115:W115),"")</x:f>
      </x:c>
      <x:c r="BT115" s="40" t="str">
        <x:f>IF(COUNT(X115:AE115)&gt;=7,AVERAGE(X115:AE115),"")</x:f>
      </x:c>
      <x:c r="BU115" s="40" t="str">
        <x:f>IF(COUNT(AF115:AM115)&gt;=7,AVERAGE(AF115:AM115),"")</x:f>
      </x:c>
      <x:c r="BV115" s="40" t="str">
        <x:f>IF(COUNT(AN115:AV115)&gt;=8,AVERAGE(AN115:AV115),"")</x:f>
      </x:c>
      <x:c r="BW115" s="40" t="str">
        <x:f>IF(COUNT(AW115:BD115)&gt;=7,AVERAGE(AW115:BD115),"")</x:f>
      </x:c>
      <x:c r="BX115" s="40" t="str">
        <x:f>IF(COUNT(BE115:BJ115)&gt;=5,AVERAGE(BE115:BJ115),"")</x:f>
      </x:c>
      <x:c r="BY115" s="40" t="str">
        <x:f>IF(COUNT(BK115:BR115)&gt;=7,AVERAGE(BK115:BR115),"")</x:f>
      </x:c>
    </x:row>
    <x:row r="116">
      <x:c r="A116" t="str">
        <x:v>R115</x:v>
      </x:c>
      <x:c r="BS116" s="40" t="str">
        <x:f>IF(COUNT(N116:W116)&gt;=8,AVERAGE(N116:W116),"")</x:f>
      </x:c>
      <x:c r="BT116" s="40" t="str">
        <x:f>IF(COUNT(X116:AE116)&gt;=7,AVERAGE(X116:AE116),"")</x:f>
      </x:c>
      <x:c r="BU116" s="40" t="str">
        <x:f>IF(COUNT(AF116:AM116)&gt;=7,AVERAGE(AF116:AM116),"")</x:f>
      </x:c>
      <x:c r="BV116" s="40" t="str">
        <x:f>IF(COUNT(AN116:AV116)&gt;=8,AVERAGE(AN116:AV116),"")</x:f>
      </x:c>
      <x:c r="BW116" s="40" t="str">
        <x:f>IF(COUNT(AW116:BD116)&gt;=7,AVERAGE(AW116:BD116),"")</x:f>
      </x:c>
      <x:c r="BX116" s="40" t="str">
        <x:f>IF(COUNT(BE116:BJ116)&gt;=5,AVERAGE(BE116:BJ116),"")</x:f>
      </x:c>
      <x:c r="BY116" s="40" t="str">
        <x:f>IF(COUNT(BK116:BR116)&gt;=7,AVERAGE(BK116:BR116),"")</x:f>
      </x:c>
    </x:row>
    <x:row r="117">
      <x:c r="A117" t="str">
        <x:v>R116</x:v>
      </x:c>
      <x:c r="BS117" s="40" t="str">
        <x:f>IF(COUNT(N117:W117)&gt;=8,AVERAGE(N117:W117),"")</x:f>
      </x:c>
      <x:c r="BT117" s="40" t="str">
        <x:f>IF(COUNT(X117:AE117)&gt;=7,AVERAGE(X117:AE117),"")</x:f>
      </x:c>
      <x:c r="BU117" s="40" t="str">
        <x:f>IF(COUNT(AF117:AM117)&gt;=7,AVERAGE(AF117:AM117),"")</x:f>
      </x:c>
      <x:c r="BV117" s="40" t="str">
        <x:f>IF(COUNT(AN117:AV117)&gt;=8,AVERAGE(AN117:AV117),"")</x:f>
      </x:c>
      <x:c r="BW117" s="40" t="str">
        <x:f>IF(COUNT(AW117:BD117)&gt;=7,AVERAGE(AW117:BD117),"")</x:f>
      </x:c>
      <x:c r="BX117" s="40" t="str">
        <x:f>IF(COUNT(BE117:BJ117)&gt;=5,AVERAGE(BE117:BJ117),"")</x:f>
      </x:c>
      <x:c r="BY117" s="40" t="str">
        <x:f>IF(COUNT(BK117:BR117)&gt;=7,AVERAGE(BK117:BR117),"")</x:f>
      </x:c>
    </x:row>
    <x:row r="118">
      <x:c r="A118" t="str">
        <x:v>R117</x:v>
      </x:c>
      <x:c r="BS118" s="40" t="str">
        <x:f>IF(COUNT(N118:W118)&gt;=8,AVERAGE(N118:W118),"")</x:f>
      </x:c>
      <x:c r="BT118" s="40" t="str">
        <x:f>IF(COUNT(X118:AE118)&gt;=7,AVERAGE(X118:AE118),"")</x:f>
      </x:c>
      <x:c r="BU118" s="40" t="str">
        <x:f>IF(COUNT(AF118:AM118)&gt;=7,AVERAGE(AF118:AM118),"")</x:f>
      </x:c>
      <x:c r="BV118" s="40" t="str">
        <x:f>IF(COUNT(AN118:AV118)&gt;=8,AVERAGE(AN118:AV118),"")</x:f>
      </x:c>
      <x:c r="BW118" s="40" t="str">
        <x:f>IF(COUNT(AW118:BD118)&gt;=7,AVERAGE(AW118:BD118),"")</x:f>
      </x:c>
      <x:c r="BX118" s="40" t="str">
        <x:f>IF(COUNT(BE118:BJ118)&gt;=5,AVERAGE(BE118:BJ118),"")</x:f>
      </x:c>
      <x:c r="BY118" s="40" t="str">
        <x:f>IF(COUNT(BK118:BR118)&gt;=7,AVERAGE(BK118:BR118),"")</x:f>
      </x:c>
    </x:row>
    <x:row r="119">
      <x:c r="A119" t="str">
        <x:v>R118</x:v>
      </x:c>
      <x:c r="BS119" s="40" t="str">
        <x:f>IF(COUNT(N119:W119)&gt;=8,AVERAGE(N119:W119),"")</x:f>
      </x:c>
      <x:c r="BT119" s="40" t="str">
        <x:f>IF(COUNT(X119:AE119)&gt;=7,AVERAGE(X119:AE119),"")</x:f>
      </x:c>
      <x:c r="BU119" s="40" t="str">
        <x:f>IF(COUNT(AF119:AM119)&gt;=7,AVERAGE(AF119:AM119),"")</x:f>
      </x:c>
      <x:c r="BV119" s="40" t="str">
        <x:f>IF(COUNT(AN119:AV119)&gt;=8,AVERAGE(AN119:AV119),"")</x:f>
      </x:c>
      <x:c r="BW119" s="40" t="str">
        <x:f>IF(COUNT(AW119:BD119)&gt;=7,AVERAGE(AW119:BD119),"")</x:f>
      </x:c>
      <x:c r="BX119" s="40" t="str">
        <x:f>IF(COUNT(BE119:BJ119)&gt;=5,AVERAGE(BE119:BJ119),"")</x:f>
      </x:c>
      <x:c r="BY119" s="40" t="str">
        <x:f>IF(COUNT(BK119:BR119)&gt;=7,AVERAGE(BK119:BR119),"")</x:f>
      </x:c>
    </x:row>
    <x:row r="120">
      <x:c r="A120" t="str">
        <x:v>R119</x:v>
      </x:c>
      <x:c r="BS120" s="40" t="str">
        <x:f>IF(COUNT(N120:W120)&gt;=8,AVERAGE(N120:W120),"")</x:f>
      </x:c>
      <x:c r="BT120" s="40" t="str">
        <x:f>IF(COUNT(X120:AE120)&gt;=7,AVERAGE(X120:AE120),"")</x:f>
      </x:c>
      <x:c r="BU120" s="40" t="str">
        <x:f>IF(COUNT(AF120:AM120)&gt;=7,AVERAGE(AF120:AM120),"")</x:f>
      </x:c>
      <x:c r="BV120" s="40" t="str">
        <x:f>IF(COUNT(AN120:AV120)&gt;=8,AVERAGE(AN120:AV120),"")</x:f>
      </x:c>
      <x:c r="BW120" s="40" t="str">
        <x:f>IF(COUNT(AW120:BD120)&gt;=7,AVERAGE(AW120:BD120),"")</x:f>
      </x:c>
      <x:c r="BX120" s="40" t="str">
        <x:f>IF(COUNT(BE120:BJ120)&gt;=5,AVERAGE(BE120:BJ120),"")</x:f>
      </x:c>
      <x:c r="BY120" s="40" t="str">
        <x:f>IF(COUNT(BK120:BR120)&gt;=7,AVERAGE(BK120:BR120),"")</x:f>
      </x:c>
    </x:row>
    <x:row r="121">
      <x:c r="A121" t="str">
        <x:v>R120</x:v>
      </x:c>
      <x:c r="BS121" s="40" t="str">
        <x:f>IF(COUNT(N121:W121)&gt;=8,AVERAGE(N121:W121),"")</x:f>
      </x:c>
      <x:c r="BT121" s="40" t="str">
        <x:f>IF(COUNT(X121:AE121)&gt;=7,AVERAGE(X121:AE121),"")</x:f>
      </x:c>
      <x:c r="BU121" s="40" t="str">
        <x:f>IF(COUNT(AF121:AM121)&gt;=7,AVERAGE(AF121:AM121),"")</x:f>
      </x:c>
      <x:c r="BV121" s="40" t="str">
        <x:f>IF(COUNT(AN121:AV121)&gt;=8,AVERAGE(AN121:AV121),"")</x:f>
      </x:c>
      <x:c r="BW121" s="40" t="str">
        <x:f>IF(COUNT(AW121:BD121)&gt;=7,AVERAGE(AW121:BD121),"")</x:f>
      </x:c>
      <x:c r="BX121" s="40" t="str">
        <x:f>IF(COUNT(BE121:BJ121)&gt;=5,AVERAGE(BE121:BJ121),"")</x:f>
      </x:c>
      <x:c r="BY121" s="40" t="str">
        <x:f>IF(COUNT(BK121:BR121)&gt;=7,AVERAGE(BK121:BR121),"")</x:f>
      </x:c>
    </x:row>
    <x:row r="122">
      <x:c r="A122" t="str">
        <x:v>R121</x:v>
      </x:c>
      <x:c r="BS122" s="40" t="str">
        <x:f>IF(COUNT(N122:W122)&gt;=8,AVERAGE(N122:W122),"")</x:f>
      </x:c>
      <x:c r="BT122" s="40" t="str">
        <x:f>IF(COUNT(X122:AE122)&gt;=7,AVERAGE(X122:AE122),"")</x:f>
      </x:c>
      <x:c r="BU122" s="40" t="str">
        <x:f>IF(COUNT(AF122:AM122)&gt;=7,AVERAGE(AF122:AM122),"")</x:f>
      </x:c>
      <x:c r="BV122" s="40" t="str">
        <x:f>IF(COUNT(AN122:AV122)&gt;=8,AVERAGE(AN122:AV122),"")</x:f>
      </x:c>
      <x:c r="BW122" s="40" t="str">
        <x:f>IF(COUNT(AW122:BD122)&gt;=7,AVERAGE(AW122:BD122),"")</x:f>
      </x:c>
      <x:c r="BX122" s="40" t="str">
        <x:f>IF(COUNT(BE122:BJ122)&gt;=5,AVERAGE(BE122:BJ122),"")</x:f>
      </x:c>
      <x:c r="BY122" s="40" t="str">
        <x:f>IF(COUNT(BK122:BR122)&gt;=7,AVERAGE(BK122:BR122),"")</x:f>
      </x:c>
    </x:row>
    <x:row r="123">
      <x:c r="A123" t="str">
        <x:v>R122</x:v>
      </x:c>
      <x:c r="BS123" s="40" t="str">
        <x:f>IF(COUNT(N123:W123)&gt;=8,AVERAGE(N123:W123),"")</x:f>
      </x:c>
      <x:c r="BT123" s="40" t="str">
        <x:f>IF(COUNT(X123:AE123)&gt;=7,AVERAGE(X123:AE123),"")</x:f>
      </x:c>
      <x:c r="BU123" s="40" t="str">
        <x:f>IF(COUNT(AF123:AM123)&gt;=7,AVERAGE(AF123:AM123),"")</x:f>
      </x:c>
      <x:c r="BV123" s="40" t="str">
        <x:f>IF(COUNT(AN123:AV123)&gt;=8,AVERAGE(AN123:AV123),"")</x:f>
      </x:c>
      <x:c r="BW123" s="40" t="str">
        <x:f>IF(COUNT(AW123:BD123)&gt;=7,AVERAGE(AW123:BD123),"")</x:f>
      </x:c>
      <x:c r="BX123" s="40" t="str">
        <x:f>IF(COUNT(BE123:BJ123)&gt;=5,AVERAGE(BE123:BJ123),"")</x:f>
      </x:c>
      <x:c r="BY123" s="40" t="str">
        <x:f>IF(COUNT(BK123:BR123)&gt;=7,AVERAGE(BK123:BR123),"")</x:f>
      </x:c>
    </x:row>
    <x:row r="124">
      <x:c r="A124" t="str">
        <x:v>R123</x:v>
      </x:c>
      <x:c r="BS124" s="40" t="str">
        <x:f>IF(COUNT(N124:W124)&gt;=8,AVERAGE(N124:W124),"")</x:f>
      </x:c>
      <x:c r="BT124" s="40" t="str">
        <x:f>IF(COUNT(X124:AE124)&gt;=7,AVERAGE(X124:AE124),"")</x:f>
      </x:c>
      <x:c r="BU124" s="40" t="str">
        <x:f>IF(COUNT(AF124:AM124)&gt;=7,AVERAGE(AF124:AM124),"")</x:f>
      </x:c>
      <x:c r="BV124" s="40" t="str">
        <x:f>IF(COUNT(AN124:AV124)&gt;=8,AVERAGE(AN124:AV124),"")</x:f>
      </x:c>
      <x:c r="BW124" s="40" t="str">
        <x:f>IF(COUNT(AW124:BD124)&gt;=7,AVERAGE(AW124:BD124),"")</x:f>
      </x:c>
      <x:c r="BX124" s="40" t="str">
        <x:f>IF(COUNT(BE124:BJ124)&gt;=5,AVERAGE(BE124:BJ124),"")</x:f>
      </x:c>
      <x:c r="BY124" s="40" t="str">
        <x:f>IF(COUNT(BK124:BR124)&gt;=7,AVERAGE(BK124:BR124),"")</x:f>
      </x:c>
    </x:row>
    <x:row r="125">
      <x:c r="A125" t="str">
        <x:v>R124</x:v>
      </x:c>
      <x:c r="BS125" s="40" t="str">
        <x:f>IF(COUNT(N125:W125)&gt;=8,AVERAGE(N125:W125),"")</x:f>
      </x:c>
      <x:c r="BT125" s="40" t="str">
        <x:f>IF(COUNT(X125:AE125)&gt;=7,AVERAGE(X125:AE125),"")</x:f>
      </x:c>
      <x:c r="BU125" s="40" t="str">
        <x:f>IF(COUNT(AF125:AM125)&gt;=7,AVERAGE(AF125:AM125),"")</x:f>
      </x:c>
      <x:c r="BV125" s="40" t="str">
        <x:f>IF(COUNT(AN125:AV125)&gt;=8,AVERAGE(AN125:AV125),"")</x:f>
      </x:c>
      <x:c r="BW125" s="40" t="str">
        <x:f>IF(COUNT(AW125:BD125)&gt;=7,AVERAGE(AW125:BD125),"")</x:f>
      </x:c>
      <x:c r="BX125" s="40" t="str">
        <x:f>IF(COUNT(BE125:BJ125)&gt;=5,AVERAGE(BE125:BJ125),"")</x:f>
      </x:c>
      <x:c r="BY125" s="40" t="str">
        <x:f>IF(COUNT(BK125:BR125)&gt;=7,AVERAGE(BK125:BR125),"")</x:f>
      </x:c>
    </x:row>
    <x:row r="126">
      <x:c r="A126" t="str">
        <x:v>R125</x:v>
      </x:c>
      <x:c r="BS126" s="40" t="str">
        <x:f>IF(COUNT(N126:W126)&gt;=8,AVERAGE(N126:W126),"")</x:f>
      </x:c>
      <x:c r="BT126" s="40" t="str">
        <x:f>IF(COUNT(X126:AE126)&gt;=7,AVERAGE(X126:AE126),"")</x:f>
      </x:c>
      <x:c r="BU126" s="40" t="str">
        <x:f>IF(COUNT(AF126:AM126)&gt;=7,AVERAGE(AF126:AM126),"")</x:f>
      </x:c>
      <x:c r="BV126" s="40" t="str">
        <x:f>IF(COUNT(AN126:AV126)&gt;=8,AVERAGE(AN126:AV126),"")</x:f>
      </x:c>
      <x:c r="BW126" s="40" t="str">
        <x:f>IF(COUNT(AW126:BD126)&gt;=7,AVERAGE(AW126:BD126),"")</x:f>
      </x:c>
      <x:c r="BX126" s="40" t="str">
        <x:f>IF(COUNT(BE126:BJ126)&gt;=5,AVERAGE(BE126:BJ126),"")</x:f>
      </x:c>
      <x:c r="BY126" s="40" t="str">
        <x:f>IF(COUNT(BK126:BR126)&gt;=7,AVERAGE(BK126:BR126),"")</x:f>
      </x:c>
    </x:row>
    <x:row r="127">
      <x:c r="A127" t="str">
        <x:v>R126</x:v>
      </x:c>
      <x:c r="BS127" s="40" t="str">
        <x:f>IF(COUNT(N127:W127)&gt;=8,AVERAGE(N127:W127),"")</x:f>
      </x:c>
      <x:c r="BT127" s="40" t="str">
        <x:f>IF(COUNT(X127:AE127)&gt;=7,AVERAGE(X127:AE127),"")</x:f>
      </x:c>
      <x:c r="BU127" s="40" t="str">
        <x:f>IF(COUNT(AF127:AM127)&gt;=7,AVERAGE(AF127:AM127),"")</x:f>
      </x:c>
      <x:c r="BV127" s="40" t="str">
        <x:f>IF(COUNT(AN127:AV127)&gt;=8,AVERAGE(AN127:AV127),"")</x:f>
      </x:c>
      <x:c r="BW127" s="40" t="str">
        <x:f>IF(COUNT(AW127:BD127)&gt;=7,AVERAGE(AW127:BD127),"")</x:f>
      </x:c>
      <x:c r="BX127" s="40" t="str">
        <x:f>IF(COUNT(BE127:BJ127)&gt;=5,AVERAGE(BE127:BJ127),"")</x:f>
      </x:c>
      <x:c r="BY127" s="40" t="str">
        <x:f>IF(COUNT(BK127:BR127)&gt;=7,AVERAGE(BK127:BR127),"")</x:f>
      </x:c>
    </x:row>
    <x:row r="128">
      <x:c r="A128" t="str">
        <x:v>R127</x:v>
      </x:c>
      <x:c r="BS128" s="40" t="str">
        <x:f>IF(COUNT(N128:W128)&gt;=8,AVERAGE(N128:W128),"")</x:f>
      </x:c>
      <x:c r="BT128" s="40" t="str">
        <x:f>IF(COUNT(X128:AE128)&gt;=7,AVERAGE(X128:AE128),"")</x:f>
      </x:c>
      <x:c r="BU128" s="40" t="str">
        <x:f>IF(COUNT(AF128:AM128)&gt;=7,AVERAGE(AF128:AM128),"")</x:f>
      </x:c>
      <x:c r="BV128" s="40" t="str">
        <x:f>IF(COUNT(AN128:AV128)&gt;=8,AVERAGE(AN128:AV128),"")</x:f>
      </x:c>
      <x:c r="BW128" s="40" t="str">
        <x:f>IF(COUNT(AW128:BD128)&gt;=7,AVERAGE(AW128:BD128),"")</x:f>
      </x:c>
      <x:c r="BX128" s="40" t="str">
        <x:f>IF(COUNT(BE128:BJ128)&gt;=5,AVERAGE(BE128:BJ128),"")</x:f>
      </x:c>
      <x:c r="BY128" s="40" t="str">
        <x:f>IF(COUNT(BK128:BR128)&gt;=7,AVERAGE(BK128:BR128),"")</x:f>
      </x:c>
    </x:row>
    <x:row r="129">
      <x:c r="A129" t="str">
        <x:v>R128</x:v>
      </x:c>
      <x:c r="BS129" s="40" t="str">
        <x:f>IF(COUNT(N129:W129)&gt;=8,AVERAGE(N129:W129),"")</x:f>
      </x:c>
      <x:c r="BT129" s="40" t="str">
        <x:f>IF(COUNT(X129:AE129)&gt;=7,AVERAGE(X129:AE129),"")</x:f>
      </x:c>
      <x:c r="BU129" s="40" t="str">
        <x:f>IF(COUNT(AF129:AM129)&gt;=7,AVERAGE(AF129:AM129),"")</x:f>
      </x:c>
      <x:c r="BV129" s="40" t="str">
        <x:f>IF(COUNT(AN129:AV129)&gt;=8,AVERAGE(AN129:AV129),"")</x:f>
      </x:c>
      <x:c r="BW129" s="40" t="str">
        <x:f>IF(COUNT(AW129:BD129)&gt;=7,AVERAGE(AW129:BD129),"")</x:f>
      </x:c>
      <x:c r="BX129" s="40" t="str">
        <x:f>IF(COUNT(BE129:BJ129)&gt;=5,AVERAGE(BE129:BJ129),"")</x:f>
      </x:c>
      <x:c r="BY129" s="40" t="str">
        <x:f>IF(COUNT(BK129:BR129)&gt;=7,AVERAGE(BK129:BR129),"")</x:f>
      </x:c>
    </x:row>
    <x:row r="130">
      <x:c r="A130" t="str">
        <x:v>R129</x:v>
      </x:c>
      <x:c r="BS130" s="40" t="str">
        <x:f>IF(COUNT(N130:W130)&gt;=8,AVERAGE(N130:W130),"")</x:f>
      </x:c>
      <x:c r="BT130" s="40" t="str">
        <x:f>IF(COUNT(X130:AE130)&gt;=7,AVERAGE(X130:AE130),"")</x:f>
      </x:c>
      <x:c r="BU130" s="40" t="str">
        <x:f>IF(COUNT(AF130:AM130)&gt;=7,AVERAGE(AF130:AM130),"")</x:f>
      </x:c>
      <x:c r="BV130" s="40" t="str">
        <x:f>IF(COUNT(AN130:AV130)&gt;=8,AVERAGE(AN130:AV130),"")</x:f>
      </x:c>
      <x:c r="BW130" s="40" t="str">
        <x:f>IF(COUNT(AW130:BD130)&gt;=7,AVERAGE(AW130:BD130),"")</x:f>
      </x:c>
      <x:c r="BX130" s="40" t="str">
        <x:f>IF(COUNT(BE130:BJ130)&gt;=5,AVERAGE(BE130:BJ130),"")</x:f>
      </x:c>
      <x:c r="BY130" s="40" t="str">
        <x:f>IF(COUNT(BK130:BR130)&gt;=7,AVERAGE(BK130:BR130),"")</x:f>
      </x:c>
    </x:row>
    <x:row r="131">
      <x:c r="A131" t="str">
        <x:v>R130</x:v>
      </x:c>
      <x:c r="BS131" s="40" t="str">
        <x:f>IF(COUNT(N131:W131)&gt;=8,AVERAGE(N131:W131),"")</x:f>
      </x:c>
      <x:c r="BT131" s="40" t="str">
        <x:f>IF(COUNT(X131:AE131)&gt;=7,AVERAGE(X131:AE131),"")</x:f>
      </x:c>
      <x:c r="BU131" s="40" t="str">
        <x:f>IF(COUNT(AF131:AM131)&gt;=7,AVERAGE(AF131:AM131),"")</x:f>
      </x:c>
      <x:c r="BV131" s="40" t="str">
        <x:f>IF(COUNT(AN131:AV131)&gt;=8,AVERAGE(AN131:AV131),"")</x:f>
      </x:c>
      <x:c r="BW131" s="40" t="str">
        <x:f>IF(COUNT(AW131:BD131)&gt;=7,AVERAGE(AW131:BD131),"")</x:f>
      </x:c>
      <x:c r="BX131" s="40" t="str">
        <x:f>IF(COUNT(BE131:BJ131)&gt;=5,AVERAGE(BE131:BJ131),"")</x:f>
      </x:c>
      <x:c r="BY131" s="40" t="str">
        <x:f>IF(COUNT(BK131:BR131)&gt;=7,AVERAGE(BK131:BR131),"")</x:f>
      </x:c>
    </x:row>
    <x:row r="132">
      <x:c r="A132" t="str">
        <x:v>R131</x:v>
      </x:c>
      <x:c r="BS132" s="40" t="str">
        <x:f>IF(COUNT(N132:W132)&gt;=8,AVERAGE(N132:W132),"")</x:f>
      </x:c>
      <x:c r="BT132" s="40" t="str">
        <x:f>IF(COUNT(X132:AE132)&gt;=7,AVERAGE(X132:AE132),"")</x:f>
      </x:c>
      <x:c r="BU132" s="40" t="str">
        <x:f>IF(COUNT(AF132:AM132)&gt;=7,AVERAGE(AF132:AM132),"")</x:f>
      </x:c>
      <x:c r="BV132" s="40" t="str">
        <x:f>IF(COUNT(AN132:AV132)&gt;=8,AVERAGE(AN132:AV132),"")</x:f>
      </x:c>
      <x:c r="BW132" s="40" t="str">
        <x:f>IF(COUNT(AW132:BD132)&gt;=7,AVERAGE(AW132:BD132),"")</x:f>
      </x:c>
      <x:c r="BX132" s="40" t="str">
        <x:f>IF(COUNT(BE132:BJ132)&gt;=5,AVERAGE(BE132:BJ132),"")</x:f>
      </x:c>
      <x:c r="BY132" s="40" t="str">
        <x:f>IF(COUNT(BK132:BR132)&gt;=7,AVERAGE(BK132:BR132),"")</x:f>
      </x:c>
    </x:row>
    <x:row r="133">
      <x:c r="A133" t="str">
        <x:v>R132</x:v>
      </x:c>
      <x:c r="BS133" s="40" t="str">
        <x:f>IF(COUNT(N133:W133)&gt;=8,AVERAGE(N133:W133),"")</x:f>
      </x:c>
      <x:c r="BT133" s="40" t="str">
        <x:f>IF(COUNT(X133:AE133)&gt;=7,AVERAGE(X133:AE133),"")</x:f>
      </x:c>
      <x:c r="BU133" s="40" t="str">
        <x:f>IF(COUNT(AF133:AM133)&gt;=7,AVERAGE(AF133:AM133),"")</x:f>
      </x:c>
      <x:c r="BV133" s="40" t="str">
        <x:f>IF(COUNT(AN133:AV133)&gt;=8,AVERAGE(AN133:AV133),"")</x:f>
      </x:c>
      <x:c r="BW133" s="40" t="str">
        <x:f>IF(COUNT(AW133:BD133)&gt;=7,AVERAGE(AW133:BD133),"")</x:f>
      </x:c>
      <x:c r="BX133" s="40" t="str">
        <x:f>IF(COUNT(BE133:BJ133)&gt;=5,AVERAGE(BE133:BJ133),"")</x:f>
      </x:c>
      <x:c r="BY133" s="40" t="str">
        <x:f>IF(COUNT(BK133:BR133)&gt;=7,AVERAGE(BK133:BR133),"")</x:f>
      </x:c>
    </x:row>
    <x:row r="134">
      <x:c r="A134" t="str">
        <x:v>R133</x:v>
      </x:c>
      <x:c r="BS134" s="40" t="str">
        <x:f>IF(COUNT(N134:W134)&gt;=8,AVERAGE(N134:W134),"")</x:f>
      </x:c>
      <x:c r="BT134" s="40" t="str">
        <x:f>IF(COUNT(X134:AE134)&gt;=7,AVERAGE(X134:AE134),"")</x:f>
      </x:c>
      <x:c r="BU134" s="40" t="str">
        <x:f>IF(COUNT(AF134:AM134)&gt;=7,AVERAGE(AF134:AM134),"")</x:f>
      </x:c>
      <x:c r="BV134" s="40" t="str">
        <x:f>IF(COUNT(AN134:AV134)&gt;=8,AVERAGE(AN134:AV134),"")</x:f>
      </x:c>
      <x:c r="BW134" s="40" t="str">
        <x:f>IF(COUNT(AW134:BD134)&gt;=7,AVERAGE(AW134:BD134),"")</x:f>
      </x:c>
      <x:c r="BX134" s="40" t="str">
        <x:f>IF(COUNT(BE134:BJ134)&gt;=5,AVERAGE(BE134:BJ134),"")</x:f>
      </x:c>
      <x:c r="BY134" s="40" t="str">
        <x:f>IF(COUNT(BK134:BR134)&gt;=7,AVERAGE(BK134:BR134),"")</x:f>
      </x:c>
    </x:row>
    <x:row r="135">
      <x:c r="A135" t="str">
        <x:v>R134</x:v>
      </x:c>
      <x:c r="BS135" s="40" t="str">
        <x:f>IF(COUNT(N135:W135)&gt;=8,AVERAGE(N135:W135),"")</x:f>
      </x:c>
      <x:c r="BT135" s="40" t="str">
        <x:f>IF(COUNT(X135:AE135)&gt;=7,AVERAGE(X135:AE135),"")</x:f>
      </x:c>
      <x:c r="BU135" s="40" t="str">
        <x:f>IF(COUNT(AF135:AM135)&gt;=7,AVERAGE(AF135:AM135),"")</x:f>
      </x:c>
      <x:c r="BV135" s="40" t="str">
        <x:f>IF(COUNT(AN135:AV135)&gt;=8,AVERAGE(AN135:AV135),"")</x:f>
      </x:c>
      <x:c r="BW135" s="40" t="str">
        <x:f>IF(COUNT(AW135:BD135)&gt;=7,AVERAGE(AW135:BD135),"")</x:f>
      </x:c>
      <x:c r="BX135" s="40" t="str">
        <x:f>IF(COUNT(BE135:BJ135)&gt;=5,AVERAGE(BE135:BJ135),"")</x:f>
      </x:c>
      <x:c r="BY135" s="40" t="str">
        <x:f>IF(COUNT(BK135:BR135)&gt;=7,AVERAGE(BK135:BR135),"")</x:f>
      </x:c>
    </x:row>
    <x:row r="136">
      <x:c r="A136" t="str">
        <x:v>R135</x:v>
      </x:c>
      <x:c r="BS136" s="40" t="str">
        <x:f>IF(COUNT(N136:W136)&gt;=8,AVERAGE(N136:W136),"")</x:f>
      </x:c>
      <x:c r="BT136" s="40" t="str">
        <x:f>IF(COUNT(X136:AE136)&gt;=7,AVERAGE(X136:AE136),"")</x:f>
      </x:c>
      <x:c r="BU136" s="40" t="str">
        <x:f>IF(COUNT(AF136:AM136)&gt;=7,AVERAGE(AF136:AM136),"")</x:f>
      </x:c>
      <x:c r="BV136" s="40" t="str">
        <x:f>IF(COUNT(AN136:AV136)&gt;=8,AVERAGE(AN136:AV136),"")</x:f>
      </x:c>
      <x:c r="BW136" s="40" t="str">
        <x:f>IF(COUNT(AW136:BD136)&gt;=7,AVERAGE(AW136:BD136),"")</x:f>
      </x:c>
      <x:c r="BX136" s="40" t="str">
        <x:f>IF(COUNT(BE136:BJ136)&gt;=5,AVERAGE(BE136:BJ136),"")</x:f>
      </x:c>
      <x:c r="BY136" s="40" t="str">
        <x:f>IF(COUNT(BK136:BR136)&gt;=7,AVERAGE(BK136:BR136),"")</x:f>
      </x:c>
    </x:row>
    <x:row r="137">
      <x:c r="A137" t="str">
        <x:v>R136</x:v>
      </x:c>
      <x:c r="BS137" s="40" t="str">
        <x:f>IF(COUNT(N137:W137)&gt;=8,AVERAGE(N137:W137),"")</x:f>
      </x:c>
      <x:c r="BT137" s="40" t="str">
        <x:f>IF(COUNT(X137:AE137)&gt;=7,AVERAGE(X137:AE137),"")</x:f>
      </x:c>
      <x:c r="BU137" s="40" t="str">
        <x:f>IF(COUNT(AF137:AM137)&gt;=7,AVERAGE(AF137:AM137),"")</x:f>
      </x:c>
      <x:c r="BV137" s="40" t="str">
        <x:f>IF(COUNT(AN137:AV137)&gt;=8,AVERAGE(AN137:AV137),"")</x:f>
      </x:c>
      <x:c r="BW137" s="40" t="str">
        <x:f>IF(COUNT(AW137:BD137)&gt;=7,AVERAGE(AW137:BD137),"")</x:f>
      </x:c>
      <x:c r="BX137" s="40" t="str">
        <x:f>IF(COUNT(BE137:BJ137)&gt;=5,AVERAGE(BE137:BJ137),"")</x:f>
      </x:c>
      <x:c r="BY137" s="40" t="str">
        <x:f>IF(COUNT(BK137:BR137)&gt;=7,AVERAGE(BK137:BR137),"")</x:f>
      </x:c>
    </x:row>
    <x:row r="138">
      <x:c r="A138" t="str">
        <x:v>R137</x:v>
      </x:c>
      <x:c r="BS138" s="40" t="str">
        <x:f>IF(COUNT(N138:W138)&gt;=8,AVERAGE(N138:W138),"")</x:f>
      </x:c>
      <x:c r="BT138" s="40" t="str">
        <x:f>IF(COUNT(X138:AE138)&gt;=7,AVERAGE(X138:AE138),"")</x:f>
      </x:c>
      <x:c r="BU138" s="40" t="str">
        <x:f>IF(COUNT(AF138:AM138)&gt;=7,AVERAGE(AF138:AM138),"")</x:f>
      </x:c>
      <x:c r="BV138" s="40" t="str">
        <x:f>IF(COUNT(AN138:AV138)&gt;=8,AVERAGE(AN138:AV138),"")</x:f>
      </x:c>
      <x:c r="BW138" s="40" t="str">
        <x:f>IF(COUNT(AW138:BD138)&gt;=7,AVERAGE(AW138:BD138),"")</x:f>
      </x:c>
      <x:c r="BX138" s="40" t="str">
        <x:f>IF(COUNT(BE138:BJ138)&gt;=5,AVERAGE(BE138:BJ138),"")</x:f>
      </x:c>
      <x:c r="BY138" s="40" t="str">
        <x:f>IF(COUNT(BK138:BR138)&gt;=7,AVERAGE(BK138:BR138),"")</x:f>
      </x:c>
    </x:row>
    <x:row r="139">
      <x:c r="A139" t="str">
        <x:v>R138</x:v>
      </x:c>
      <x:c r="BS139" s="40" t="str">
        <x:f>IF(COUNT(N139:W139)&gt;=8,AVERAGE(N139:W139),"")</x:f>
      </x:c>
      <x:c r="BT139" s="40" t="str">
        <x:f>IF(COUNT(X139:AE139)&gt;=7,AVERAGE(X139:AE139),"")</x:f>
      </x:c>
      <x:c r="BU139" s="40" t="str">
        <x:f>IF(COUNT(AF139:AM139)&gt;=7,AVERAGE(AF139:AM139),"")</x:f>
      </x:c>
      <x:c r="BV139" s="40" t="str">
        <x:f>IF(COUNT(AN139:AV139)&gt;=8,AVERAGE(AN139:AV139),"")</x:f>
      </x:c>
      <x:c r="BW139" s="40" t="str">
        <x:f>IF(COUNT(AW139:BD139)&gt;=7,AVERAGE(AW139:BD139),"")</x:f>
      </x:c>
      <x:c r="BX139" s="40" t="str">
        <x:f>IF(COUNT(BE139:BJ139)&gt;=5,AVERAGE(BE139:BJ139),"")</x:f>
      </x:c>
      <x:c r="BY139" s="40" t="str">
        <x:f>IF(COUNT(BK139:BR139)&gt;=7,AVERAGE(BK139:BR139),"")</x:f>
      </x:c>
    </x:row>
    <x:row r="140">
      <x:c r="A140" t="str">
        <x:v>R139</x:v>
      </x:c>
      <x:c r="BS140" s="40" t="str">
        <x:f>IF(COUNT(N140:W140)&gt;=8,AVERAGE(N140:W140),"")</x:f>
      </x:c>
      <x:c r="BT140" s="40" t="str">
        <x:f>IF(COUNT(X140:AE140)&gt;=7,AVERAGE(X140:AE140),"")</x:f>
      </x:c>
      <x:c r="BU140" s="40" t="str">
        <x:f>IF(COUNT(AF140:AM140)&gt;=7,AVERAGE(AF140:AM140),"")</x:f>
      </x:c>
      <x:c r="BV140" s="40" t="str">
        <x:f>IF(COUNT(AN140:AV140)&gt;=8,AVERAGE(AN140:AV140),"")</x:f>
      </x:c>
      <x:c r="BW140" s="40" t="str">
        <x:f>IF(COUNT(AW140:BD140)&gt;=7,AVERAGE(AW140:BD140),"")</x:f>
      </x:c>
      <x:c r="BX140" s="40" t="str">
        <x:f>IF(COUNT(BE140:BJ140)&gt;=5,AVERAGE(BE140:BJ140),"")</x:f>
      </x:c>
      <x:c r="BY140" s="40" t="str">
        <x:f>IF(COUNT(BK140:BR140)&gt;=7,AVERAGE(BK140:BR140),"")</x:f>
      </x:c>
    </x:row>
    <x:row r="141">
      <x:c r="A141" t="str">
        <x:v>R140</x:v>
      </x:c>
      <x:c r="BS141" s="40" t="str">
        <x:f>IF(COUNT(N141:W141)&gt;=8,AVERAGE(N141:W141),"")</x:f>
      </x:c>
      <x:c r="BT141" s="40" t="str">
        <x:f>IF(COUNT(X141:AE141)&gt;=7,AVERAGE(X141:AE141),"")</x:f>
      </x:c>
      <x:c r="BU141" s="40" t="str">
        <x:f>IF(COUNT(AF141:AM141)&gt;=7,AVERAGE(AF141:AM141),"")</x:f>
      </x:c>
      <x:c r="BV141" s="40" t="str">
        <x:f>IF(COUNT(AN141:AV141)&gt;=8,AVERAGE(AN141:AV141),"")</x:f>
      </x:c>
      <x:c r="BW141" s="40" t="str">
        <x:f>IF(COUNT(AW141:BD141)&gt;=7,AVERAGE(AW141:BD141),"")</x:f>
      </x:c>
      <x:c r="BX141" s="40" t="str">
        <x:f>IF(COUNT(BE141:BJ141)&gt;=5,AVERAGE(BE141:BJ141),"")</x:f>
      </x:c>
      <x:c r="BY141" s="40" t="str">
        <x:f>IF(COUNT(BK141:BR141)&gt;=7,AVERAGE(BK141:BR141),"")</x:f>
      </x:c>
    </x:row>
    <x:row r="142">
      <x:c r="A142" t="str">
        <x:v>R141</x:v>
      </x:c>
      <x:c r="BS142" s="40" t="str">
        <x:f>IF(COUNT(N142:W142)&gt;=8,AVERAGE(N142:W142),"")</x:f>
      </x:c>
      <x:c r="BT142" s="40" t="str">
        <x:f>IF(COUNT(X142:AE142)&gt;=7,AVERAGE(X142:AE142),"")</x:f>
      </x:c>
      <x:c r="BU142" s="40" t="str">
        <x:f>IF(COUNT(AF142:AM142)&gt;=7,AVERAGE(AF142:AM142),"")</x:f>
      </x:c>
      <x:c r="BV142" s="40" t="str">
        <x:f>IF(COUNT(AN142:AV142)&gt;=8,AVERAGE(AN142:AV142),"")</x:f>
      </x:c>
      <x:c r="BW142" s="40" t="str">
        <x:f>IF(COUNT(AW142:BD142)&gt;=7,AVERAGE(AW142:BD142),"")</x:f>
      </x:c>
      <x:c r="BX142" s="40" t="str">
        <x:f>IF(COUNT(BE142:BJ142)&gt;=5,AVERAGE(BE142:BJ142),"")</x:f>
      </x:c>
      <x:c r="BY142" s="40" t="str">
        <x:f>IF(COUNT(BK142:BR142)&gt;=7,AVERAGE(BK142:BR142),"")</x:f>
      </x:c>
    </x:row>
    <x:row r="143">
      <x:c r="A143" t="str">
        <x:v>R142</x:v>
      </x:c>
      <x:c r="BS143" s="40" t="str">
        <x:f>IF(COUNT(N143:W143)&gt;=8,AVERAGE(N143:W143),"")</x:f>
      </x:c>
      <x:c r="BT143" s="40" t="str">
        <x:f>IF(COUNT(X143:AE143)&gt;=7,AVERAGE(X143:AE143),"")</x:f>
      </x:c>
      <x:c r="BU143" s="40" t="str">
        <x:f>IF(COUNT(AF143:AM143)&gt;=7,AVERAGE(AF143:AM143),"")</x:f>
      </x:c>
      <x:c r="BV143" s="40" t="str">
        <x:f>IF(COUNT(AN143:AV143)&gt;=8,AVERAGE(AN143:AV143),"")</x:f>
      </x:c>
      <x:c r="BW143" s="40" t="str">
        <x:f>IF(COUNT(AW143:BD143)&gt;=7,AVERAGE(AW143:BD143),"")</x:f>
      </x:c>
      <x:c r="BX143" s="40" t="str">
        <x:f>IF(COUNT(BE143:BJ143)&gt;=5,AVERAGE(BE143:BJ143),"")</x:f>
      </x:c>
      <x:c r="BY143" s="40" t="str">
        <x:f>IF(COUNT(BK143:BR143)&gt;=7,AVERAGE(BK143:BR143),"")</x:f>
      </x:c>
    </x:row>
    <x:row r="144">
      <x:c r="A144" t="str">
        <x:v>R143</x:v>
      </x:c>
      <x:c r="BS144" s="40" t="str">
        <x:f>IF(COUNT(N144:W144)&gt;=8,AVERAGE(N144:W144),"")</x:f>
      </x:c>
      <x:c r="BT144" s="40" t="str">
        <x:f>IF(COUNT(X144:AE144)&gt;=7,AVERAGE(X144:AE144),"")</x:f>
      </x:c>
      <x:c r="BU144" s="40" t="str">
        <x:f>IF(COUNT(AF144:AM144)&gt;=7,AVERAGE(AF144:AM144),"")</x:f>
      </x:c>
      <x:c r="BV144" s="40" t="str">
        <x:f>IF(COUNT(AN144:AV144)&gt;=8,AVERAGE(AN144:AV144),"")</x:f>
      </x:c>
      <x:c r="BW144" s="40" t="str">
        <x:f>IF(COUNT(AW144:BD144)&gt;=7,AVERAGE(AW144:BD144),"")</x:f>
      </x:c>
      <x:c r="BX144" s="40" t="str">
        <x:f>IF(COUNT(BE144:BJ144)&gt;=5,AVERAGE(BE144:BJ144),"")</x:f>
      </x:c>
      <x:c r="BY144" s="40" t="str">
        <x:f>IF(COUNT(BK144:BR144)&gt;=7,AVERAGE(BK144:BR144),"")</x:f>
      </x:c>
    </x:row>
    <x:row r="145">
      <x:c r="A145" t="str">
        <x:v>R144</x:v>
      </x:c>
      <x:c r="BS145" s="40" t="str">
        <x:f>IF(COUNT(N145:W145)&gt;=8,AVERAGE(N145:W145),"")</x:f>
      </x:c>
      <x:c r="BT145" s="40" t="str">
        <x:f>IF(COUNT(X145:AE145)&gt;=7,AVERAGE(X145:AE145),"")</x:f>
      </x:c>
      <x:c r="BU145" s="40" t="str">
        <x:f>IF(COUNT(AF145:AM145)&gt;=7,AVERAGE(AF145:AM145),"")</x:f>
      </x:c>
      <x:c r="BV145" s="40" t="str">
        <x:f>IF(COUNT(AN145:AV145)&gt;=8,AVERAGE(AN145:AV145),"")</x:f>
      </x:c>
      <x:c r="BW145" s="40" t="str">
        <x:f>IF(COUNT(AW145:BD145)&gt;=7,AVERAGE(AW145:BD145),"")</x:f>
      </x:c>
      <x:c r="BX145" s="40" t="str">
        <x:f>IF(COUNT(BE145:BJ145)&gt;=5,AVERAGE(BE145:BJ145),"")</x:f>
      </x:c>
      <x:c r="BY145" s="40" t="str">
        <x:f>IF(COUNT(BK145:BR145)&gt;=7,AVERAGE(BK145:BR145),"")</x:f>
      </x:c>
    </x:row>
    <x:row r="146">
      <x:c r="A146" t="str">
        <x:v>R145</x:v>
      </x:c>
      <x:c r="BS146" s="40" t="str">
        <x:f>IF(COUNT(N146:W146)&gt;=8,AVERAGE(N146:W146),"")</x:f>
      </x:c>
      <x:c r="BT146" s="40" t="str">
        <x:f>IF(COUNT(X146:AE146)&gt;=7,AVERAGE(X146:AE146),"")</x:f>
      </x:c>
      <x:c r="BU146" s="40" t="str">
        <x:f>IF(COUNT(AF146:AM146)&gt;=7,AVERAGE(AF146:AM146),"")</x:f>
      </x:c>
      <x:c r="BV146" s="40" t="str">
        <x:f>IF(COUNT(AN146:AV146)&gt;=8,AVERAGE(AN146:AV146),"")</x:f>
      </x:c>
      <x:c r="BW146" s="40" t="str">
        <x:f>IF(COUNT(AW146:BD146)&gt;=7,AVERAGE(AW146:BD146),"")</x:f>
      </x:c>
      <x:c r="BX146" s="40" t="str">
        <x:f>IF(COUNT(BE146:BJ146)&gt;=5,AVERAGE(BE146:BJ146),"")</x:f>
      </x:c>
      <x:c r="BY146" s="40" t="str">
        <x:f>IF(COUNT(BK146:BR146)&gt;=7,AVERAGE(BK146:BR146),"")</x:f>
      </x:c>
    </x:row>
    <x:row r="147">
      <x:c r="A147" t="str">
        <x:v>R146</x:v>
      </x:c>
      <x:c r="BS147" s="40" t="str">
        <x:f>IF(COUNT(N147:W147)&gt;=8,AVERAGE(N147:W147),"")</x:f>
      </x:c>
      <x:c r="BT147" s="40" t="str">
        <x:f>IF(COUNT(X147:AE147)&gt;=7,AVERAGE(X147:AE147),"")</x:f>
      </x:c>
      <x:c r="BU147" s="40" t="str">
        <x:f>IF(COUNT(AF147:AM147)&gt;=7,AVERAGE(AF147:AM147),"")</x:f>
      </x:c>
      <x:c r="BV147" s="40" t="str">
        <x:f>IF(COUNT(AN147:AV147)&gt;=8,AVERAGE(AN147:AV147),"")</x:f>
      </x:c>
      <x:c r="BW147" s="40" t="str">
        <x:f>IF(COUNT(AW147:BD147)&gt;=7,AVERAGE(AW147:BD147),"")</x:f>
      </x:c>
      <x:c r="BX147" s="40" t="str">
        <x:f>IF(COUNT(BE147:BJ147)&gt;=5,AVERAGE(BE147:BJ147),"")</x:f>
      </x:c>
      <x:c r="BY147" s="40" t="str">
        <x:f>IF(COUNT(BK147:BR147)&gt;=7,AVERAGE(BK147:BR147),"")</x:f>
      </x:c>
    </x:row>
    <x:row r="148">
      <x:c r="A148" t="str">
        <x:v>R147</x:v>
      </x:c>
      <x:c r="BS148" s="40" t="str">
        <x:f>IF(COUNT(N148:W148)&gt;=8,AVERAGE(N148:W148),"")</x:f>
      </x:c>
      <x:c r="BT148" s="40" t="str">
        <x:f>IF(COUNT(X148:AE148)&gt;=7,AVERAGE(X148:AE148),"")</x:f>
      </x:c>
      <x:c r="BU148" s="40" t="str">
        <x:f>IF(COUNT(AF148:AM148)&gt;=7,AVERAGE(AF148:AM148),"")</x:f>
      </x:c>
      <x:c r="BV148" s="40" t="str">
        <x:f>IF(COUNT(AN148:AV148)&gt;=8,AVERAGE(AN148:AV148),"")</x:f>
      </x:c>
      <x:c r="BW148" s="40" t="str">
        <x:f>IF(COUNT(AW148:BD148)&gt;=7,AVERAGE(AW148:BD148),"")</x:f>
      </x:c>
      <x:c r="BX148" s="40" t="str">
        <x:f>IF(COUNT(BE148:BJ148)&gt;=5,AVERAGE(BE148:BJ148),"")</x:f>
      </x:c>
      <x:c r="BY148" s="40" t="str">
        <x:f>IF(COUNT(BK148:BR148)&gt;=7,AVERAGE(BK148:BR148),"")</x:f>
      </x:c>
    </x:row>
    <x:row r="149">
      <x:c r="A149" t="str">
        <x:v>R148</x:v>
      </x:c>
      <x:c r="BS149" s="40" t="str">
        <x:f>IF(COUNT(N149:W149)&gt;=8,AVERAGE(N149:W149),"")</x:f>
      </x:c>
      <x:c r="BT149" s="40" t="str">
        <x:f>IF(COUNT(X149:AE149)&gt;=7,AVERAGE(X149:AE149),"")</x:f>
      </x:c>
      <x:c r="BU149" s="40" t="str">
        <x:f>IF(COUNT(AF149:AM149)&gt;=7,AVERAGE(AF149:AM149),"")</x:f>
      </x:c>
      <x:c r="BV149" s="40" t="str">
        <x:f>IF(COUNT(AN149:AV149)&gt;=8,AVERAGE(AN149:AV149),"")</x:f>
      </x:c>
      <x:c r="BW149" s="40" t="str">
        <x:f>IF(COUNT(AW149:BD149)&gt;=7,AVERAGE(AW149:BD149),"")</x:f>
      </x:c>
      <x:c r="BX149" s="40" t="str">
        <x:f>IF(COUNT(BE149:BJ149)&gt;=5,AVERAGE(BE149:BJ149),"")</x:f>
      </x:c>
      <x:c r="BY149" s="40" t="str">
        <x:f>IF(COUNT(BK149:BR149)&gt;=7,AVERAGE(BK149:BR149),"")</x:f>
      </x:c>
    </x:row>
    <x:row r="150">
      <x:c r="A150" t="str">
        <x:v>R149</x:v>
      </x:c>
      <x:c r="BS150" s="40" t="str">
        <x:f>IF(COUNT(N150:W150)&gt;=8,AVERAGE(N150:W150),"")</x:f>
      </x:c>
      <x:c r="BT150" s="40" t="str">
        <x:f>IF(COUNT(X150:AE150)&gt;=7,AVERAGE(X150:AE150),"")</x:f>
      </x:c>
      <x:c r="BU150" s="40" t="str">
        <x:f>IF(COUNT(AF150:AM150)&gt;=7,AVERAGE(AF150:AM150),"")</x:f>
      </x:c>
      <x:c r="BV150" s="40" t="str">
        <x:f>IF(COUNT(AN150:AV150)&gt;=8,AVERAGE(AN150:AV150),"")</x:f>
      </x:c>
      <x:c r="BW150" s="40" t="str">
        <x:f>IF(COUNT(AW150:BD150)&gt;=7,AVERAGE(AW150:BD150),"")</x:f>
      </x:c>
      <x:c r="BX150" s="40" t="str">
        <x:f>IF(COUNT(BE150:BJ150)&gt;=5,AVERAGE(BE150:BJ150),"")</x:f>
      </x:c>
      <x:c r="BY150" s="40" t="str">
        <x:f>IF(COUNT(BK150:BR150)&gt;=7,AVERAGE(BK150:BR150),"")</x:f>
      </x:c>
    </x:row>
    <x:row r="151">
      <x:c r="A151" t="str">
        <x:v>R150</x:v>
      </x:c>
      <x:c r="BS151" s="40" t="str">
        <x:f>IF(COUNT(N151:W151)&gt;=8,AVERAGE(N151:W151),"")</x:f>
      </x:c>
      <x:c r="BT151" s="40" t="str">
        <x:f>IF(COUNT(X151:AE151)&gt;=7,AVERAGE(X151:AE151),"")</x:f>
      </x:c>
      <x:c r="BU151" s="40" t="str">
        <x:f>IF(COUNT(AF151:AM151)&gt;=7,AVERAGE(AF151:AM151),"")</x:f>
      </x:c>
      <x:c r="BV151" s="40" t="str">
        <x:f>IF(COUNT(AN151:AV151)&gt;=8,AVERAGE(AN151:AV151),"")</x:f>
      </x:c>
      <x:c r="BW151" s="40" t="str">
        <x:f>IF(COUNT(AW151:BD151)&gt;=7,AVERAGE(AW151:BD151),"")</x:f>
      </x:c>
      <x:c r="BX151" s="40" t="str">
        <x:f>IF(COUNT(BE151:BJ151)&gt;=5,AVERAGE(BE151:BJ151),"")</x:f>
      </x:c>
      <x:c r="BY151" s="40" t="str">
        <x:f>IF(COUNT(BK151:BR151)&gt;=7,AVERAGE(BK151:BR151),"")</x:f>
      </x:c>
    </x:row>
    <x:row r="152">
      <x:c r="A152" t="str">
        <x:v>R151</x:v>
      </x:c>
      <x:c r="BS152" s="40" t="str">
        <x:f>IF(COUNT(N152:W152)&gt;=8,AVERAGE(N152:W152),"")</x:f>
      </x:c>
      <x:c r="BT152" s="40" t="str">
        <x:f>IF(COUNT(X152:AE152)&gt;=7,AVERAGE(X152:AE152),"")</x:f>
      </x:c>
      <x:c r="BU152" s="40" t="str">
        <x:f>IF(COUNT(AF152:AM152)&gt;=7,AVERAGE(AF152:AM152),"")</x:f>
      </x:c>
      <x:c r="BV152" s="40" t="str">
        <x:f>IF(COUNT(AN152:AV152)&gt;=8,AVERAGE(AN152:AV152),"")</x:f>
      </x:c>
      <x:c r="BW152" s="40" t="str">
        <x:f>IF(COUNT(AW152:BD152)&gt;=7,AVERAGE(AW152:BD152),"")</x:f>
      </x:c>
      <x:c r="BX152" s="40" t="str">
        <x:f>IF(COUNT(BE152:BJ152)&gt;=5,AVERAGE(BE152:BJ152),"")</x:f>
      </x:c>
      <x:c r="BY152" s="40" t="str">
        <x:f>IF(COUNT(BK152:BR152)&gt;=7,AVERAGE(BK152:BR152),"")</x:f>
      </x:c>
    </x:row>
    <x:row r="153">
      <x:c r="A153" t="str">
        <x:v>R152</x:v>
      </x:c>
      <x:c r="BS153" s="40" t="str">
        <x:f>IF(COUNT(N153:W153)&gt;=8,AVERAGE(N153:W153),"")</x:f>
      </x:c>
      <x:c r="BT153" s="40" t="str">
        <x:f>IF(COUNT(X153:AE153)&gt;=7,AVERAGE(X153:AE153),"")</x:f>
      </x:c>
      <x:c r="BU153" s="40" t="str">
        <x:f>IF(COUNT(AF153:AM153)&gt;=7,AVERAGE(AF153:AM153),"")</x:f>
      </x:c>
      <x:c r="BV153" s="40" t="str">
        <x:f>IF(COUNT(AN153:AV153)&gt;=8,AVERAGE(AN153:AV153),"")</x:f>
      </x:c>
      <x:c r="BW153" s="40" t="str">
        <x:f>IF(COUNT(AW153:BD153)&gt;=7,AVERAGE(AW153:BD153),"")</x:f>
      </x:c>
      <x:c r="BX153" s="40" t="str">
        <x:f>IF(COUNT(BE153:BJ153)&gt;=5,AVERAGE(BE153:BJ153),"")</x:f>
      </x:c>
      <x:c r="BY153" s="40" t="str">
        <x:f>IF(COUNT(BK153:BR153)&gt;=7,AVERAGE(BK153:BR153),"")</x:f>
      </x:c>
    </x:row>
    <x:row r="154">
      <x:c r="A154" t="str">
        <x:v>R153</x:v>
      </x:c>
      <x:c r="BS154" s="40" t="str">
        <x:f>IF(COUNT(N154:W154)&gt;=8,AVERAGE(N154:W154),"")</x:f>
      </x:c>
      <x:c r="BT154" s="40" t="str">
        <x:f>IF(COUNT(X154:AE154)&gt;=7,AVERAGE(X154:AE154),"")</x:f>
      </x:c>
      <x:c r="BU154" s="40" t="str">
        <x:f>IF(COUNT(AF154:AM154)&gt;=7,AVERAGE(AF154:AM154),"")</x:f>
      </x:c>
      <x:c r="BV154" s="40" t="str">
        <x:f>IF(COUNT(AN154:AV154)&gt;=8,AVERAGE(AN154:AV154),"")</x:f>
      </x:c>
      <x:c r="BW154" s="40" t="str">
        <x:f>IF(COUNT(AW154:BD154)&gt;=7,AVERAGE(AW154:BD154),"")</x:f>
      </x:c>
      <x:c r="BX154" s="40" t="str">
        <x:f>IF(COUNT(BE154:BJ154)&gt;=5,AVERAGE(BE154:BJ154),"")</x:f>
      </x:c>
      <x:c r="BY154" s="40" t="str">
        <x:f>IF(COUNT(BK154:BR154)&gt;=7,AVERAGE(BK154:BR154),"")</x:f>
      </x:c>
    </x:row>
    <x:row r="155">
      <x:c r="A155" t="str">
        <x:v>R154</x:v>
      </x:c>
      <x:c r="BS155" s="40" t="str">
        <x:f>IF(COUNT(N155:W155)&gt;=8,AVERAGE(N155:W155),"")</x:f>
      </x:c>
      <x:c r="BT155" s="40" t="str">
        <x:f>IF(COUNT(X155:AE155)&gt;=7,AVERAGE(X155:AE155),"")</x:f>
      </x:c>
      <x:c r="BU155" s="40" t="str">
        <x:f>IF(COUNT(AF155:AM155)&gt;=7,AVERAGE(AF155:AM155),"")</x:f>
      </x:c>
      <x:c r="BV155" s="40" t="str">
        <x:f>IF(COUNT(AN155:AV155)&gt;=8,AVERAGE(AN155:AV155),"")</x:f>
      </x:c>
      <x:c r="BW155" s="40" t="str">
        <x:f>IF(COUNT(AW155:BD155)&gt;=7,AVERAGE(AW155:BD155),"")</x:f>
      </x:c>
      <x:c r="BX155" s="40" t="str">
        <x:f>IF(COUNT(BE155:BJ155)&gt;=5,AVERAGE(BE155:BJ155),"")</x:f>
      </x:c>
      <x:c r="BY155" s="40" t="str">
        <x:f>IF(COUNT(BK155:BR155)&gt;=7,AVERAGE(BK155:BR155),"")</x:f>
      </x:c>
    </x:row>
    <x:row r="156">
      <x:c r="A156" t="str">
        <x:v>R155</x:v>
      </x:c>
      <x:c r="BS156" s="40" t="str">
        <x:f>IF(COUNT(N156:W156)&gt;=8,AVERAGE(N156:W156),"")</x:f>
      </x:c>
      <x:c r="BT156" s="40" t="str">
        <x:f>IF(COUNT(X156:AE156)&gt;=7,AVERAGE(X156:AE156),"")</x:f>
      </x:c>
      <x:c r="BU156" s="40" t="str">
        <x:f>IF(COUNT(AF156:AM156)&gt;=7,AVERAGE(AF156:AM156),"")</x:f>
      </x:c>
      <x:c r="BV156" s="40" t="str">
        <x:f>IF(COUNT(AN156:AV156)&gt;=8,AVERAGE(AN156:AV156),"")</x:f>
      </x:c>
      <x:c r="BW156" s="40" t="str">
        <x:f>IF(COUNT(AW156:BD156)&gt;=7,AVERAGE(AW156:BD156),"")</x:f>
      </x:c>
      <x:c r="BX156" s="40" t="str">
        <x:f>IF(COUNT(BE156:BJ156)&gt;=5,AVERAGE(BE156:BJ156),"")</x:f>
      </x:c>
      <x:c r="BY156" s="40" t="str">
        <x:f>IF(COUNT(BK156:BR156)&gt;=7,AVERAGE(BK156:BR156),"")</x:f>
      </x:c>
    </x:row>
    <x:row r="157">
      <x:c r="A157" t="str">
        <x:v>R156</x:v>
      </x:c>
      <x:c r="BS157" s="40" t="str">
        <x:f>IF(COUNT(N157:W157)&gt;=8,AVERAGE(N157:W157),"")</x:f>
      </x:c>
      <x:c r="BT157" s="40" t="str">
        <x:f>IF(COUNT(X157:AE157)&gt;=7,AVERAGE(X157:AE157),"")</x:f>
      </x:c>
      <x:c r="BU157" s="40" t="str">
        <x:f>IF(COUNT(AF157:AM157)&gt;=7,AVERAGE(AF157:AM157),"")</x:f>
      </x:c>
      <x:c r="BV157" s="40" t="str">
        <x:f>IF(COUNT(AN157:AV157)&gt;=8,AVERAGE(AN157:AV157),"")</x:f>
      </x:c>
      <x:c r="BW157" s="40" t="str">
        <x:f>IF(COUNT(AW157:BD157)&gt;=7,AVERAGE(AW157:BD157),"")</x:f>
      </x:c>
      <x:c r="BX157" s="40" t="str">
        <x:f>IF(COUNT(BE157:BJ157)&gt;=5,AVERAGE(BE157:BJ157),"")</x:f>
      </x:c>
      <x:c r="BY157" s="40" t="str">
        <x:f>IF(COUNT(BK157:BR157)&gt;=7,AVERAGE(BK157:BR157),"")</x:f>
      </x:c>
    </x:row>
    <x:row r="158">
      <x:c r="A158" t="str">
        <x:v>R157</x:v>
      </x:c>
      <x:c r="BS158" s="40" t="str">
        <x:f>IF(COUNT(N158:W158)&gt;=8,AVERAGE(N158:W158),"")</x:f>
      </x:c>
      <x:c r="BT158" s="40" t="str">
        <x:f>IF(COUNT(X158:AE158)&gt;=7,AVERAGE(X158:AE158),"")</x:f>
      </x:c>
      <x:c r="BU158" s="40" t="str">
        <x:f>IF(COUNT(AF158:AM158)&gt;=7,AVERAGE(AF158:AM158),"")</x:f>
      </x:c>
      <x:c r="BV158" s="40" t="str">
        <x:f>IF(COUNT(AN158:AV158)&gt;=8,AVERAGE(AN158:AV158),"")</x:f>
      </x:c>
      <x:c r="BW158" s="40" t="str">
        <x:f>IF(COUNT(AW158:BD158)&gt;=7,AVERAGE(AW158:BD158),"")</x:f>
      </x:c>
      <x:c r="BX158" s="40" t="str">
        <x:f>IF(COUNT(BE158:BJ158)&gt;=5,AVERAGE(BE158:BJ158),"")</x:f>
      </x:c>
      <x:c r="BY158" s="40" t="str">
        <x:f>IF(COUNT(BK158:BR158)&gt;=7,AVERAGE(BK158:BR158),"")</x:f>
      </x:c>
    </x:row>
    <x:row r="159">
      <x:c r="A159" t="str">
        <x:v>R158</x:v>
      </x:c>
      <x:c r="BS159" s="40" t="str">
        <x:f>IF(COUNT(N159:W159)&gt;=8,AVERAGE(N159:W159),"")</x:f>
      </x:c>
      <x:c r="BT159" s="40" t="str">
        <x:f>IF(COUNT(X159:AE159)&gt;=7,AVERAGE(X159:AE159),"")</x:f>
      </x:c>
      <x:c r="BU159" s="40" t="str">
        <x:f>IF(COUNT(AF159:AM159)&gt;=7,AVERAGE(AF159:AM159),"")</x:f>
      </x:c>
      <x:c r="BV159" s="40" t="str">
        <x:f>IF(COUNT(AN159:AV159)&gt;=8,AVERAGE(AN159:AV159),"")</x:f>
      </x:c>
      <x:c r="BW159" s="40" t="str">
        <x:f>IF(COUNT(AW159:BD159)&gt;=7,AVERAGE(AW159:BD159),"")</x:f>
      </x:c>
      <x:c r="BX159" s="40" t="str">
        <x:f>IF(COUNT(BE159:BJ159)&gt;=5,AVERAGE(BE159:BJ159),"")</x:f>
      </x:c>
      <x:c r="BY159" s="40" t="str">
        <x:f>IF(COUNT(BK159:BR159)&gt;=7,AVERAGE(BK159:BR159),"")</x:f>
      </x:c>
    </x:row>
    <x:row r="160">
      <x:c r="A160" t="str">
        <x:v>R159</x:v>
      </x:c>
      <x:c r="BS160" s="40" t="str">
        <x:f>IF(COUNT(N160:W160)&gt;=8,AVERAGE(N160:W160),"")</x:f>
      </x:c>
      <x:c r="BT160" s="40" t="str">
        <x:f>IF(COUNT(X160:AE160)&gt;=7,AVERAGE(X160:AE160),"")</x:f>
      </x:c>
      <x:c r="BU160" s="40" t="str">
        <x:f>IF(COUNT(AF160:AM160)&gt;=7,AVERAGE(AF160:AM160),"")</x:f>
      </x:c>
      <x:c r="BV160" s="40" t="str">
        <x:f>IF(COUNT(AN160:AV160)&gt;=8,AVERAGE(AN160:AV160),"")</x:f>
      </x:c>
      <x:c r="BW160" s="40" t="str">
        <x:f>IF(COUNT(AW160:BD160)&gt;=7,AVERAGE(AW160:BD160),"")</x:f>
      </x:c>
      <x:c r="BX160" s="40" t="str">
        <x:f>IF(COUNT(BE160:BJ160)&gt;=5,AVERAGE(BE160:BJ160),"")</x:f>
      </x:c>
      <x:c r="BY160" s="40" t="str">
        <x:f>IF(COUNT(BK160:BR160)&gt;=7,AVERAGE(BK160:BR160),"")</x:f>
      </x:c>
    </x:row>
    <x:row r="161">
      <x:c r="A161" t="str">
        <x:v>R160</x:v>
      </x:c>
      <x:c r="BS161" s="40" t="str">
        <x:f>IF(COUNT(N161:W161)&gt;=8,AVERAGE(N161:W161),"")</x:f>
      </x:c>
      <x:c r="BT161" s="40" t="str">
        <x:f>IF(COUNT(X161:AE161)&gt;=7,AVERAGE(X161:AE161),"")</x:f>
      </x:c>
      <x:c r="BU161" s="40" t="str">
        <x:f>IF(COUNT(AF161:AM161)&gt;=7,AVERAGE(AF161:AM161),"")</x:f>
      </x:c>
      <x:c r="BV161" s="40" t="str">
        <x:f>IF(COUNT(AN161:AV161)&gt;=8,AVERAGE(AN161:AV161),"")</x:f>
      </x:c>
      <x:c r="BW161" s="40" t="str">
        <x:f>IF(COUNT(AW161:BD161)&gt;=7,AVERAGE(AW161:BD161),"")</x:f>
      </x:c>
      <x:c r="BX161" s="40" t="str">
        <x:f>IF(COUNT(BE161:BJ161)&gt;=5,AVERAGE(BE161:BJ161),"")</x:f>
      </x:c>
      <x:c r="BY161" s="40" t="str">
        <x:f>IF(COUNT(BK161:BR161)&gt;=7,AVERAGE(BK161:BR161),"")</x:f>
      </x:c>
    </x:row>
    <x:row r="162">
      <x:c r="A162" t="str">
        <x:v>R161</x:v>
      </x:c>
      <x:c r="BS162" s="40" t="str">
        <x:f>IF(COUNT(N162:W162)&gt;=8,AVERAGE(N162:W162),"")</x:f>
      </x:c>
      <x:c r="BT162" s="40" t="str">
        <x:f>IF(COUNT(X162:AE162)&gt;=7,AVERAGE(X162:AE162),"")</x:f>
      </x:c>
      <x:c r="BU162" s="40" t="str">
        <x:f>IF(COUNT(AF162:AM162)&gt;=7,AVERAGE(AF162:AM162),"")</x:f>
      </x:c>
      <x:c r="BV162" s="40" t="str">
        <x:f>IF(COUNT(AN162:AV162)&gt;=8,AVERAGE(AN162:AV162),"")</x:f>
      </x:c>
      <x:c r="BW162" s="40" t="str">
        <x:f>IF(COUNT(AW162:BD162)&gt;=7,AVERAGE(AW162:BD162),"")</x:f>
      </x:c>
      <x:c r="BX162" s="40" t="str">
        <x:f>IF(COUNT(BE162:BJ162)&gt;=5,AVERAGE(BE162:BJ162),"")</x:f>
      </x:c>
      <x:c r="BY162" s="40" t="str">
        <x:f>IF(COUNT(BK162:BR162)&gt;=7,AVERAGE(BK162:BR162),"")</x:f>
      </x:c>
    </x:row>
    <x:row r="163">
      <x:c r="A163" t="str">
        <x:v>R162</x:v>
      </x:c>
      <x:c r="BS163" s="40" t="str">
        <x:f>IF(COUNT(N163:W163)&gt;=8,AVERAGE(N163:W163),"")</x:f>
      </x:c>
      <x:c r="BT163" s="40" t="str">
        <x:f>IF(COUNT(X163:AE163)&gt;=7,AVERAGE(X163:AE163),"")</x:f>
      </x:c>
      <x:c r="BU163" s="40" t="str">
        <x:f>IF(COUNT(AF163:AM163)&gt;=7,AVERAGE(AF163:AM163),"")</x:f>
      </x:c>
      <x:c r="BV163" s="40" t="str">
        <x:f>IF(COUNT(AN163:AV163)&gt;=8,AVERAGE(AN163:AV163),"")</x:f>
      </x:c>
      <x:c r="BW163" s="40" t="str">
        <x:f>IF(COUNT(AW163:BD163)&gt;=7,AVERAGE(AW163:BD163),"")</x:f>
      </x:c>
      <x:c r="BX163" s="40" t="str">
        <x:f>IF(COUNT(BE163:BJ163)&gt;=5,AVERAGE(BE163:BJ163),"")</x:f>
      </x:c>
      <x:c r="BY163" s="40" t="str">
        <x:f>IF(COUNT(BK163:BR163)&gt;=7,AVERAGE(BK163:BR163),"")</x:f>
      </x:c>
    </x:row>
    <x:row r="164">
      <x:c r="A164" t="str">
        <x:v>R163</x:v>
      </x:c>
      <x:c r="BS164" s="40" t="str">
        <x:f>IF(COUNT(N164:W164)&gt;=8,AVERAGE(N164:W164),"")</x:f>
      </x:c>
      <x:c r="BT164" s="40" t="str">
        <x:f>IF(COUNT(X164:AE164)&gt;=7,AVERAGE(X164:AE164),"")</x:f>
      </x:c>
      <x:c r="BU164" s="40" t="str">
        <x:f>IF(COUNT(AF164:AM164)&gt;=7,AVERAGE(AF164:AM164),"")</x:f>
      </x:c>
      <x:c r="BV164" s="40" t="str">
        <x:f>IF(COUNT(AN164:AV164)&gt;=8,AVERAGE(AN164:AV164),"")</x:f>
      </x:c>
      <x:c r="BW164" s="40" t="str">
        <x:f>IF(COUNT(AW164:BD164)&gt;=7,AVERAGE(AW164:BD164),"")</x:f>
      </x:c>
      <x:c r="BX164" s="40" t="str">
        <x:f>IF(COUNT(BE164:BJ164)&gt;=5,AVERAGE(BE164:BJ164),"")</x:f>
      </x:c>
      <x:c r="BY164" s="40" t="str">
        <x:f>IF(COUNT(BK164:BR164)&gt;=7,AVERAGE(BK164:BR164),"")</x:f>
      </x:c>
    </x:row>
    <x:row r="165">
      <x:c r="A165" t="str">
        <x:v>R164</x:v>
      </x:c>
      <x:c r="BS165" s="40" t="str">
        <x:f>IF(COUNT(N165:W165)&gt;=8,AVERAGE(N165:W165),"")</x:f>
      </x:c>
      <x:c r="BT165" s="40" t="str">
        <x:f>IF(COUNT(X165:AE165)&gt;=7,AVERAGE(X165:AE165),"")</x:f>
      </x:c>
      <x:c r="BU165" s="40" t="str">
        <x:f>IF(COUNT(AF165:AM165)&gt;=7,AVERAGE(AF165:AM165),"")</x:f>
      </x:c>
      <x:c r="BV165" s="40" t="str">
        <x:f>IF(COUNT(AN165:AV165)&gt;=8,AVERAGE(AN165:AV165),"")</x:f>
      </x:c>
      <x:c r="BW165" s="40" t="str">
        <x:f>IF(COUNT(AW165:BD165)&gt;=7,AVERAGE(AW165:BD165),"")</x:f>
      </x:c>
      <x:c r="BX165" s="40" t="str">
        <x:f>IF(COUNT(BE165:BJ165)&gt;=5,AVERAGE(BE165:BJ165),"")</x:f>
      </x:c>
      <x:c r="BY165" s="40" t="str">
        <x:f>IF(COUNT(BK165:BR165)&gt;=7,AVERAGE(BK165:BR165),"")</x:f>
      </x:c>
    </x:row>
    <x:row r="166">
      <x:c r="A166" t="str">
        <x:v>R165</x:v>
      </x:c>
      <x:c r="BS166" s="40" t="str">
        <x:f>IF(COUNT(N166:W166)&gt;=8,AVERAGE(N166:W166),"")</x:f>
      </x:c>
      <x:c r="BT166" s="40" t="str">
        <x:f>IF(COUNT(X166:AE166)&gt;=7,AVERAGE(X166:AE166),"")</x:f>
      </x:c>
      <x:c r="BU166" s="40" t="str">
        <x:f>IF(COUNT(AF166:AM166)&gt;=7,AVERAGE(AF166:AM166),"")</x:f>
      </x:c>
      <x:c r="BV166" s="40" t="str">
        <x:f>IF(COUNT(AN166:AV166)&gt;=8,AVERAGE(AN166:AV166),"")</x:f>
      </x:c>
      <x:c r="BW166" s="40" t="str">
        <x:f>IF(COUNT(AW166:BD166)&gt;=7,AVERAGE(AW166:BD166),"")</x:f>
      </x:c>
      <x:c r="BX166" s="40" t="str">
        <x:f>IF(COUNT(BE166:BJ166)&gt;=5,AVERAGE(BE166:BJ166),"")</x:f>
      </x:c>
      <x:c r="BY166" s="40" t="str">
        <x:f>IF(COUNT(BK166:BR166)&gt;=7,AVERAGE(BK166:BR166),"")</x:f>
      </x:c>
    </x:row>
    <x:row r="167">
      <x:c r="A167" t="str">
        <x:v>R166</x:v>
      </x:c>
      <x:c r="BS167" s="40" t="str">
        <x:f>IF(COUNT(N167:W167)&gt;=8,AVERAGE(N167:W167),"")</x:f>
      </x:c>
      <x:c r="BT167" s="40" t="str">
        <x:f>IF(COUNT(X167:AE167)&gt;=7,AVERAGE(X167:AE167),"")</x:f>
      </x:c>
      <x:c r="BU167" s="40" t="str">
        <x:f>IF(COUNT(AF167:AM167)&gt;=7,AVERAGE(AF167:AM167),"")</x:f>
      </x:c>
      <x:c r="BV167" s="40" t="str">
        <x:f>IF(COUNT(AN167:AV167)&gt;=8,AVERAGE(AN167:AV167),"")</x:f>
      </x:c>
      <x:c r="BW167" s="40" t="str">
        <x:f>IF(COUNT(AW167:BD167)&gt;=7,AVERAGE(AW167:BD167),"")</x:f>
      </x:c>
      <x:c r="BX167" s="40" t="str">
        <x:f>IF(COUNT(BE167:BJ167)&gt;=5,AVERAGE(BE167:BJ167),"")</x:f>
      </x:c>
      <x:c r="BY167" s="40" t="str">
        <x:f>IF(COUNT(BK167:BR167)&gt;=7,AVERAGE(BK167:BR167),"")</x:f>
      </x:c>
    </x:row>
    <x:row r="168">
      <x:c r="A168" t="str">
        <x:v>R167</x:v>
      </x:c>
      <x:c r="BS168" s="40" t="str">
        <x:f>IF(COUNT(N168:W168)&gt;=8,AVERAGE(N168:W168),"")</x:f>
      </x:c>
      <x:c r="BT168" s="40" t="str">
        <x:f>IF(COUNT(X168:AE168)&gt;=7,AVERAGE(X168:AE168),"")</x:f>
      </x:c>
      <x:c r="BU168" s="40" t="str">
        <x:f>IF(COUNT(AF168:AM168)&gt;=7,AVERAGE(AF168:AM168),"")</x:f>
      </x:c>
      <x:c r="BV168" s="40" t="str">
        <x:f>IF(COUNT(AN168:AV168)&gt;=8,AVERAGE(AN168:AV168),"")</x:f>
      </x:c>
      <x:c r="BW168" s="40" t="str">
        <x:f>IF(COUNT(AW168:BD168)&gt;=7,AVERAGE(AW168:BD168),"")</x:f>
      </x:c>
      <x:c r="BX168" s="40" t="str">
        <x:f>IF(COUNT(BE168:BJ168)&gt;=5,AVERAGE(BE168:BJ168),"")</x:f>
      </x:c>
      <x:c r="BY168" s="40" t="str">
        <x:f>IF(COUNT(BK168:BR168)&gt;=7,AVERAGE(BK168:BR168),"")</x:f>
      </x:c>
    </x:row>
    <x:row r="169">
      <x:c r="A169" t="str">
        <x:v>R168</x:v>
      </x:c>
      <x:c r="BS169" s="40" t="str">
        <x:f>IF(COUNT(N169:W169)&gt;=8,AVERAGE(N169:W169),"")</x:f>
      </x:c>
      <x:c r="BT169" s="40" t="str">
        <x:f>IF(COUNT(X169:AE169)&gt;=7,AVERAGE(X169:AE169),"")</x:f>
      </x:c>
      <x:c r="BU169" s="40" t="str">
        <x:f>IF(COUNT(AF169:AM169)&gt;=7,AVERAGE(AF169:AM169),"")</x:f>
      </x:c>
      <x:c r="BV169" s="40" t="str">
        <x:f>IF(COUNT(AN169:AV169)&gt;=8,AVERAGE(AN169:AV169),"")</x:f>
      </x:c>
      <x:c r="BW169" s="40" t="str">
        <x:f>IF(COUNT(AW169:BD169)&gt;=7,AVERAGE(AW169:BD169),"")</x:f>
      </x:c>
      <x:c r="BX169" s="40" t="str">
        <x:f>IF(COUNT(BE169:BJ169)&gt;=5,AVERAGE(BE169:BJ169),"")</x:f>
      </x:c>
      <x:c r="BY169" s="40" t="str">
        <x:f>IF(COUNT(BK169:BR169)&gt;=7,AVERAGE(BK169:BR169),"")</x:f>
      </x:c>
    </x:row>
    <x:row r="170">
      <x:c r="A170" t="str">
        <x:v>R169</x:v>
      </x:c>
      <x:c r="BS170" s="40" t="str">
        <x:f>IF(COUNT(N170:W170)&gt;=8,AVERAGE(N170:W170),"")</x:f>
      </x:c>
      <x:c r="BT170" s="40" t="str">
        <x:f>IF(COUNT(X170:AE170)&gt;=7,AVERAGE(X170:AE170),"")</x:f>
      </x:c>
      <x:c r="BU170" s="40" t="str">
        <x:f>IF(COUNT(AF170:AM170)&gt;=7,AVERAGE(AF170:AM170),"")</x:f>
      </x:c>
      <x:c r="BV170" s="40" t="str">
        <x:f>IF(COUNT(AN170:AV170)&gt;=8,AVERAGE(AN170:AV170),"")</x:f>
      </x:c>
      <x:c r="BW170" s="40" t="str">
        <x:f>IF(COUNT(AW170:BD170)&gt;=7,AVERAGE(AW170:BD170),"")</x:f>
      </x:c>
      <x:c r="BX170" s="40" t="str">
        <x:f>IF(COUNT(BE170:BJ170)&gt;=5,AVERAGE(BE170:BJ170),"")</x:f>
      </x:c>
      <x:c r="BY170" s="40" t="str">
        <x:f>IF(COUNT(BK170:BR170)&gt;=7,AVERAGE(BK170:BR170),"")</x:f>
      </x:c>
    </x:row>
    <x:row r="171">
      <x:c r="A171" t="str">
        <x:v>R170</x:v>
      </x:c>
      <x:c r="BS171" s="40" t="str">
        <x:f>IF(COUNT(N171:W171)&gt;=8,AVERAGE(N171:W171),"")</x:f>
      </x:c>
      <x:c r="BT171" s="40" t="str">
        <x:f>IF(COUNT(X171:AE171)&gt;=7,AVERAGE(X171:AE171),"")</x:f>
      </x:c>
      <x:c r="BU171" s="40" t="str">
        <x:f>IF(COUNT(AF171:AM171)&gt;=7,AVERAGE(AF171:AM171),"")</x:f>
      </x:c>
      <x:c r="BV171" s="40" t="str">
        <x:f>IF(COUNT(AN171:AV171)&gt;=8,AVERAGE(AN171:AV171),"")</x:f>
      </x:c>
      <x:c r="BW171" s="40" t="str">
        <x:f>IF(COUNT(AW171:BD171)&gt;=7,AVERAGE(AW171:BD171),"")</x:f>
      </x:c>
      <x:c r="BX171" s="40" t="str">
        <x:f>IF(COUNT(BE171:BJ171)&gt;=5,AVERAGE(BE171:BJ171),"")</x:f>
      </x:c>
      <x:c r="BY171" s="40" t="str">
        <x:f>IF(COUNT(BK171:BR171)&gt;=7,AVERAGE(BK171:BR171),"")</x:f>
      </x:c>
    </x:row>
    <x:row r="172">
      <x:c r="A172" t="str">
        <x:v>R171</x:v>
      </x:c>
      <x:c r="BS172" s="40" t="str">
        <x:f>IF(COUNT(N172:W172)&gt;=8,AVERAGE(N172:W172),"")</x:f>
      </x:c>
      <x:c r="BT172" s="40" t="str">
        <x:f>IF(COUNT(X172:AE172)&gt;=7,AVERAGE(X172:AE172),"")</x:f>
      </x:c>
      <x:c r="BU172" s="40" t="str">
        <x:f>IF(COUNT(AF172:AM172)&gt;=7,AVERAGE(AF172:AM172),"")</x:f>
      </x:c>
      <x:c r="BV172" s="40" t="str">
        <x:f>IF(COUNT(AN172:AV172)&gt;=8,AVERAGE(AN172:AV172),"")</x:f>
      </x:c>
      <x:c r="BW172" s="40" t="str">
        <x:f>IF(COUNT(AW172:BD172)&gt;=7,AVERAGE(AW172:BD172),"")</x:f>
      </x:c>
      <x:c r="BX172" s="40" t="str">
        <x:f>IF(COUNT(BE172:BJ172)&gt;=5,AVERAGE(BE172:BJ172),"")</x:f>
      </x:c>
      <x:c r="BY172" s="40" t="str">
        <x:f>IF(COUNT(BK172:BR172)&gt;=7,AVERAGE(BK172:BR172),"")</x:f>
      </x:c>
    </x:row>
    <x:row r="173">
      <x:c r="A173" t="str">
        <x:v>R172</x:v>
      </x:c>
      <x:c r="BS173" s="40" t="str">
        <x:f>IF(COUNT(N173:W173)&gt;=8,AVERAGE(N173:W173),"")</x:f>
      </x:c>
      <x:c r="BT173" s="40" t="str">
        <x:f>IF(COUNT(X173:AE173)&gt;=7,AVERAGE(X173:AE173),"")</x:f>
      </x:c>
      <x:c r="BU173" s="40" t="str">
        <x:f>IF(COUNT(AF173:AM173)&gt;=7,AVERAGE(AF173:AM173),"")</x:f>
      </x:c>
      <x:c r="BV173" s="40" t="str">
        <x:f>IF(COUNT(AN173:AV173)&gt;=8,AVERAGE(AN173:AV173),"")</x:f>
      </x:c>
      <x:c r="BW173" s="40" t="str">
        <x:f>IF(COUNT(AW173:BD173)&gt;=7,AVERAGE(AW173:BD173),"")</x:f>
      </x:c>
      <x:c r="BX173" s="40" t="str">
        <x:f>IF(COUNT(BE173:BJ173)&gt;=5,AVERAGE(BE173:BJ173),"")</x:f>
      </x:c>
      <x:c r="BY173" s="40" t="str">
        <x:f>IF(COUNT(BK173:BR173)&gt;=7,AVERAGE(BK173:BR173),"")</x:f>
      </x:c>
    </x:row>
    <x:row r="174">
      <x:c r="A174" t="str">
        <x:v>R173</x:v>
      </x:c>
      <x:c r="BS174" s="40" t="str">
        <x:f>IF(COUNT(N174:W174)&gt;=8,AVERAGE(N174:W174),"")</x:f>
      </x:c>
      <x:c r="BT174" s="40" t="str">
        <x:f>IF(COUNT(X174:AE174)&gt;=7,AVERAGE(X174:AE174),"")</x:f>
      </x:c>
      <x:c r="BU174" s="40" t="str">
        <x:f>IF(COUNT(AF174:AM174)&gt;=7,AVERAGE(AF174:AM174),"")</x:f>
      </x:c>
      <x:c r="BV174" s="40" t="str">
        <x:f>IF(COUNT(AN174:AV174)&gt;=8,AVERAGE(AN174:AV174),"")</x:f>
      </x:c>
      <x:c r="BW174" s="40" t="str">
        <x:f>IF(COUNT(AW174:BD174)&gt;=7,AVERAGE(AW174:BD174),"")</x:f>
      </x:c>
      <x:c r="BX174" s="40" t="str">
        <x:f>IF(COUNT(BE174:BJ174)&gt;=5,AVERAGE(BE174:BJ174),"")</x:f>
      </x:c>
      <x:c r="BY174" s="40" t="str">
        <x:f>IF(COUNT(BK174:BR174)&gt;=7,AVERAGE(BK174:BR174),"")</x:f>
      </x:c>
    </x:row>
    <x:row r="175">
      <x:c r="A175" t="str">
        <x:v>R174</x:v>
      </x:c>
      <x:c r="BS175" s="40" t="str">
        <x:f>IF(COUNT(N175:W175)&gt;=8,AVERAGE(N175:W175),"")</x:f>
      </x:c>
      <x:c r="BT175" s="40" t="str">
        <x:f>IF(COUNT(X175:AE175)&gt;=7,AVERAGE(X175:AE175),"")</x:f>
      </x:c>
      <x:c r="BU175" s="40" t="str">
        <x:f>IF(COUNT(AF175:AM175)&gt;=7,AVERAGE(AF175:AM175),"")</x:f>
      </x:c>
      <x:c r="BV175" s="40" t="str">
        <x:f>IF(COUNT(AN175:AV175)&gt;=8,AVERAGE(AN175:AV175),"")</x:f>
      </x:c>
      <x:c r="BW175" s="40" t="str">
        <x:f>IF(COUNT(AW175:BD175)&gt;=7,AVERAGE(AW175:BD175),"")</x:f>
      </x:c>
      <x:c r="BX175" s="40" t="str">
        <x:f>IF(COUNT(BE175:BJ175)&gt;=5,AVERAGE(BE175:BJ175),"")</x:f>
      </x:c>
      <x:c r="BY175" s="40" t="str">
        <x:f>IF(COUNT(BK175:BR175)&gt;=7,AVERAGE(BK175:BR175),"")</x:f>
      </x:c>
    </x:row>
    <x:row r="176">
      <x:c r="A176" t="str">
        <x:v>R175</x:v>
      </x:c>
      <x:c r="BS176" s="40" t="str">
        <x:f>IF(COUNT(N176:W176)&gt;=8,AVERAGE(N176:W176),"")</x:f>
      </x:c>
      <x:c r="BT176" s="40" t="str">
        <x:f>IF(COUNT(X176:AE176)&gt;=7,AVERAGE(X176:AE176),"")</x:f>
      </x:c>
      <x:c r="BU176" s="40" t="str">
        <x:f>IF(COUNT(AF176:AM176)&gt;=7,AVERAGE(AF176:AM176),"")</x:f>
      </x:c>
      <x:c r="BV176" s="40" t="str">
        <x:f>IF(COUNT(AN176:AV176)&gt;=8,AVERAGE(AN176:AV176),"")</x:f>
      </x:c>
      <x:c r="BW176" s="40" t="str">
        <x:f>IF(COUNT(AW176:BD176)&gt;=7,AVERAGE(AW176:BD176),"")</x:f>
      </x:c>
      <x:c r="BX176" s="40" t="str">
        <x:f>IF(COUNT(BE176:BJ176)&gt;=5,AVERAGE(BE176:BJ176),"")</x:f>
      </x:c>
      <x:c r="BY176" s="40" t="str">
        <x:f>IF(COUNT(BK176:BR176)&gt;=7,AVERAGE(BK176:BR176),"")</x:f>
      </x:c>
    </x:row>
    <x:row r="177">
      <x:c r="A177" t="str">
        <x:v>R176</x:v>
      </x:c>
      <x:c r="BS177" s="40" t="str">
        <x:f>IF(COUNT(N177:W177)&gt;=8,AVERAGE(N177:W177),"")</x:f>
      </x:c>
      <x:c r="BT177" s="40" t="str">
        <x:f>IF(COUNT(X177:AE177)&gt;=7,AVERAGE(X177:AE177),"")</x:f>
      </x:c>
      <x:c r="BU177" s="40" t="str">
        <x:f>IF(COUNT(AF177:AM177)&gt;=7,AVERAGE(AF177:AM177),"")</x:f>
      </x:c>
      <x:c r="BV177" s="40" t="str">
        <x:f>IF(COUNT(AN177:AV177)&gt;=8,AVERAGE(AN177:AV177),"")</x:f>
      </x:c>
      <x:c r="BW177" s="40" t="str">
        <x:f>IF(COUNT(AW177:BD177)&gt;=7,AVERAGE(AW177:BD177),"")</x:f>
      </x:c>
      <x:c r="BX177" s="40" t="str">
        <x:f>IF(COUNT(BE177:BJ177)&gt;=5,AVERAGE(BE177:BJ177),"")</x:f>
      </x:c>
      <x:c r="BY177" s="40" t="str">
        <x:f>IF(COUNT(BK177:BR177)&gt;=7,AVERAGE(BK177:BR177),"")</x:f>
      </x:c>
    </x:row>
    <x:row r="178">
      <x:c r="A178" t="str">
        <x:v>R177</x:v>
      </x:c>
      <x:c r="BS178" s="40" t="str">
        <x:f>IF(COUNT(N178:W178)&gt;=8,AVERAGE(N178:W178),"")</x:f>
      </x:c>
      <x:c r="BT178" s="40" t="str">
        <x:f>IF(COUNT(X178:AE178)&gt;=7,AVERAGE(X178:AE178),"")</x:f>
      </x:c>
      <x:c r="BU178" s="40" t="str">
        <x:f>IF(COUNT(AF178:AM178)&gt;=7,AVERAGE(AF178:AM178),"")</x:f>
      </x:c>
      <x:c r="BV178" s="40" t="str">
        <x:f>IF(COUNT(AN178:AV178)&gt;=8,AVERAGE(AN178:AV178),"")</x:f>
      </x:c>
      <x:c r="BW178" s="40" t="str">
        <x:f>IF(COUNT(AW178:BD178)&gt;=7,AVERAGE(AW178:BD178),"")</x:f>
      </x:c>
      <x:c r="BX178" s="40" t="str">
        <x:f>IF(COUNT(BE178:BJ178)&gt;=5,AVERAGE(BE178:BJ178),"")</x:f>
      </x:c>
      <x:c r="BY178" s="40" t="str">
        <x:f>IF(COUNT(BK178:BR178)&gt;=7,AVERAGE(BK178:BR178),"")</x:f>
      </x:c>
    </x:row>
    <x:row r="179">
      <x:c r="A179" t="str">
        <x:v>R178</x:v>
      </x:c>
      <x:c r="BS179" s="40" t="str">
        <x:f>IF(COUNT(N179:W179)&gt;=8,AVERAGE(N179:W179),"")</x:f>
      </x:c>
      <x:c r="BT179" s="40" t="str">
        <x:f>IF(COUNT(X179:AE179)&gt;=7,AVERAGE(X179:AE179),"")</x:f>
      </x:c>
      <x:c r="BU179" s="40" t="str">
        <x:f>IF(COUNT(AF179:AM179)&gt;=7,AVERAGE(AF179:AM179),"")</x:f>
      </x:c>
      <x:c r="BV179" s="40" t="str">
        <x:f>IF(COUNT(AN179:AV179)&gt;=8,AVERAGE(AN179:AV179),"")</x:f>
      </x:c>
      <x:c r="BW179" s="40" t="str">
        <x:f>IF(COUNT(AW179:BD179)&gt;=7,AVERAGE(AW179:BD179),"")</x:f>
      </x:c>
      <x:c r="BX179" s="40" t="str">
        <x:f>IF(COUNT(BE179:BJ179)&gt;=5,AVERAGE(BE179:BJ179),"")</x:f>
      </x:c>
      <x:c r="BY179" s="40" t="str">
        <x:f>IF(COUNT(BK179:BR179)&gt;=7,AVERAGE(BK179:BR179),"")</x:f>
      </x:c>
    </x:row>
    <x:row r="180">
      <x:c r="A180" t="str">
        <x:v>R179</x:v>
      </x:c>
      <x:c r="BS180" s="40" t="str">
        <x:f>IF(COUNT(N180:W180)&gt;=8,AVERAGE(N180:W180),"")</x:f>
      </x:c>
      <x:c r="BT180" s="40" t="str">
        <x:f>IF(COUNT(X180:AE180)&gt;=7,AVERAGE(X180:AE180),"")</x:f>
      </x:c>
      <x:c r="BU180" s="40" t="str">
        <x:f>IF(COUNT(AF180:AM180)&gt;=7,AVERAGE(AF180:AM180),"")</x:f>
      </x:c>
      <x:c r="BV180" s="40" t="str">
        <x:f>IF(COUNT(AN180:AV180)&gt;=8,AVERAGE(AN180:AV180),"")</x:f>
      </x:c>
      <x:c r="BW180" s="40" t="str">
        <x:f>IF(COUNT(AW180:BD180)&gt;=7,AVERAGE(AW180:BD180),"")</x:f>
      </x:c>
      <x:c r="BX180" s="40" t="str">
        <x:f>IF(COUNT(BE180:BJ180)&gt;=5,AVERAGE(BE180:BJ180),"")</x:f>
      </x:c>
      <x:c r="BY180" s="40" t="str">
        <x:f>IF(COUNT(BK180:BR180)&gt;=7,AVERAGE(BK180:BR180),"")</x:f>
      </x:c>
    </x:row>
    <x:row r="181">
      <x:c r="A181" t="str">
        <x:v>R180</x:v>
      </x:c>
      <x:c r="BS181" s="40" t="str">
        <x:f>IF(COUNT(N181:W181)&gt;=8,AVERAGE(N181:W181),"")</x:f>
      </x:c>
      <x:c r="BT181" s="40" t="str">
        <x:f>IF(COUNT(X181:AE181)&gt;=7,AVERAGE(X181:AE181),"")</x:f>
      </x:c>
      <x:c r="BU181" s="40" t="str">
        <x:f>IF(COUNT(AF181:AM181)&gt;=7,AVERAGE(AF181:AM181),"")</x:f>
      </x:c>
      <x:c r="BV181" s="40" t="str">
        <x:f>IF(COUNT(AN181:AV181)&gt;=8,AVERAGE(AN181:AV181),"")</x:f>
      </x:c>
      <x:c r="BW181" s="40" t="str">
        <x:f>IF(COUNT(AW181:BD181)&gt;=7,AVERAGE(AW181:BD181),"")</x:f>
      </x:c>
      <x:c r="BX181" s="40" t="str">
        <x:f>IF(COUNT(BE181:BJ181)&gt;=5,AVERAGE(BE181:BJ181),"")</x:f>
      </x:c>
      <x:c r="BY181" s="40" t="str">
        <x:f>IF(COUNT(BK181:BR181)&gt;=7,AVERAGE(BK181:BR181),"")</x:f>
      </x:c>
    </x:row>
    <x:row r="182">
      <x:c r="A182" t="str">
        <x:v>R181</x:v>
      </x:c>
      <x:c r="BS182" s="40" t="str">
        <x:f>IF(COUNT(N182:W182)&gt;=8,AVERAGE(N182:W182),"")</x:f>
      </x:c>
      <x:c r="BT182" s="40" t="str">
        <x:f>IF(COUNT(X182:AE182)&gt;=7,AVERAGE(X182:AE182),"")</x:f>
      </x:c>
      <x:c r="BU182" s="40" t="str">
        <x:f>IF(COUNT(AF182:AM182)&gt;=7,AVERAGE(AF182:AM182),"")</x:f>
      </x:c>
      <x:c r="BV182" s="40" t="str">
        <x:f>IF(COUNT(AN182:AV182)&gt;=8,AVERAGE(AN182:AV182),"")</x:f>
      </x:c>
      <x:c r="BW182" s="40" t="str">
        <x:f>IF(COUNT(AW182:BD182)&gt;=7,AVERAGE(AW182:BD182),"")</x:f>
      </x:c>
      <x:c r="BX182" s="40" t="str">
        <x:f>IF(COUNT(BE182:BJ182)&gt;=5,AVERAGE(BE182:BJ182),"")</x:f>
      </x:c>
      <x:c r="BY182" s="40" t="str">
        <x:f>IF(COUNT(BK182:BR182)&gt;=7,AVERAGE(BK182:BR182),"")</x:f>
      </x:c>
    </x:row>
    <x:row r="183">
      <x:c r="A183" t="str">
        <x:v>R182</x:v>
      </x:c>
      <x:c r="BS183" s="40" t="str">
        <x:f>IF(COUNT(N183:W183)&gt;=8,AVERAGE(N183:W183),"")</x:f>
      </x:c>
      <x:c r="BT183" s="40" t="str">
        <x:f>IF(COUNT(X183:AE183)&gt;=7,AVERAGE(X183:AE183),"")</x:f>
      </x:c>
      <x:c r="BU183" s="40" t="str">
        <x:f>IF(COUNT(AF183:AM183)&gt;=7,AVERAGE(AF183:AM183),"")</x:f>
      </x:c>
      <x:c r="BV183" s="40" t="str">
        <x:f>IF(COUNT(AN183:AV183)&gt;=8,AVERAGE(AN183:AV183),"")</x:f>
      </x:c>
      <x:c r="BW183" s="40" t="str">
        <x:f>IF(COUNT(AW183:BD183)&gt;=7,AVERAGE(AW183:BD183),"")</x:f>
      </x:c>
      <x:c r="BX183" s="40" t="str">
        <x:f>IF(COUNT(BE183:BJ183)&gt;=5,AVERAGE(BE183:BJ183),"")</x:f>
      </x:c>
      <x:c r="BY183" s="40" t="str">
        <x:f>IF(COUNT(BK183:BR183)&gt;=7,AVERAGE(BK183:BR183),"")</x:f>
      </x:c>
    </x:row>
    <x:row r="184">
      <x:c r="A184" t="str">
        <x:v>R183</x:v>
      </x:c>
      <x:c r="BS184" s="40" t="str">
        <x:f>IF(COUNT(N184:W184)&gt;=8,AVERAGE(N184:W184),"")</x:f>
      </x:c>
      <x:c r="BT184" s="40" t="str">
        <x:f>IF(COUNT(X184:AE184)&gt;=7,AVERAGE(X184:AE184),"")</x:f>
      </x:c>
      <x:c r="BU184" s="40" t="str">
        <x:f>IF(COUNT(AF184:AM184)&gt;=7,AVERAGE(AF184:AM184),"")</x:f>
      </x:c>
      <x:c r="BV184" s="40" t="str">
        <x:f>IF(COUNT(AN184:AV184)&gt;=8,AVERAGE(AN184:AV184),"")</x:f>
      </x:c>
      <x:c r="BW184" s="40" t="str">
        <x:f>IF(COUNT(AW184:BD184)&gt;=7,AVERAGE(AW184:BD184),"")</x:f>
      </x:c>
      <x:c r="BX184" s="40" t="str">
        <x:f>IF(COUNT(BE184:BJ184)&gt;=5,AVERAGE(BE184:BJ184),"")</x:f>
      </x:c>
      <x:c r="BY184" s="40" t="str">
        <x:f>IF(COUNT(BK184:BR184)&gt;=7,AVERAGE(BK184:BR184),"")</x:f>
      </x:c>
    </x:row>
    <x:row r="185">
      <x:c r="A185" t="str">
        <x:v>R184</x:v>
      </x:c>
      <x:c r="BS185" s="40" t="str">
        <x:f>IF(COUNT(N185:W185)&gt;=8,AVERAGE(N185:W185),"")</x:f>
      </x:c>
      <x:c r="BT185" s="40" t="str">
        <x:f>IF(COUNT(X185:AE185)&gt;=7,AVERAGE(X185:AE185),"")</x:f>
      </x:c>
      <x:c r="BU185" s="40" t="str">
        <x:f>IF(COUNT(AF185:AM185)&gt;=7,AVERAGE(AF185:AM185),"")</x:f>
      </x:c>
      <x:c r="BV185" s="40" t="str">
        <x:f>IF(COUNT(AN185:AV185)&gt;=8,AVERAGE(AN185:AV185),"")</x:f>
      </x:c>
      <x:c r="BW185" s="40" t="str">
        <x:f>IF(COUNT(AW185:BD185)&gt;=7,AVERAGE(AW185:BD185),"")</x:f>
      </x:c>
      <x:c r="BX185" s="40" t="str">
        <x:f>IF(COUNT(BE185:BJ185)&gt;=5,AVERAGE(BE185:BJ185),"")</x:f>
      </x:c>
      <x:c r="BY185" s="40" t="str">
        <x:f>IF(COUNT(BK185:BR185)&gt;=7,AVERAGE(BK185:BR185),"")</x:f>
      </x:c>
    </x:row>
    <x:row r="186">
      <x:c r="A186" t="str">
        <x:v>R185</x:v>
      </x:c>
      <x:c r="BS186" s="40" t="str">
        <x:f>IF(COUNT(N186:W186)&gt;=8,AVERAGE(N186:W186),"")</x:f>
      </x:c>
      <x:c r="BT186" s="40" t="str">
        <x:f>IF(COUNT(X186:AE186)&gt;=7,AVERAGE(X186:AE186),"")</x:f>
      </x:c>
      <x:c r="BU186" s="40" t="str">
        <x:f>IF(COUNT(AF186:AM186)&gt;=7,AVERAGE(AF186:AM186),"")</x:f>
      </x:c>
      <x:c r="BV186" s="40" t="str">
        <x:f>IF(COUNT(AN186:AV186)&gt;=8,AVERAGE(AN186:AV186),"")</x:f>
      </x:c>
      <x:c r="BW186" s="40" t="str">
        <x:f>IF(COUNT(AW186:BD186)&gt;=7,AVERAGE(AW186:BD186),"")</x:f>
      </x:c>
      <x:c r="BX186" s="40" t="str">
        <x:f>IF(COUNT(BE186:BJ186)&gt;=5,AVERAGE(BE186:BJ186),"")</x:f>
      </x:c>
      <x:c r="BY186" s="40" t="str">
        <x:f>IF(COUNT(BK186:BR186)&gt;=7,AVERAGE(BK186:BR186),"")</x:f>
      </x:c>
    </x:row>
    <x:row r="187">
      <x:c r="A187" t="str">
        <x:v>R186</x:v>
      </x:c>
      <x:c r="BS187" s="40" t="str">
        <x:f>IF(COUNT(N187:W187)&gt;=8,AVERAGE(N187:W187),"")</x:f>
      </x:c>
      <x:c r="BT187" s="40" t="str">
        <x:f>IF(COUNT(X187:AE187)&gt;=7,AVERAGE(X187:AE187),"")</x:f>
      </x:c>
      <x:c r="BU187" s="40" t="str">
        <x:f>IF(COUNT(AF187:AM187)&gt;=7,AVERAGE(AF187:AM187),"")</x:f>
      </x:c>
      <x:c r="BV187" s="40" t="str">
        <x:f>IF(COUNT(AN187:AV187)&gt;=8,AVERAGE(AN187:AV187),"")</x:f>
      </x:c>
      <x:c r="BW187" s="40" t="str">
        <x:f>IF(COUNT(AW187:BD187)&gt;=7,AVERAGE(AW187:BD187),"")</x:f>
      </x:c>
      <x:c r="BX187" s="40" t="str">
        <x:f>IF(COUNT(BE187:BJ187)&gt;=5,AVERAGE(BE187:BJ187),"")</x:f>
      </x:c>
      <x:c r="BY187" s="40" t="str">
        <x:f>IF(COUNT(BK187:BR187)&gt;=7,AVERAGE(BK187:BR187),"")</x:f>
      </x:c>
    </x:row>
    <x:row r="188">
      <x:c r="A188" t="str">
        <x:v>R187</x:v>
      </x:c>
      <x:c r="BS188" s="40" t="str">
        <x:f>IF(COUNT(N188:W188)&gt;=8,AVERAGE(N188:W188),"")</x:f>
      </x:c>
      <x:c r="BT188" s="40" t="str">
        <x:f>IF(COUNT(X188:AE188)&gt;=7,AVERAGE(X188:AE188),"")</x:f>
      </x:c>
      <x:c r="BU188" s="40" t="str">
        <x:f>IF(COUNT(AF188:AM188)&gt;=7,AVERAGE(AF188:AM188),"")</x:f>
      </x:c>
      <x:c r="BV188" s="40" t="str">
        <x:f>IF(COUNT(AN188:AV188)&gt;=8,AVERAGE(AN188:AV188),"")</x:f>
      </x:c>
      <x:c r="BW188" s="40" t="str">
        <x:f>IF(COUNT(AW188:BD188)&gt;=7,AVERAGE(AW188:BD188),"")</x:f>
      </x:c>
      <x:c r="BX188" s="40" t="str">
        <x:f>IF(COUNT(BE188:BJ188)&gt;=5,AVERAGE(BE188:BJ188),"")</x:f>
      </x:c>
      <x:c r="BY188" s="40" t="str">
        <x:f>IF(COUNT(BK188:BR188)&gt;=7,AVERAGE(BK188:BR188),"")</x:f>
      </x:c>
    </x:row>
    <x:row r="189">
      <x:c r="A189" t="str">
        <x:v>R188</x:v>
      </x:c>
      <x:c r="BS189" s="40" t="str">
        <x:f>IF(COUNT(N189:W189)&gt;=8,AVERAGE(N189:W189),"")</x:f>
      </x:c>
      <x:c r="BT189" s="40" t="str">
        <x:f>IF(COUNT(X189:AE189)&gt;=7,AVERAGE(X189:AE189),"")</x:f>
      </x:c>
      <x:c r="BU189" s="40" t="str">
        <x:f>IF(COUNT(AF189:AM189)&gt;=7,AVERAGE(AF189:AM189),"")</x:f>
      </x:c>
      <x:c r="BV189" s="40" t="str">
        <x:f>IF(COUNT(AN189:AV189)&gt;=8,AVERAGE(AN189:AV189),"")</x:f>
      </x:c>
      <x:c r="BW189" s="40" t="str">
        <x:f>IF(COUNT(AW189:BD189)&gt;=7,AVERAGE(AW189:BD189),"")</x:f>
      </x:c>
      <x:c r="BX189" s="40" t="str">
        <x:f>IF(COUNT(BE189:BJ189)&gt;=5,AVERAGE(BE189:BJ189),"")</x:f>
      </x:c>
      <x:c r="BY189" s="40" t="str">
        <x:f>IF(COUNT(BK189:BR189)&gt;=7,AVERAGE(BK189:BR189),"")</x:f>
      </x:c>
    </x:row>
    <x:row r="190">
      <x:c r="A190" t="str">
        <x:v>R189</x:v>
      </x:c>
      <x:c r="BS190" s="40" t="str">
        <x:f>IF(COUNT(N190:W190)&gt;=8,AVERAGE(N190:W190),"")</x:f>
      </x:c>
      <x:c r="BT190" s="40" t="str">
        <x:f>IF(COUNT(X190:AE190)&gt;=7,AVERAGE(X190:AE190),"")</x:f>
      </x:c>
      <x:c r="BU190" s="40" t="str">
        <x:f>IF(COUNT(AF190:AM190)&gt;=7,AVERAGE(AF190:AM190),"")</x:f>
      </x:c>
      <x:c r="BV190" s="40" t="str">
        <x:f>IF(COUNT(AN190:AV190)&gt;=8,AVERAGE(AN190:AV190),"")</x:f>
      </x:c>
      <x:c r="BW190" s="40" t="str">
        <x:f>IF(COUNT(AW190:BD190)&gt;=7,AVERAGE(AW190:BD190),"")</x:f>
      </x:c>
      <x:c r="BX190" s="40" t="str">
        <x:f>IF(COUNT(BE190:BJ190)&gt;=5,AVERAGE(BE190:BJ190),"")</x:f>
      </x:c>
      <x:c r="BY190" s="40" t="str">
        <x:f>IF(COUNT(BK190:BR190)&gt;=7,AVERAGE(BK190:BR190),"")</x:f>
      </x:c>
    </x:row>
    <x:row r="191">
      <x:c r="A191" t="str">
        <x:v>R190</x:v>
      </x:c>
      <x:c r="BS191" s="40" t="str">
        <x:f>IF(COUNT(N191:W191)&gt;=8,AVERAGE(N191:W191),"")</x:f>
      </x:c>
      <x:c r="BT191" s="40" t="str">
        <x:f>IF(COUNT(X191:AE191)&gt;=7,AVERAGE(X191:AE191),"")</x:f>
      </x:c>
      <x:c r="BU191" s="40" t="str">
        <x:f>IF(COUNT(AF191:AM191)&gt;=7,AVERAGE(AF191:AM191),"")</x:f>
      </x:c>
      <x:c r="BV191" s="40" t="str">
        <x:f>IF(COUNT(AN191:AV191)&gt;=8,AVERAGE(AN191:AV191),"")</x:f>
      </x:c>
      <x:c r="BW191" s="40" t="str">
        <x:f>IF(COUNT(AW191:BD191)&gt;=7,AVERAGE(AW191:BD191),"")</x:f>
      </x:c>
      <x:c r="BX191" s="40" t="str">
        <x:f>IF(COUNT(BE191:BJ191)&gt;=5,AVERAGE(BE191:BJ191),"")</x:f>
      </x:c>
      <x:c r="BY191" s="40" t="str">
        <x:f>IF(COUNT(BK191:BR191)&gt;=7,AVERAGE(BK191:BR191),"")</x:f>
      </x:c>
    </x:row>
    <x:row r="192">
      <x:c r="A192" t="str">
        <x:v>R191</x:v>
      </x:c>
      <x:c r="BS192" s="40" t="str">
        <x:f>IF(COUNT(N192:W192)&gt;=8,AVERAGE(N192:W192),"")</x:f>
      </x:c>
      <x:c r="BT192" s="40" t="str">
        <x:f>IF(COUNT(X192:AE192)&gt;=7,AVERAGE(X192:AE192),"")</x:f>
      </x:c>
      <x:c r="BU192" s="40" t="str">
        <x:f>IF(COUNT(AF192:AM192)&gt;=7,AVERAGE(AF192:AM192),"")</x:f>
      </x:c>
      <x:c r="BV192" s="40" t="str">
        <x:f>IF(COUNT(AN192:AV192)&gt;=8,AVERAGE(AN192:AV192),"")</x:f>
      </x:c>
      <x:c r="BW192" s="40" t="str">
        <x:f>IF(COUNT(AW192:BD192)&gt;=7,AVERAGE(AW192:BD192),"")</x:f>
      </x:c>
      <x:c r="BX192" s="40" t="str">
        <x:f>IF(COUNT(BE192:BJ192)&gt;=5,AVERAGE(BE192:BJ192),"")</x:f>
      </x:c>
      <x:c r="BY192" s="40" t="str">
        <x:f>IF(COUNT(BK192:BR192)&gt;=7,AVERAGE(BK192:BR192),"")</x:f>
      </x:c>
    </x:row>
    <x:row r="193">
      <x:c r="A193" t="str">
        <x:v>R192</x:v>
      </x:c>
      <x:c r="BS193" s="40" t="str">
        <x:f>IF(COUNT(N193:W193)&gt;=8,AVERAGE(N193:W193),"")</x:f>
      </x:c>
      <x:c r="BT193" s="40" t="str">
        <x:f>IF(COUNT(X193:AE193)&gt;=7,AVERAGE(X193:AE193),"")</x:f>
      </x:c>
      <x:c r="BU193" s="40" t="str">
        <x:f>IF(COUNT(AF193:AM193)&gt;=7,AVERAGE(AF193:AM193),"")</x:f>
      </x:c>
      <x:c r="BV193" s="40" t="str">
        <x:f>IF(COUNT(AN193:AV193)&gt;=8,AVERAGE(AN193:AV193),"")</x:f>
      </x:c>
      <x:c r="BW193" s="40" t="str">
        <x:f>IF(COUNT(AW193:BD193)&gt;=7,AVERAGE(AW193:BD193),"")</x:f>
      </x:c>
      <x:c r="BX193" s="40" t="str">
        <x:f>IF(COUNT(BE193:BJ193)&gt;=5,AVERAGE(BE193:BJ193),"")</x:f>
      </x:c>
      <x:c r="BY193" s="40" t="str">
        <x:f>IF(COUNT(BK193:BR193)&gt;=7,AVERAGE(BK193:BR193),"")</x:f>
      </x:c>
    </x:row>
    <x:row r="194">
      <x:c r="A194" t="str">
        <x:v>R193</x:v>
      </x:c>
      <x:c r="BS194" s="40" t="str">
        <x:f>IF(COUNT(N194:W194)&gt;=8,AVERAGE(N194:W194),"")</x:f>
      </x:c>
      <x:c r="BT194" s="40" t="str">
        <x:f>IF(COUNT(X194:AE194)&gt;=7,AVERAGE(X194:AE194),"")</x:f>
      </x:c>
      <x:c r="BU194" s="40" t="str">
        <x:f>IF(COUNT(AF194:AM194)&gt;=7,AVERAGE(AF194:AM194),"")</x:f>
      </x:c>
      <x:c r="BV194" s="40" t="str">
        <x:f>IF(COUNT(AN194:AV194)&gt;=8,AVERAGE(AN194:AV194),"")</x:f>
      </x:c>
      <x:c r="BW194" s="40" t="str">
        <x:f>IF(COUNT(AW194:BD194)&gt;=7,AVERAGE(AW194:BD194),"")</x:f>
      </x:c>
      <x:c r="BX194" s="40" t="str">
        <x:f>IF(COUNT(BE194:BJ194)&gt;=5,AVERAGE(BE194:BJ194),"")</x:f>
      </x:c>
      <x:c r="BY194" s="40" t="str">
        <x:f>IF(COUNT(BK194:BR194)&gt;=7,AVERAGE(BK194:BR194),"")</x:f>
      </x:c>
    </x:row>
    <x:row r="195">
      <x:c r="A195" t="str">
        <x:v>R194</x:v>
      </x:c>
      <x:c r="BS195" s="40" t="str">
        <x:f>IF(COUNT(N195:W195)&gt;=8,AVERAGE(N195:W195),"")</x:f>
      </x:c>
      <x:c r="BT195" s="40" t="str">
        <x:f>IF(COUNT(X195:AE195)&gt;=7,AVERAGE(X195:AE195),"")</x:f>
      </x:c>
      <x:c r="BU195" s="40" t="str">
        <x:f>IF(COUNT(AF195:AM195)&gt;=7,AVERAGE(AF195:AM195),"")</x:f>
      </x:c>
      <x:c r="BV195" s="40" t="str">
        <x:f>IF(COUNT(AN195:AV195)&gt;=8,AVERAGE(AN195:AV195),"")</x:f>
      </x:c>
      <x:c r="BW195" s="40" t="str">
        <x:f>IF(COUNT(AW195:BD195)&gt;=7,AVERAGE(AW195:BD195),"")</x:f>
      </x:c>
      <x:c r="BX195" s="40" t="str">
        <x:f>IF(COUNT(BE195:BJ195)&gt;=5,AVERAGE(BE195:BJ195),"")</x:f>
      </x:c>
      <x:c r="BY195" s="40" t="str">
        <x:f>IF(COUNT(BK195:BR195)&gt;=7,AVERAGE(BK195:BR195),"")</x:f>
      </x:c>
    </x:row>
    <x:row r="196">
      <x:c r="A196" t="str">
        <x:v>R195</x:v>
      </x:c>
      <x:c r="BS196" s="40" t="str">
        <x:f>IF(COUNT(N196:W196)&gt;=8,AVERAGE(N196:W196),"")</x:f>
      </x:c>
      <x:c r="BT196" s="40" t="str">
        <x:f>IF(COUNT(X196:AE196)&gt;=7,AVERAGE(X196:AE196),"")</x:f>
      </x:c>
      <x:c r="BU196" s="40" t="str">
        <x:f>IF(COUNT(AF196:AM196)&gt;=7,AVERAGE(AF196:AM196),"")</x:f>
      </x:c>
      <x:c r="BV196" s="40" t="str">
        <x:f>IF(COUNT(AN196:AV196)&gt;=8,AVERAGE(AN196:AV196),"")</x:f>
      </x:c>
      <x:c r="BW196" s="40" t="str">
        <x:f>IF(COUNT(AW196:BD196)&gt;=7,AVERAGE(AW196:BD196),"")</x:f>
      </x:c>
      <x:c r="BX196" s="40" t="str">
        <x:f>IF(COUNT(BE196:BJ196)&gt;=5,AVERAGE(BE196:BJ196),"")</x:f>
      </x:c>
      <x:c r="BY196" s="40" t="str">
        <x:f>IF(COUNT(BK196:BR196)&gt;=7,AVERAGE(BK196:BR196),"")</x:f>
      </x:c>
    </x:row>
    <x:row r="197">
      <x:c r="A197" t="str">
        <x:v>R196</x:v>
      </x:c>
      <x:c r="BS197" s="40" t="str">
        <x:f>IF(COUNT(N197:W197)&gt;=8,AVERAGE(N197:W197),"")</x:f>
      </x:c>
      <x:c r="BT197" s="40" t="str">
        <x:f>IF(COUNT(X197:AE197)&gt;=7,AVERAGE(X197:AE197),"")</x:f>
      </x:c>
      <x:c r="BU197" s="40" t="str">
        <x:f>IF(COUNT(AF197:AM197)&gt;=7,AVERAGE(AF197:AM197),"")</x:f>
      </x:c>
      <x:c r="BV197" s="40" t="str">
        <x:f>IF(COUNT(AN197:AV197)&gt;=8,AVERAGE(AN197:AV197),"")</x:f>
      </x:c>
      <x:c r="BW197" s="40" t="str">
        <x:f>IF(COUNT(AW197:BD197)&gt;=7,AVERAGE(AW197:BD197),"")</x:f>
      </x:c>
      <x:c r="BX197" s="40" t="str">
        <x:f>IF(COUNT(BE197:BJ197)&gt;=5,AVERAGE(BE197:BJ197),"")</x:f>
      </x:c>
      <x:c r="BY197" s="40" t="str">
        <x:f>IF(COUNT(BK197:BR197)&gt;=7,AVERAGE(BK197:BR197),"")</x:f>
      </x:c>
    </x:row>
    <x:row r="198">
      <x:c r="A198" t="str">
        <x:v>R197</x:v>
      </x:c>
      <x:c r="BS198" s="40" t="str">
        <x:f>IF(COUNT(N198:W198)&gt;=8,AVERAGE(N198:W198),"")</x:f>
      </x:c>
      <x:c r="BT198" s="40" t="str">
        <x:f>IF(COUNT(X198:AE198)&gt;=7,AVERAGE(X198:AE198),"")</x:f>
      </x:c>
      <x:c r="BU198" s="40" t="str">
        <x:f>IF(COUNT(AF198:AM198)&gt;=7,AVERAGE(AF198:AM198),"")</x:f>
      </x:c>
      <x:c r="BV198" s="40" t="str">
        <x:f>IF(COUNT(AN198:AV198)&gt;=8,AVERAGE(AN198:AV198),"")</x:f>
      </x:c>
      <x:c r="BW198" s="40" t="str">
        <x:f>IF(COUNT(AW198:BD198)&gt;=7,AVERAGE(AW198:BD198),"")</x:f>
      </x:c>
      <x:c r="BX198" s="40" t="str">
        <x:f>IF(COUNT(BE198:BJ198)&gt;=5,AVERAGE(BE198:BJ198),"")</x:f>
      </x:c>
      <x:c r="BY198" s="40" t="str">
        <x:f>IF(COUNT(BK198:BR198)&gt;=7,AVERAGE(BK198:BR198),"")</x:f>
      </x:c>
    </x:row>
    <x:row r="199">
      <x:c r="A199" t="str">
        <x:v>R198</x:v>
      </x:c>
      <x:c r="BS199" s="40" t="str">
        <x:f>IF(COUNT(N199:W199)&gt;=8,AVERAGE(N199:W199),"")</x:f>
      </x:c>
      <x:c r="BT199" s="40" t="str">
        <x:f>IF(COUNT(X199:AE199)&gt;=7,AVERAGE(X199:AE199),"")</x:f>
      </x:c>
      <x:c r="BU199" s="40" t="str">
        <x:f>IF(COUNT(AF199:AM199)&gt;=7,AVERAGE(AF199:AM199),"")</x:f>
      </x:c>
      <x:c r="BV199" s="40" t="str">
        <x:f>IF(COUNT(AN199:AV199)&gt;=8,AVERAGE(AN199:AV199),"")</x:f>
      </x:c>
      <x:c r="BW199" s="40" t="str">
        <x:f>IF(COUNT(AW199:BD199)&gt;=7,AVERAGE(AW199:BD199),"")</x:f>
      </x:c>
      <x:c r="BX199" s="40" t="str">
        <x:f>IF(COUNT(BE199:BJ199)&gt;=5,AVERAGE(BE199:BJ199),"")</x:f>
      </x:c>
      <x:c r="BY199" s="40" t="str">
        <x:f>IF(COUNT(BK199:BR199)&gt;=7,AVERAGE(BK199:BR199),"")</x:f>
      </x:c>
    </x:row>
    <x:row r="200">
      <x:c r="A200" t="str">
        <x:v>R199</x:v>
      </x:c>
      <x:c r="BS200" s="40" t="str">
        <x:f>IF(COUNT(N200:W200)&gt;=8,AVERAGE(N200:W200),"")</x:f>
      </x:c>
      <x:c r="BT200" s="40" t="str">
        <x:f>IF(COUNT(X200:AE200)&gt;=7,AVERAGE(X200:AE200),"")</x:f>
      </x:c>
      <x:c r="BU200" s="40" t="str">
        <x:f>IF(COUNT(AF200:AM200)&gt;=7,AVERAGE(AF200:AM200),"")</x:f>
      </x:c>
      <x:c r="BV200" s="40" t="str">
        <x:f>IF(COUNT(AN200:AV200)&gt;=8,AVERAGE(AN200:AV200),"")</x:f>
      </x:c>
      <x:c r="BW200" s="40" t="str">
        <x:f>IF(COUNT(AW200:BD200)&gt;=7,AVERAGE(AW200:BD200),"")</x:f>
      </x:c>
      <x:c r="BX200" s="40" t="str">
        <x:f>IF(COUNT(BE200:BJ200)&gt;=5,AVERAGE(BE200:BJ200),"")</x:f>
      </x:c>
      <x:c r="BY200" s="40" t="str">
        <x:f>IF(COUNT(BK200:BR200)&gt;=7,AVERAGE(BK200:BR200),"")</x:f>
      </x:c>
    </x:row>
    <x:row r="201">
      <x:c r="A201" t="str">
        <x:v>R200</x:v>
      </x:c>
      <x:c r="BS201" s="40" t="str">
        <x:f>IF(COUNT(N201:W201)&gt;=8,AVERAGE(N201:W201),"")</x:f>
      </x:c>
      <x:c r="BT201" s="40" t="str">
        <x:f>IF(COUNT(X201:AE201)&gt;=7,AVERAGE(X201:AE201),"")</x:f>
      </x:c>
      <x:c r="BU201" s="40" t="str">
        <x:f>IF(COUNT(AF201:AM201)&gt;=7,AVERAGE(AF201:AM201),"")</x:f>
      </x:c>
      <x:c r="BV201" s="40" t="str">
        <x:f>IF(COUNT(AN201:AV201)&gt;=8,AVERAGE(AN201:AV201),"")</x:f>
      </x:c>
      <x:c r="BW201" s="40" t="str">
        <x:f>IF(COUNT(AW201:BD201)&gt;=7,AVERAGE(AW201:BD201),"")</x:f>
      </x:c>
      <x:c r="BX201" s="40" t="str">
        <x:f>IF(COUNT(BE201:BJ201)&gt;=5,AVERAGE(BE201:BJ201),"")</x:f>
      </x:c>
      <x:c r="BY201" s="40" t="str">
        <x:f>IF(COUNT(BK201:BR201)&gt;=7,AVERAGE(BK201:BR201),"")</x:f>
      </x:c>
    </x:row>
    <x:row r="202">
      <x:c r="A202" t="str">
        <x:v>R201</x:v>
      </x:c>
      <x:c r="BS202" s="40" t="str">
        <x:f>IF(COUNT(N202:W202)&gt;=8,AVERAGE(N202:W202),"")</x:f>
      </x:c>
      <x:c r="BT202" s="40" t="str">
        <x:f>IF(COUNT(X202:AE202)&gt;=7,AVERAGE(X202:AE202),"")</x:f>
      </x:c>
      <x:c r="BU202" s="40" t="str">
        <x:f>IF(COUNT(AF202:AM202)&gt;=7,AVERAGE(AF202:AM202),"")</x:f>
      </x:c>
      <x:c r="BV202" s="40" t="str">
        <x:f>IF(COUNT(AN202:AV202)&gt;=8,AVERAGE(AN202:AV202),"")</x:f>
      </x:c>
      <x:c r="BW202" s="40" t="str">
        <x:f>IF(COUNT(AW202:BD202)&gt;=7,AVERAGE(AW202:BD202),"")</x:f>
      </x:c>
      <x:c r="BX202" s="40" t="str">
        <x:f>IF(COUNT(BE202:BJ202)&gt;=5,AVERAGE(BE202:BJ202),"")</x:f>
      </x:c>
      <x:c r="BY202" s="40" t="str">
        <x:f>IF(COUNT(BK202:BR202)&gt;=7,AVERAGE(BK202:BR202),"")</x:f>
      </x:c>
    </x:row>
    <x:row r="203">
      <x:c r="A203" t="str">
        <x:v>R202</x:v>
      </x:c>
      <x:c r="BS203" s="40" t="str">
        <x:f>IF(COUNT(N203:W203)&gt;=8,AVERAGE(N203:W203),"")</x:f>
      </x:c>
      <x:c r="BT203" s="40" t="str">
        <x:f>IF(COUNT(X203:AE203)&gt;=7,AVERAGE(X203:AE203),"")</x:f>
      </x:c>
      <x:c r="BU203" s="40" t="str">
        <x:f>IF(COUNT(AF203:AM203)&gt;=7,AVERAGE(AF203:AM203),"")</x:f>
      </x:c>
      <x:c r="BV203" s="40" t="str">
        <x:f>IF(COUNT(AN203:AV203)&gt;=8,AVERAGE(AN203:AV203),"")</x:f>
      </x:c>
      <x:c r="BW203" s="40" t="str">
        <x:f>IF(COUNT(AW203:BD203)&gt;=7,AVERAGE(AW203:BD203),"")</x:f>
      </x:c>
      <x:c r="BX203" s="40" t="str">
        <x:f>IF(COUNT(BE203:BJ203)&gt;=5,AVERAGE(BE203:BJ203),"")</x:f>
      </x:c>
      <x:c r="BY203" s="40" t="str">
        <x:f>IF(COUNT(BK203:BR203)&gt;=7,AVERAGE(BK203:BR203),"")</x:f>
      </x:c>
    </x:row>
    <x:row r="204">
      <x:c r="A204" t="str">
        <x:v>R203</x:v>
      </x:c>
      <x:c r="BS204" s="40" t="str">
        <x:f>IF(COUNT(N204:W204)&gt;=8,AVERAGE(N204:W204),"")</x:f>
      </x:c>
      <x:c r="BT204" s="40" t="str">
        <x:f>IF(COUNT(X204:AE204)&gt;=7,AVERAGE(X204:AE204),"")</x:f>
      </x:c>
      <x:c r="BU204" s="40" t="str">
        <x:f>IF(COUNT(AF204:AM204)&gt;=7,AVERAGE(AF204:AM204),"")</x:f>
      </x:c>
      <x:c r="BV204" s="40" t="str">
        <x:f>IF(COUNT(AN204:AV204)&gt;=8,AVERAGE(AN204:AV204),"")</x:f>
      </x:c>
      <x:c r="BW204" s="40" t="str">
        <x:f>IF(COUNT(AW204:BD204)&gt;=7,AVERAGE(AW204:BD204),"")</x:f>
      </x:c>
      <x:c r="BX204" s="40" t="str">
        <x:f>IF(COUNT(BE204:BJ204)&gt;=5,AVERAGE(BE204:BJ204),"")</x:f>
      </x:c>
      <x:c r="BY204" s="40" t="str">
        <x:f>IF(COUNT(BK204:BR204)&gt;=7,AVERAGE(BK204:BR204),"")</x:f>
      </x:c>
    </x:row>
    <x:row r="205">
      <x:c r="A205" t="str">
        <x:v>R204</x:v>
      </x:c>
      <x:c r="BS205" s="40" t="str">
        <x:f>IF(COUNT(N205:W205)&gt;=8,AVERAGE(N205:W205),"")</x:f>
      </x:c>
      <x:c r="BT205" s="40" t="str">
        <x:f>IF(COUNT(X205:AE205)&gt;=7,AVERAGE(X205:AE205),"")</x:f>
      </x:c>
      <x:c r="BU205" s="40" t="str">
        <x:f>IF(COUNT(AF205:AM205)&gt;=7,AVERAGE(AF205:AM205),"")</x:f>
      </x:c>
      <x:c r="BV205" s="40" t="str">
        <x:f>IF(COUNT(AN205:AV205)&gt;=8,AVERAGE(AN205:AV205),"")</x:f>
      </x:c>
      <x:c r="BW205" s="40" t="str">
        <x:f>IF(COUNT(AW205:BD205)&gt;=7,AVERAGE(AW205:BD205),"")</x:f>
      </x:c>
      <x:c r="BX205" s="40" t="str">
        <x:f>IF(COUNT(BE205:BJ205)&gt;=5,AVERAGE(BE205:BJ205),"")</x:f>
      </x:c>
      <x:c r="BY205" s="40" t="str">
        <x:f>IF(COUNT(BK205:BR205)&gt;=7,AVERAGE(BK205:BR205),"")</x:f>
      </x:c>
    </x:row>
    <x:row r="206">
      <x:c r="A206" t="str">
        <x:v>R205</x:v>
      </x:c>
      <x:c r="BS206" s="40" t="str">
        <x:f>IF(COUNT(N206:W206)&gt;=8,AVERAGE(N206:W206),"")</x:f>
      </x:c>
      <x:c r="BT206" s="40" t="str">
        <x:f>IF(COUNT(X206:AE206)&gt;=7,AVERAGE(X206:AE206),"")</x:f>
      </x:c>
      <x:c r="BU206" s="40" t="str">
        <x:f>IF(COUNT(AF206:AM206)&gt;=7,AVERAGE(AF206:AM206),"")</x:f>
      </x:c>
      <x:c r="BV206" s="40" t="str">
        <x:f>IF(COUNT(AN206:AV206)&gt;=8,AVERAGE(AN206:AV206),"")</x:f>
      </x:c>
      <x:c r="BW206" s="40" t="str">
        <x:f>IF(COUNT(AW206:BD206)&gt;=7,AVERAGE(AW206:BD206),"")</x:f>
      </x:c>
      <x:c r="BX206" s="40" t="str">
        <x:f>IF(COUNT(BE206:BJ206)&gt;=5,AVERAGE(BE206:BJ206),"")</x:f>
      </x:c>
      <x:c r="BY206" s="40" t="str">
        <x:f>IF(COUNT(BK206:BR206)&gt;=7,AVERAGE(BK206:BR206),"")</x:f>
      </x:c>
    </x:row>
    <x:row r="207">
      <x:c r="A207" t="str">
        <x:v>R206</x:v>
      </x:c>
      <x:c r="BS207" s="40" t="str">
        <x:f>IF(COUNT(N207:W207)&gt;=8,AVERAGE(N207:W207),"")</x:f>
      </x:c>
      <x:c r="BT207" s="40" t="str">
        <x:f>IF(COUNT(X207:AE207)&gt;=7,AVERAGE(X207:AE207),"")</x:f>
      </x:c>
      <x:c r="BU207" s="40" t="str">
        <x:f>IF(COUNT(AF207:AM207)&gt;=7,AVERAGE(AF207:AM207),"")</x:f>
      </x:c>
      <x:c r="BV207" s="40" t="str">
        <x:f>IF(COUNT(AN207:AV207)&gt;=8,AVERAGE(AN207:AV207),"")</x:f>
      </x:c>
      <x:c r="BW207" s="40" t="str">
        <x:f>IF(COUNT(AW207:BD207)&gt;=7,AVERAGE(AW207:BD207),"")</x:f>
      </x:c>
      <x:c r="BX207" s="40" t="str">
        <x:f>IF(COUNT(BE207:BJ207)&gt;=5,AVERAGE(BE207:BJ207),"")</x:f>
      </x:c>
      <x:c r="BY207" s="40" t="str">
        <x:f>IF(COUNT(BK207:BR207)&gt;=7,AVERAGE(BK207:BR207),"")</x:f>
      </x:c>
    </x:row>
    <x:row r="208">
      <x:c r="A208" t="str">
        <x:v>R207</x:v>
      </x:c>
      <x:c r="BS208" s="40" t="str">
        <x:f>IF(COUNT(N208:W208)&gt;=8,AVERAGE(N208:W208),"")</x:f>
      </x:c>
      <x:c r="BT208" s="40" t="str">
        <x:f>IF(COUNT(X208:AE208)&gt;=7,AVERAGE(X208:AE208),"")</x:f>
      </x:c>
      <x:c r="BU208" s="40" t="str">
        <x:f>IF(COUNT(AF208:AM208)&gt;=7,AVERAGE(AF208:AM208),"")</x:f>
      </x:c>
      <x:c r="BV208" s="40" t="str">
        <x:f>IF(COUNT(AN208:AV208)&gt;=8,AVERAGE(AN208:AV208),"")</x:f>
      </x:c>
      <x:c r="BW208" s="40" t="str">
        <x:f>IF(COUNT(AW208:BD208)&gt;=7,AVERAGE(AW208:BD208),"")</x:f>
      </x:c>
      <x:c r="BX208" s="40" t="str">
        <x:f>IF(COUNT(BE208:BJ208)&gt;=5,AVERAGE(BE208:BJ208),"")</x:f>
      </x:c>
      <x:c r="BY208" s="40" t="str">
        <x:f>IF(COUNT(BK208:BR208)&gt;=7,AVERAGE(BK208:BR208),"")</x:f>
      </x:c>
    </x:row>
    <x:row r="209">
      <x:c r="A209" t="str">
        <x:v>R208</x:v>
      </x:c>
      <x:c r="BS209" s="40" t="str">
        <x:f>IF(COUNT(N209:W209)&gt;=8,AVERAGE(N209:W209),"")</x:f>
      </x:c>
      <x:c r="BT209" s="40" t="str">
        <x:f>IF(COUNT(X209:AE209)&gt;=7,AVERAGE(X209:AE209),"")</x:f>
      </x:c>
      <x:c r="BU209" s="40" t="str">
        <x:f>IF(COUNT(AF209:AM209)&gt;=7,AVERAGE(AF209:AM209),"")</x:f>
      </x:c>
      <x:c r="BV209" s="40" t="str">
        <x:f>IF(COUNT(AN209:AV209)&gt;=8,AVERAGE(AN209:AV209),"")</x:f>
      </x:c>
      <x:c r="BW209" s="40" t="str">
        <x:f>IF(COUNT(AW209:BD209)&gt;=7,AVERAGE(AW209:BD209),"")</x:f>
      </x:c>
      <x:c r="BX209" s="40" t="str">
        <x:f>IF(COUNT(BE209:BJ209)&gt;=5,AVERAGE(BE209:BJ209),"")</x:f>
      </x:c>
      <x:c r="BY209" s="40" t="str">
        <x:f>IF(COUNT(BK209:BR209)&gt;=7,AVERAGE(BK209:BR209),"")</x:f>
      </x:c>
    </x:row>
    <x:row r="210">
      <x:c r="A210" t="str">
        <x:v>R209</x:v>
      </x:c>
      <x:c r="BS210" s="40" t="str">
        <x:f>IF(COUNT(N210:W210)&gt;=8,AVERAGE(N210:W210),"")</x:f>
      </x:c>
      <x:c r="BT210" s="40" t="str">
        <x:f>IF(COUNT(X210:AE210)&gt;=7,AVERAGE(X210:AE210),"")</x:f>
      </x:c>
      <x:c r="BU210" s="40" t="str">
        <x:f>IF(COUNT(AF210:AM210)&gt;=7,AVERAGE(AF210:AM210),"")</x:f>
      </x:c>
      <x:c r="BV210" s="40" t="str">
        <x:f>IF(COUNT(AN210:AV210)&gt;=8,AVERAGE(AN210:AV210),"")</x:f>
      </x:c>
      <x:c r="BW210" s="40" t="str">
        <x:f>IF(COUNT(AW210:BD210)&gt;=7,AVERAGE(AW210:BD210),"")</x:f>
      </x:c>
      <x:c r="BX210" s="40" t="str">
        <x:f>IF(COUNT(BE210:BJ210)&gt;=5,AVERAGE(BE210:BJ210),"")</x:f>
      </x:c>
      <x:c r="BY210" s="40" t="str">
        <x:f>IF(COUNT(BK210:BR210)&gt;=7,AVERAGE(BK210:BR210),"")</x:f>
      </x:c>
    </x:row>
    <x:row r="211">
      <x:c r="A211" t="str">
        <x:v>R210</x:v>
      </x:c>
      <x:c r="BS211" s="40" t="str">
        <x:f>IF(COUNT(N211:W211)&gt;=8,AVERAGE(N211:W211),"")</x:f>
      </x:c>
      <x:c r="BT211" s="40" t="str">
        <x:f>IF(COUNT(X211:AE211)&gt;=7,AVERAGE(X211:AE211),"")</x:f>
      </x:c>
      <x:c r="BU211" s="40" t="str">
        <x:f>IF(COUNT(AF211:AM211)&gt;=7,AVERAGE(AF211:AM211),"")</x:f>
      </x:c>
      <x:c r="BV211" s="40" t="str">
        <x:f>IF(COUNT(AN211:AV211)&gt;=8,AVERAGE(AN211:AV211),"")</x:f>
      </x:c>
      <x:c r="BW211" s="40" t="str">
        <x:f>IF(COUNT(AW211:BD211)&gt;=7,AVERAGE(AW211:BD211),"")</x:f>
      </x:c>
      <x:c r="BX211" s="40" t="str">
        <x:f>IF(COUNT(BE211:BJ211)&gt;=5,AVERAGE(BE211:BJ211),"")</x:f>
      </x:c>
      <x:c r="BY211" s="40" t="str">
        <x:f>IF(COUNT(BK211:BR211)&gt;=7,AVERAGE(BK211:BR211),"")</x:f>
      </x:c>
    </x:row>
    <x:row r="212">
      <x:c r="A212" t="str">
        <x:v>R211</x:v>
      </x:c>
      <x:c r="BS212" s="40" t="str">
        <x:f>IF(COUNT(N212:W212)&gt;=8,AVERAGE(N212:W212),"")</x:f>
      </x:c>
      <x:c r="BT212" s="40" t="str">
        <x:f>IF(COUNT(X212:AE212)&gt;=7,AVERAGE(X212:AE212),"")</x:f>
      </x:c>
      <x:c r="BU212" s="40" t="str">
        <x:f>IF(COUNT(AF212:AM212)&gt;=7,AVERAGE(AF212:AM212),"")</x:f>
      </x:c>
      <x:c r="BV212" s="40" t="str">
        <x:f>IF(COUNT(AN212:AV212)&gt;=8,AVERAGE(AN212:AV212),"")</x:f>
      </x:c>
      <x:c r="BW212" s="40" t="str">
        <x:f>IF(COUNT(AW212:BD212)&gt;=7,AVERAGE(AW212:BD212),"")</x:f>
      </x:c>
      <x:c r="BX212" s="40" t="str">
        <x:f>IF(COUNT(BE212:BJ212)&gt;=5,AVERAGE(BE212:BJ212),"")</x:f>
      </x:c>
      <x:c r="BY212" s="40" t="str">
        <x:f>IF(COUNT(BK212:BR212)&gt;=7,AVERAGE(BK212:BR212),"")</x:f>
      </x:c>
    </x:row>
    <x:row r="213">
      <x:c r="A213" t="str">
        <x:v>R212</x:v>
      </x:c>
      <x:c r="BS213" s="40" t="str">
        <x:f>IF(COUNT(N213:W213)&gt;=8,AVERAGE(N213:W213),"")</x:f>
      </x:c>
      <x:c r="BT213" s="40" t="str">
        <x:f>IF(COUNT(X213:AE213)&gt;=7,AVERAGE(X213:AE213),"")</x:f>
      </x:c>
      <x:c r="BU213" s="40" t="str">
        <x:f>IF(COUNT(AF213:AM213)&gt;=7,AVERAGE(AF213:AM213),"")</x:f>
      </x:c>
      <x:c r="BV213" s="40" t="str">
        <x:f>IF(COUNT(AN213:AV213)&gt;=8,AVERAGE(AN213:AV213),"")</x:f>
      </x:c>
      <x:c r="BW213" s="40" t="str">
        <x:f>IF(COUNT(AW213:BD213)&gt;=7,AVERAGE(AW213:BD213),"")</x:f>
      </x:c>
      <x:c r="BX213" s="40" t="str">
        <x:f>IF(COUNT(BE213:BJ213)&gt;=5,AVERAGE(BE213:BJ213),"")</x:f>
      </x:c>
      <x:c r="BY213" s="40" t="str">
        <x:f>IF(COUNT(BK213:BR213)&gt;=7,AVERAGE(BK213:BR213),"")</x:f>
      </x:c>
    </x:row>
    <x:row r="214">
      <x:c r="A214" t="str">
        <x:v>R213</x:v>
      </x:c>
      <x:c r="BS214" s="40" t="str">
        <x:f>IF(COUNT(N214:W214)&gt;=8,AVERAGE(N214:W214),"")</x:f>
      </x:c>
      <x:c r="BT214" s="40" t="str">
        <x:f>IF(COUNT(X214:AE214)&gt;=7,AVERAGE(X214:AE214),"")</x:f>
      </x:c>
      <x:c r="BU214" s="40" t="str">
        <x:f>IF(COUNT(AF214:AM214)&gt;=7,AVERAGE(AF214:AM214),"")</x:f>
      </x:c>
      <x:c r="BV214" s="40" t="str">
        <x:f>IF(COUNT(AN214:AV214)&gt;=8,AVERAGE(AN214:AV214),"")</x:f>
      </x:c>
      <x:c r="BW214" s="40" t="str">
        <x:f>IF(COUNT(AW214:BD214)&gt;=7,AVERAGE(AW214:BD214),"")</x:f>
      </x:c>
      <x:c r="BX214" s="40" t="str">
        <x:f>IF(COUNT(BE214:BJ214)&gt;=5,AVERAGE(BE214:BJ214),"")</x:f>
      </x:c>
      <x:c r="BY214" s="40" t="str">
        <x:f>IF(COUNT(BK214:BR214)&gt;=7,AVERAGE(BK214:BR214),"")</x:f>
      </x:c>
    </x:row>
    <x:row r="215">
      <x:c r="A215" t="str">
        <x:v>R214</x:v>
      </x:c>
      <x:c r="BS215" s="40" t="str">
        <x:f>IF(COUNT(N215:W215)&gt;=8,AVERAGE(N215:W215),"")</x:f>
      </x:c>
      <x:c r="BT215" s="40" t="str">
        <x:f>IF(COUNT(X215:AE215)&gt;=7,AVERAGE(X215:AE215),"")</x:f>
      </x:c>
      <x:c r="BU215" s="40" t="str">
        <x:f>IF(COUNT(AF215:AM215)&gt;=7,AVERAGE(AF215:AM215),"")</x:f>
      </x:c>
      <x:c r="BV215" s="40" t="str">
        <x:f>IF(COUNT(AN215:AV215)&gt;=8,AVERAGE(AN215:AV215),"")</x:f>
      </x:c>
      <x:c r="BW215" s="40" t="str">
        <x:f>IF(COUNT(AW215:BD215)&gt;=7,AVERAGE(AW215:BD215),"")</x:f>
      </x:c>
      <x:c r="BX215" s="40" t="str">
        <x:f>IF(COUNT(BE215:BJ215)&gt;=5,AVERAGE(BE215:BJ215),"")</x:f>
      </x:c>
      <x:c r="BY215" s="40" t="str">
        <x:f>IF(COUNT(BK215:BR215)&gt;=7,AVERAGE(BK215:BR215),"")</x:f>
      </x:c>
    </x:row>
    <x:row r="216">
      <x:c r="A216" t="str">
        <x:v>R215</x:v>
      </x:c>
      <x:c r="BS216" s="40" t="str">
        <x:f>IF(COUNT(N216:W216)&gt;=8,AVERAGE(N216:W216),"")</x:f>
      </x:c>
      <x:c r="BT216" s="40" t="str">
        <x:f>IF(COUNT(X216:AE216)&gt;=7,AVERAGE(X216:AE216),"")</x:f>
      </x:c>
      <x:c r="BU216" s="40" t="str">
        <x:f>IF(COUNT(AF216:AM216)&gt;=7,AVERAGE(AF216:AM216),"")</x:f>
      </x:c>
      <x:c r="BV216" s="40" t="str">
        <x:f>IF(COUNT(AN216:AV216)&gt;=8,AVERAGE(AN216:AV216),"")</x:f>
      </x:c>
      <x:c r="BW216" s="40" t="str">
        <x:f>IF(COUNT(AW216:BD216)&gt;=7,AVERAGE(AW216:BD216),"")</x:f>
      </x:c>
      <x:c r="BX216" s="40" t="str">
        <x:f>IF(COUNT(BE216:BJ216)&gt;=5,AVERAGE(BE216:BJ216),"")</x:f>
      </x:c>
      <x:c r="BY216" s="40" t="str">
        <x:f>IF(COUNT(BK216:BR216)&gt;=7,AVERAGE(BK216:BR216),"")</x:f>
      </x:c>
    </x:row>
    <x:row r="217">
      <x:c r="A217" t="str">
        <x:v>R216</x:v>
      </x:c>
      <x:c r="BS217" s="40" t="str">
        <x:f>IF(COUNT(N217:W217)&gt;=8,AVERAGE(N217:W217),"")</x:f>
      </x:c>
      <x:c r="BT217" s="40" t="str">
        <x:f>IF(COUNT(X217:AE217)&gt;=7,AVERAGE(X217:AE217),"")</x:f>
      </x:c>
      <x:c r="BU217" s="40" t="str">
        <x:f>IF(COUNT(AF217:AM217)&gt;=7,AVERAGE(AF217:AM217),"")</x:f>
      </x:c>
      <x:c r="BV217" s="40" t="str">
        <x:f>IF(COUNT(AN217:AV217)&gt;=8,AVERAGE(AN217:AV217),"")</x:f>
      </x:c>
      <x:c r="BW217" s="40" t="str">
        <x:f>IF(COUNT(AW217:BD217)&gt;=7,AVERAGE(AW217:BD217),"")</x:f>
      </x:c>
      <x:c r="BX217" s="40" t="str">
        <x:f>IF(COUNT(BE217:BJ217)&gt;=5,AVERAGE(BE217:BJ217),"")</x:f>
      </x:c>
      <x:c r="BY217" s="40" t="str">
        <x:f>IF(COUNT(BK217:BR217)&gt;=7,AVERAGE(BK217:BR217),"")</x:f>
      </x:c>
    </x:row>
    <x:row r="218">
      <x:c r="A218" t="str">
        <x:v>R217</x:v>
      </x:c>
      <x:c r="BS218" s="40" t="str">
        <x:f>IF(COUNT(N218:W218)&gt;=8,AVERAGE(N218:W218),"")</x:f>
      </x:c>
      <x:c r="BT218" s="40" t="str">
        <x:f>IF(COUNT(X218:AE218)&gt;=7,AVERAGE(X218:AE218),"")</x:f>
      </x:c>
      <x:c r="BU218" s="40" t="str">
        <x:f>IF(COUNT(AF218:AM218)&gt;=7,AVERAGE(AF218:AM218),"")</x:f>
      </x:c>
      <x:c r="BV218" s="40" t="str">
        <x:f>IF(COUNT(AN218:AV218)&gt;=8,AVERAGE(AN218:AV218),"")</x:f>
      </x:c>
      <x:c r="BW218" s="40" t="str">
        <x:f>IF(COUNT(AW218:BD218)&gt;=7,AVERAGE(AW218:BD218),"")</x:f>
      </x:c>
      <x:c r="BX218" s="40" t="str">
        <x:f>IF(COUNT(BE218:BJ218)&gt;=5,AVERAGE(BE218:BJ218),"")</x:f>
      </x:c>
      <x:c r="BY218" s="40" t="str">
        <x:f>IF(COUNT(BK218:BR218)&gt;=7,AVERAGE(BK218:BR218),"")</x:f>
      </x:c>
    </x:row>
    <x:row r="219">
      <x:c r="A219" t="str">
        <x:v>R218</x:v>
      </x:c>
      <x:c r="BS219" s="40" t="str">
        <x:f>IF(COUNT(N219:W219)&gt;=8,AVERAGE(N219:W219),"")</x:f>
      </x:c>
      <x:c r="BT219" s="40" t="str">
        <x:f>IF(COUNT(X219:AE219)&gt;=7,AVERAGE(X219:AE219),"")</x:f>
      </x:c>
      <x:c r="BU219" s="40" t="str">
        <x:f>IF(COUNT(AF219:AM219)&gt;=7,AVERAGE(AF219:AM219),"")</x:f>
      </x:c>
      <x:c r="BV219" s="40" t="str">
        <x:f>IF(COUNT(AN219:AV219)&gt;=8,AVERAGE(AN219:AV219),"")</x:f>
      </x:c>
      <x:c r="BW219" s="40" t="str">
        <x:f>IF(COUNT(AW219:BD219)&gt;=7,AVERAGE(AW219:BD219),"")</x:f>
      </x:c>
      <x:c r="BX219" s="40" t="str">
        <x:f>IF(COUNT(BE219:BJ219)&gt;=5,AVERAGE(BE219:BJ219),"")</x:f>
      </x:c>
      <x:c r="BY219" s="40" t="str">
        <x:f>IF(COUNT(BK219:BR219)&gt;=7,AVERAGE(BK219:BR219),"")</x:f>
      </x:c>
    </x:row>
    <x:row r="220">
      <x:c r="A220" t="str">
        <x:v>R219</x:v>
      </x:c>
      <x:c r="BS220" s="40" t="str">
        <x:f>IF(COUNT(N220:W220)&gt;=8,AVERAGE(N220:W220),"")</x:f>
      </x:c>
      <x:c r="BT220" s="40" t="str">
        <x:f>IF(COUNT(X220:AE220)&gt;=7,AVERAGE(X220:AE220),"")</x:f>
      </x:c>
      <x:c r="BU220" s="40" t="str">
        <x:f>IF(COUNT(AF220:AM220)&gt;=7,AVERAGE(AF220:AM220),"")</x:f>
      </x:c>
      <x:c r="BV220" s="40" t="str">
        <x:f>IF(COUNT(AN220:AV220)&gt;=8,AVERAGE(AN220:AV220),"")</x:f>
      </x:c>
      <x:c r="BW220" s="40" t="str">
        <x:f>IF(COUNT(AW220:BD220)&gt;=7,AVERAGE(AW220:BD220),"")</x:f>
      </x:c>
      <x:c r="BX220" s="40" t="str">
        <x:f>IF(COUNT(BE220:BJ220)&gt;=5,AVERAGE(BE220:BJ220),"")</x:f>
      </x:c>
      <x:c r="BY220" s="40" t="str">
        <x:f>IF(COUNT(BK220:BR220)&gt;=7,AVERAGE(BK220:BR220),"")</x:f>
      </x:c>
    </x:row>
    <x:row r="221">
      <x:c r="A221" t="str">
        <x:v>R220</x:v>
      </x:c>
      <x:c r="BS221" s="40" t="str">
        <x:f>IF(COUNT(N221:W221)&gt;=8,AVERAGE(N221:W221),"")</x:f>
      </x:c>
      <x:c r="BT221" s="40" t="str">
        <x:f>IF(COUNT(X221:AE221)&gt;=7,AVERAGE(X221:AE221),"")</x:f>
      </x:c>
      <x:c r="BU221" s="40" t="str">
        <x:f>IF(COUNT(AF221:AM221)&gt;=7,AVERAGE(AF221:AM221),"")</x:f>
      </x:c>
      <x:c r="BV221" s="40" t="str">
        <x:f>IF(COUNT(AN221:AV221)&gt;=8,AVERAGE(AN221:AV221),"")</x:f>
      </x:c>
      <x:c r="BW221" s="40" t="str">
        <x:f>IF(COUNT(AW221:BD221)&gt;=7,AVERAGE(AW221:BD221),"")</x:f>
      </x:c>
      <x:c r="BX221" s="40" t="str">
        <x:f>IF(COUNT(BE221:BJ221)&gt;=5,AVERAGE(BE221:BJ221),"")</x:f>
      </x:c>
      <x:c r="BY221" s="40" t="str">
        <x:f>IF(COUNT(BK221:BR221)&gt;=7,AVERAGE(BK221:BR221),"")</x:f>
      </x:c>
    </x:row>
    <x:row r="222">
      <x:c r="A222" t="str">
        <x:v>R221</x:v>
      </x:c>
      <x:c r="BS222" s="40" t="str">
        <x:f>IF(COUNT(N222:W222)&gt;=8,AVERAGE(N222:W222),"")</x:f>
      </x:c>
      <x:c r="BT222" s="40" t="str">
        <x:f>IF(COUNT(X222:AE222)&gt;=7,AVERAGE(X222:AE222),"")</x:f>
      </x:c>
      <x:c r="BU222" s="40" t="str">
        <x:f>IF(COUNT(AF222:AM222)&gt;=7,AVERAGE(AF222:AM222),"")</x:f>
      </x:c>
      <x:c r="BV222" s="40" t="str">
        <x:f>IF(COUNT(AN222:AV222)&gt;=8,AVERAGE(AN222:AV222),"")</x:f>
      </x:c>
      <x:c r="BW222" s="40" t="str">
        <x:f>IF(COUNT(AW222:BD222)&gt;=7,AVERAGE(AW222:BD222),"")</x:f>
      </x:c>
      <x:c r="BX222" s="40" t="str">
        <x:f>IF(COUNT(BE222:BJ222)&gt;=5,AVERAGE(BE222:BJ222),"")</x:f>
      </x:c>
      <x:c r="BY222" s="40" t="str">
        <x:f>IF(COUNT(BK222:BR222)&gt;=7,AVERAGE(BK222:BR222),"")</x:f>
      </x:c>
    </x:row>
    <x:row r="223">
      <x:c r="A223" t="str">
        <x:v>R222</x:v>
      </x:c>
      <x:c r="BS223" s="40" t="str">
        <x:f>IF(COUNT(N223:W223)&gt;=8,AVERAGE(N223:W223),"")</x:f>
      </x:c>
      <x:c r="BT223" s="40" t="str">
        <x:f>IF(COUNT(X223:AE223)&gt;=7,AVERAGE(X223:AE223),"")</x:f>
      </x:c>
      <x:c r="BU223" s="40" t="str">
        <x:f>IF(COUNT(AF223:AM223)&gt;=7,AVERAGE(AF223:AM223),"")</x:f>
      </x:c>
      <x:c r="BV223" s="40" t="str">
        <x:f>IF(COUNT(AN223:AV223)&gt;=8,AVERAGE(AN223:AV223),"")</x:f>
      </x:c>
      <x:c r="BW223" s="40" t="str">
        <x:f>IF(COUNT(AW223:BD223)&gt;=7,AVERAGE(AW223:BD223),"")</x:f>
      </x:c>
      <x:c r="BX223" s="40" t="str">
        <x:f>IF(COUNT(BE223:BJ223)&gt;=5,AVERAGE(BE223:BJ223),"")</x:f>
      </x:c>
      <x:c r="BY223" s="40" t="str">
        <x:f>IF(COUNT(BK223:BR223)&gt;=7,AVERAGE(BK223:BR223),"")</x:f>
      </x:c>
    </x:row>
    <x:row r="224">
      <x:c r="A224" t="str">
        <x:v>R223</x:v>
      </x:c>
      <x:c r="BS224" s="40" t="str">
        <x:f>IF(COUNT(N224:W224)&gt;=8,AVERAGE(N224:W224),"")</x:f>
      </x:c>
      <x:c r="BT224" s="40" t="str">
        <x:f>IF(COUNT(X224:AE224)&gt;=7,AVERAGE(X224:AE224),"")</x:f>
      </x:c>
      <x:c r="BU224" s="40" t="str">
        <x:f>IF(COUNT(AF224:AM224)&gt;=7,AVERAGE(AF224:AM224),"")</x:f>
      </x:c>
      <x:c r="BV224" s="40" t="str">
        <x:f>IF(COUNT(AN224:AV224)&gt;=8,AVERAGE(AN224:AV224),"")</x:f>
      </x:c>
      <x:c r="BW224" s="40" t="str">
        <x:f>IF(COUNT(AW224:BD224)&gt;=7,AVERAGE(AW224:BD224),"")</x:f>
      </x:c>
      <x:c r="BX224" s="40" t="str">
        <x:f>IF(COUNT(BE224:BJ224)&gt;=5,AVERAGE(BE224:BJ224),"")</x:f>
      </x:c>
      <x:c r="BY224" s="40" t="str">
        <x:f>IF(COUNT(BK224:BR224)&gt;=7,AVERAGE(BK224:BR224),"")</x:f>
      </x:c>
    </x:row>
    <x:row r="225">
      <x:c r="A225" t="str">
        <x:v>R224</x:v>
      </x:c>
      <x:c r="BS225" s="40" t="str">
        <x:f>IF(COUNT(N225:W225)&gt;=8,AVERAGE(N225:W225),"")</x:f>
      </x:c>
      <x:c r="BT225" s="40" t="str">
        <x:f>IF(COUNT(X225:AE225)&gt;=7,AVERAGE(X225:AE225),"")</x:f>
      </x:c>
      <x:c r="BU225" s="40" t="str">
        <x:f>IF(COUNT(AF225:AM225)&gt;=7,AVERAGE(AF225:AM225),"")</x:f>
      </x:c>
      <x:c r="BV225" s="40" t="str">
        <x:f>IF(COUNT(AN225:AV225)&gt;=8,AVERAGE(AN225:AV225),"")</x:f>
      </x:c>
      <x:c r="BW225" s="40" t="str">
        <x:f>IF(COUNT(AW225:BD225)&gt;=7,AVERAGE(AW225:BD225),"")</x:f>
      </x:c>
      <x:c r="BX225" s="40" t="str">
        <x:f>IF(COUNT(BE225:BJ225)&gt;=5,AVERAGE(BE225:BJ225),"")</x:f>
      </x:c>
      <x:c r="BY225" s="40" t="str">
        <x:f>IF(COUNT(BK225:BR225)&gt;=7,AVERAGE(BK225:BR225),"")</x:f>
      </x:c>
    </x:row>
    <x:row r="226">
      <x:c r="A226" t="str">
        <x:v>R225</x:v>
      </x:c>
      <x:c r="BS226" s="40" t="str">
        <x:f>IF(COUNT(N226:W226)&gt;=8,AVERAGE(N226:W226),"")</x:f>
      </x:c>
      <x:c r="BT226" s="40" t="str">
        <x:f>IF(COUNT(X226:AE226)&gt;=7,AVERAGE(X226:AE226),"")</x:f>
      </x:c>
      <x:c r="BU226" s="40" t="str">
        <x:f>IF(COUNT(AF226:AM226)&gt;=7,AVERAGE(AF226:AM226),"")</x:f>
      </x:c>
      <x:c r="BV226" s="40" t="str">
        <x:f>IF(COUNT(AN226:AV226)&gt;=8,AVERAGE(AN226:AV226),"")</x:f>
      </x:c>
      <x:c r="BW226" s="40" t="str">
        <x:f>IF(COUNT(AW226:BD226)&gt;=7,AVERAGE(AW226:BD226),"")</x:f>
      </x:c>
      <x:c r="BX226" s="40" t="str">
        <x:f>IF(COUNT(BE226:BJ226)&gt;=5,AVERAGE(BE226:BJ226),"")</x:f>
      </x:c>
      <x:c r="BY226" s="40" t="str">
        <x:f>IF(COUNT(BK226:BR226)&gt;=7,AVERAGE(BK226:BR226),"")</x:f>
      </x:c>
    </x:row>
    <x:row r="227">
      <x:c r="A227" t="str">
        <x:v>R226</x:v>
      </x:c>
      <x:c r="BS227" s="40" t="str">
        <x:f>IF(COUNT(N227:W227)&gt;=8,AVERAGE(N227:W227),"")</x:f>
      </x:c>
      <x:c r="BT227" s="40" t="str">
        <x:f>IF(COUNT(X227:AE227)&gt;=7,AVERAGE(X227:AE227),"")</x:f>
      </x:c>
      <x:c r="BU227" s="40" t="str">
        <x:f>IF(COUNT(AF227:AM227)&gt;=7,AVERAGE(AF227:AM227),"")</x:f>
      </x:c>
      <x:c r="BV227" s="40" t="str">
        <x:f>IF(COUNT(AN227:AV227)&gt;=8,AVERAGE(AN227:AV227),"")</x:f>
      </x:c>
      <x:c r="BW227" s="40" t="str">
        <x:f>IF(COUNT(AW227:BD227)&gt;=7,AVERAGE(AW227:BD227),"")</x:f>
      </x:c>
      <x:c r="BX227" s="40" t="str">
        <x:f>IF(COUNT(BE227:BJ227)&gt;=5,AVERAGE(BE227:BJ227),"")</x:f>
      </x:c>
      <x:c r="BY227" s="40" t="str">
        <x:f>IF(COUNT(BK227:BR227)&gt;=7,AVERAGE(BK227:BR227),"")</x:f>
      </x:c>
    </x:row>
    <x:row r="228">
      <x:c r="A228" t="str">
        <x:v>R227</x:v>
      </x:c>
      <x:c r="BS228" s="40" t="str">
        <x:f>IF(COUNT(N228:W228)&gt;=8,AVERAGE(N228:W228),"")</x:f>
      </x:c>
      <x:c r="BT228" s="40" t="str">
        <x:f>IF(COUNT(X228:AE228)&gt;=7,AVERAGE(X228:AE228),"")</x:f>
      </x:c>
      <x:c r="BU228" s="40" t="str">
        <x:f>IF(COUNT(AF228:AM228)&gt;=7,AVERAGE(AF228:AM228),"")</x:f>
      </x:c>
      <x:c r="BV228" s="40" t="str">
        <x:f>IF(COUNT(AN228:AV228)&gt;=8,AVERAGE(AN228:AV228),"")</x:f>
      </x:c>
      <x:c r="BW228" s="40" t="str">
        <x:f>IF(COUNT(AW228:BD228)&gt;=7,AVERAGE(AW228:BD228),"")</x:f>
      </x:c>
      <x:c r="BX228" s="40" t="str">
        <x:f>IF(COUNT(BE228:BJ228)&gt;=5,AVERAGE(BE228:BJ228),"")</x:f>
      </x:c>
      <x:c r="BY228" s="40" t="str">
        <x:f>IF(COUNT(BK228:BR228)&gt;=7,AVERAGE(BK228:BR228),"")</x:f>
      </x:c>
    </x:row>
    <x:row r="229">
      <x:c r="A229" t="str">
        <x:v>R228</x:v>
      </x:c>
      <x:c r="BS229" s="40" t="str">
        <x:f>IF(COUNT(N229:W229)&gt;=8,AVERAGE(N229:W229),"")</x:f>
      </x:c>
      <x:c r="BT229" s="40" t="str">
        <x:f>IF(COUNT(X229:AE229)&gt;=7,AVERAGE(X229:AE229),"")</x:f>
      </x:c>
      <x:c r="BU229" s="40" t="str">
        <x:f>IF(COUNT(AF229:AM229)&gt;=7,AVERAGE(AF229:AM229),"")</x:f>
      </x:c>
      <x:c r="BV229" s="40" t="str">
        <x:f>IF(COUNT(AN229:AV229)&gt;=8,AVERAGE(AN229:AV229),"")</x:f>
      </x:c>
      <x:c r="BW229" s="40" t="str">
        <x:f>IF(COUNT(AW229:BD229)&gt;=7,AVERAGE(AW229:BD229),"")</x:f>
      </x:c>
      <x:c r="BX229" s="40" t="str">
        <x:f>IF(COUNT(BE229:BJ229)&gt;=5,AVERAGE(BE229:BJ229),"")</x:f>
      </x:c>
      <x:c r="BY229" s="40" t="str">
        <x:f>IF(COUNT(BK229:BR229)&gt;=7,AVERAGE(BK229:BR229),"")</x:f>
      </x:c>
    </x:row>
    <x:row r="230">
      <x:c r="A230" t="str">
        <x:v>R229</x:v>
      </x:c>
      <x:c r="BS230" s="40" t="str">
        <x:f>IF(COUNT(N230:W230)&gt;=8,AVERAGE(N230:W230),"")</x:f>
      </x:c>
      <x:c r="BT230" s="40" t="str">
        <x:f>IF(COUNT(X230:AE230)&gt;=7,AVERAGE(X230:AE230),"")</x:f>
      </x:c>
      <x:c r="BU230" s="40" t="str">
        <x:f>IF(COUNT(AF230:AM230)&gt;=7,AVERAGE(AF230:AM230),"")</x:f>
      </x:c>
      <x:c r="BV230" s="40" t="str">
        <x:f>IF(COUNT(AN230:AV230)&gt;=8,AVERAGE(AN230:AV230),"")</x:f>
      </x:c>
      <x:c r="BW230" s="40" t="str">
        <x:f>IF(COUNT(AW230:BD230)&gt;=7,AVERAGE(AW230:BD230),"")</x:f>
      </x:c>
      <x:c r="BX230" s="40" t="str">
        <x:f>IF(COUNT(BE230:BJ230)&gt;=5,AVERAGE(BE230:BJ230),"")</x:f>
      </x:c>
      <x:c r="BY230" s="40" t="str">
        <x:f>IF(COUNT(BK230:BR230)&gt;=7,AVERAGE(BK230:BR230),"")</x:f>
      </x:c>
    </x:row>
    <x:row r="231">
      <x:c r="A231" t="str">
        <x:v>R230</x:v>
      </x:c>
      <x:c r="BS231" s="40" t="str">
        <x:f>IF(COUNT(N231:W231)&gt;=8,AVERAGE(N231:W231),"")</x:f>
      </x:c>
      <x:c r="BT231" s="40" t="str">
        <x:f>IF(COUNT(X231:AE231)&gt;=7,AVERAGE(X231:AE231),"")</x:f>
      </x:c>
      <x:c r="BU231" s="40" t="str">
        <x:f>IF(COUNT(AF231:AM231)&gt;=7,AVERAGE(AF231:AM231),"")</x:f>
      </x:c>
      <x:c r="BV231" s="40" t="str">
        <x:f>IF(COUNT(AN231:AV231)&gt;=8,AVERAGE(AN231:AV231),"")</x:f>
      </x:c>
      <x:c r="BW231" s="40" t="str">
        <x:f>IF(COUNT(AW231:BD231)&gt;=7,AVERAGE(AW231:BD231),"")</x:f>
      </x:c>
      <x:c r="BX231" s="40" t="str">
        <x:f>IF(COUNT(BE231:BJ231)&gt;=5,AVERAGE(BE231:BJ231),"")</x:f>
      </x:c>
      <x:c r="BY231" s="40" t="str">
        <x:f>IF(COUNT(BK231:BR231)&gt;=7,AVERAGE(BK231:BR231),"")</x:f>
      </x:c>
    </x:row>
    <x:row r="232">
      <x:c r="A232" t="str">
        <x:v>R231</x:v>
      </x:c>
      <x:c r="BS232" s="40" t="str">
        <x:f>IF(COUNT(N232:W232)&gt;=8,AVERAGE(N232:W232),"")</x:f>
      </x:c>
      <x:c r="BT232" s="40" t="str">
        <x:f>IF(COUNT(X232:AE232)&gt;=7,AVERAGE(X232:AE232),"")</x:f>
      </x:c>
      <x:c r="BU232" s="40" t="str">
        <x:f>IF(COUNT(AF232:AM232)&gt;=7,AVERAGE(AF232:AM232),"")</x:f>
      </x:c>
      <x:c r="BV232" s="40" t="str">
        <x:f>IF(COUNT(AN232:AV232)&gt;=8,AVERAGE(AN232:AV232),"")</x:f>
      </x:c>
      <x:c r="BW232" s="40" t="str">
        <x:f>IF(COUNT(AW232:BD232)&gt;=7,AVERAGE(AW232:BD232),"")</x:f>
      </x:c>
      <x:c r="BX232" s="40" t="str">
        <x:f>IF(COUNT(BE232:BJ232)&gt;=5,AVERAGE(BE232:BJ232),"")</x:f>
      </x:c>
      <x:c r="BY232" s="40" t="str">
        <x:f>IF(COUNT(BK232:BR232)&gt;=7,AVERAGE(BK232:BR232),"")</x:f>
      </x:c>
    </x:row>
    <x:row r="233">
      <x:c r="A233" t="str">
        <x:v>R232</x:v>
      </x:c>
      <x:c r="BS233" s="40" t="str">
        <x:f>IF(COUNT(N233:W233)&gt;=8,AVERAGE(N233:W233),"")</x:f>
      </x:c>
      <x:c r="BT233" s="40" t="str">
        <x:f>IF(COUNT(X233:AE233)&gt;=7,AVERAGE(X233:AE233),"")</x:f>
      </x:c>
      <x:c r="BU233" s="40" t="str">
        <x:f>IF(COUNT(AF233:AM233)&gt;=7,AVERAGE(AF233:AM233),"")</x:f>
      </x:c>
      <x:c r="BV233" s="40" t="str">
        <x:f>IF(COUNT(AN233:AV233)&gt;=8,AVERAGE(AN233:AV233),"")</x:f>
      </x:c>
      <x:c r="BW233" s="40" t="str">
        <x:f>IF(COUNT(AW233:BD233)&gt;=7,AVERAGE(AW233:BD233),"")</x:f>
      </x:c>
      <x:c r="BX233" s="40" t="str">
        <x:f>IF(COUNT(BE233:BJ233)&gt;=5,AVERAGE(BE233:BJ233),"")</x:f>
      </x:c>
      <x:c r="BY233" s="40" t="str">
        <x:f>IF(COUNT(BK233:BR233)&gt;=7,AVERAGE(BK233:BR233),"")</x:f>
      </x:c>
    </x:row>
    <x:row r="234">
      <x:c r="A234" t="str">
        <x:v>R233</x:v>
      </x:c>
      <x:c r="BS234" s="40" t="str">
        <x:f>IF(COUNT(N234:W234)&gt;=8,AVERAGE(N234:W234),"")</x:f>
      </x:c>
      <x:c r="BT234" s="40" t="str">
        <x:f>IF(COUNT(X234:AE234)&gt;=7,AVERAGE(X234:AE234),"")</x:f>
      </x:c>
      <x:c r="BU234" s="40" t="str">
        <x:f>IF(COUNT(AF234:AM234)&gt;=7,AVERAGE(AF234:AM234),"")</x:f>
      </x:c>
      <x:c r="BV234" s="40" t="str">
        <x:f>IF(COUNT(AN234:AV234)&gt;=8,AVERAGE(AN234:AV234),"")</x:f>
      </x:c>
      <x:c r="BW234" s="40" t="str">
        <x:f>IF(COUNT(AW234:BD234)&gt;=7,AVERAGE(AW234:BD234),"")</x:f>
      </x:c>
      <x:c r="BX234" s="40" t="str">
        <x:f>IF(COUNT(BE234:BJ234)&gt;=5,AVERAGE(BE234:BJ234),"")</x:f>
      </x:c>
      <x:c r="BY234" s="40" t="str">
        <x:f>IF(COUNT(BK234:BR234)&gt;=7,AVERAGE(BK234:BR234),"")</x:f>
      </x:c>
    </x:row>
    <x:row r="235">
      <x:c r="A235" t="str">
        <x:v>R234</x:v>
      </x:c>
      <x:c r="BS235" s="40" t="str">
        <x:f>IF(COUNT(N235:W235)&gt;=8,AVERAGE(N235:W235),"")</x:f>
      </x:c>
      <x:c r="BT235" s="40" t="str">
        <x:f>IF(COUNT(X235:AE235)&gt;=7,AVERAGE(X235:AE235),"")</x:f>
      </x:c>
      <x:c r="BU235" s="40" t="str">
        <x:f>IF(COUNT(AF235:AM235)&gt;=7,AVERAGE(AF235:AM235),"")</x:f>
      </x:c>
      <x:c r="BV235" s="40" t="str">
        <x:f>IF(COUNT(AN235:AV235)&gt;=8,AVERAGE(AN235:AV235),"")</x:f>
      </x:c>
      <x:c r="BW235" s="40" t="str">
        <x:f>IF(COUNT(AW235:BD235)&gt;=7,AVERAGE(AW235:BD235),"")</x:f>
      </x:c>
      <x:c r="BX235" s="40" t="str">
        <x:f>IF(COUNT(BE235:BJ235)&gt;=5,AVERAGE(BE235:BJ235),"")</x:f>
      </x:c>
      <x:c r="BY235" s="40" t="str">
        <x:f>IF(COUNT(BK235:BR235)&gt;=7,AVERAGE(BK235:BR235),"")</x:f>
      </x:c>
    </x:row>
    <x:row r="236">
      <x:c r="A236" t="str">
        <x:v>R235</x:v>
      </x:c>
      <x:c r="BS236" s="40" t="str">
        <x:f>IF(COUNT(N236:W236)&gt;=8,AVERAGE(N236:W236),"")</x:f>
      </x:c>
      <x:c r="BT236" s="40" t="str">
        <x:f>IF(COUNT(X236:AE236)&gt;=7,AVERAGE(X236:AE236),"")</x:f>
      </x:c>
      <x:c r="BU236" s="40" t="str">
        <x:f>IF(COUNT(AF236:AM236)&gt;=7,AVERAGE(AF236:AM236),"")</x:f>
      </x:c>
      <x:c r="BV236" s="40" t="str">
        <x:f>IF(COUNT(AN236:AV236)&gt;=8,AVERAGE(AN236:AV236),"")</x:f>
      </x:c>
      <x:c r="BW236" s="40" t="str">
        <x:f>IF(COUNT(AW236:BD236)&gt;=7,AVERAGE(AW236:BD236),"")</x:f>
      </x:c>
      <x:c r="BX236" s="40" t="str">
        <x:f>IF(COUNT(BE236:BJ236)&gt;=5,AVERAGE(BE236:BJ236),"")</x:f>
      </x:c>
      <x:c r="BY236" s="40" t="str">
        <x:f>IF(COUNT(BK236:BR236)&gt;=7,AVERAGE(BK236:BR236),"")</x:f>
      </x:c>
    </x:row>
    <x:row r="237">
      <x:c r="A237" t="str">
        <x:v>R236</x:v>
      </x:c>
      <x:c r="BS237" s="40" t="str">
        <x:f>IF(COUNT(N237:W237)&gt;=8,AVERAGE(N237:W237),"")</x:f>
      </x:c>
      <x:c r="BT237" s="40" t="str">
        <x:f>IF(COUNT(X237:AE237)&gt;=7,AVERAGE(X237:AE237),"")</x:f>
      </x:c>
      <x:c r="BU237" s="40" t="str">
        <x:f>IF(COUNT(AF237:AM237)&gt;=7,AVERAGE(AF237:AM237),"")</x:f>
      </x:c>
      <x:c r="BV237" s="40" t="str">
        <x:f>IF(COUNT(AN237:AV237)&gt;=8,AVERAGE(AN237:AV237),"")</x:f>
      </x:c>
      <x:c r="BW237" s="40" t="str">
        <x:f>IF(COUNT(AW237:BD237)&gt;=7,AVERAGE(AW237:BD237),"")</x:f>
      </x:c>
      <x:c r="BX237" s="40" t="str">
        <x:f>IF(COUNT(BE237:BJ237)&gt;=5,AVERAGE(BE237:BJ237),"")</x:f>
      </x:c>
      <x:c r="BY237" s="40" t="str">
        <x:f>IF(COUNT(BK237:BR237)&gt;=7,AVERAGE(BK237:BR237),"")</x:f>
      </x:c>
    </x:row>
    <x:row r="238">
      <x:c r="A238" t="str">
        <x:v>R237</x:v>
      </x:c>
      <x:c r="BS238" s="40" t="str">
        <x:f>IF(COUNT(N238:W238)&gt;=8,AVERAGE(N238:W238),"")</x:f>
      </x:c>
      <x:c r="BT238" s="40" t="str">
        <x:f>IF(COUNT(X238:AE238)&gt;=7,AVERAGE(X238:AE238),"")</x:f>
      </x:c>
      <x:c r="BU238" s="40" t="str">
        <x:f>IF(COUNT(AF238:AM238)&gt;=7,AVERAGE(AF238:AM238),"")</x:f>
      </x:c>
      <x:c r="BV238" s="40" t="str">
        <x:f>IF(COUNT(AN238:AV238)&gt;=8,AVERAGE(AN238:AV238),"")</x:f>
      </x:c>
      <x:c r="BW238" s="40" t="str">
        <x:f>IF(COUNT(AW238:BD238)&gt;=7,AVERAGE(AW238:BD238),"")</x:f>
      </x:c>
      <x:c r="BX238" s="40" t="str">
        <x:f>IF(COUNT(BE238:BJ238)&gt;=5,AVERAGE(BE238:BJ238),"")</x:f>
      </x:c>
      <x:c r="BY238" s="40" t="str">
        <x:f>IF(COUNT(BK238:BR238)&gt;=7,AVERAGE(BK238:BR238),"")</x:f>
      </x:c>
    </x:row>
    <x:row r="239">
      <x:c r="A239" t="str">
        <x:v>R238</x:v>
      </x:c>
      <x:c r="BS239" s="40" t="str">
        <x:f>IF(COUNT(N239:W239)&gt;=8,AVERAGE(N239:W239),"")</x:f>
      </x:c>
      <x:c r="BT239" s="40" t="str">
        <x:f>IF(COUNT(X239:AE239)&gt;=7,AVERAGE(X239:AE239),"")</x:f>
      </x:c>
      <x:c r="BU239" s="40" t="str">
        <x:f>IF(COUNT(AF239:AM239)&gt;=7,AVERAGE(AF239:AM239),"")</x:f>
      </x:c>
      <x:c r="BV239" s="40" t="str">
        <x:f>IF(COUNT(AN239:AV239)&gt;=8,AVERAGE(AN239:AV239),"")</x:f>
      </x:c>
      <x:c r="BW239" s="40" t="str">
        <x:f>IF(COUNT(AW239:BD239)&gt;=7,AVERAGE(AW239:BD239),"")</x:f>
      </x:c>
      <x:c r="BX239" s="40" t="str">
        <x:f>IF(COUNT(BE239:BJ239)&gt;=5,AVERAGE(BE239:BJ239),"")</x:f>
      </x:c>
      <x:c r="BY239" s="40" t="str">
        <x:f>IF(COUNT(BK239:BR239)&gt;=7,AVERAGE(BK239:BR239),"")</x:f>
      </x:c>
    </x:row>
    <x:row r="240">
      <x:c r="A240" t="str">
        <x:v>R239</x:v>
      </x:c>
      <x:c r="BS240" s="40" t="str">
        <x:f>IF(COUNT(N240:W240)&gt;=8,AVERAGE(N240:W240),"")</x:f>
      </x:c>
      <x:c r="BT240" s="40" t="str">
        <x:f>IF(COUNT(X240:AE240)&gt;=7,AVERAGE(X240:AE240),"")</x:f>
      </x:c>
      <x:c r="BU240" s="40" t="str">
        <x:f>IF(COUNT(AF240:AM240)&gt;=7,AVERAGE(AF240:AM240),"")</x:f>
      </x:c>
      <x:c r="BV240" s="40" t="str">
        <x:f>IF(COUNT(AN240:AV240)&gt;=8,AVERAGE(AN240:AV240),"")</x:f>
      </x:c>
      <x:c r="BW240" s="40" t="str">
        <x:f>IF(COUNT(AW240:BD240)&gt;=7,AVERAGE(AW240:BD240),"")</x:f>
      </x:c>
      <x:c r="BX240" s="40" t="str">
        <x:f>IF(COUNT(BE240:BJ240)&gt;=5,AVERAGE(BE240:BJ240),"")</x:f>
      </x:c>
      <x:c r="BY240" s="40" t="str">
        <x:f>IF(COUNT(BK240:BR240)&gt;=7,AVERAGE(BK240:BR240),"")</x:f>
      </x:c>
    </x:row>
    <x:row r="241">
      <x:c r="A241" t="str">
        <x:v>R240</x:v>
      </x:c>
      <x:c r="BS241" s="40" t="str">
        <x:f>IF(COUNT(N241:W241)&gt;=8,AVERAGE(N241:W241),"")</x:f>
      </x:c>
      <x:c r="BT241" s="40" t="str">
        <x:f>IF(COUNT(X241:AE241)&gt;=7,AVERAGE(X241:AE241),"")</x:f>
      </x:c>
      <x:c r="BU241" s="40" t="str">
        <x:f>IF(COUNT(AF241:AM241)&gt;=7,AVERAGE(AF241:AM241),"")</x:f>
      </x:c>
      <x:c r="BV241" s="40" t="str">
        <x:f>IF(COUNT(AN241:AV241)&gt;=8,AVERAGE(AN241:AV241),"")</x:f>
      </x:c>
      <x:c r="BW241" s="40" t="str">
        <x:f>IF(COUNT(AW241:BD241)&gt;=7,AVERAGE(AW241:BD241),"")</x:f>
      </x:c>
      <x:c r="BX241" s="40" t="str">
        <x:f>IF(COUNT(BE241:BJ241)&gt;=5,AVERAGE(BE241:BJ241),"")</x:f>
      </x:c>
      <x:c r="BY241" s="40" t="str">
        <x:f>IF(COUNT(BK241:BR241)&gt;=7,AVERAGE(BK241:BR241),"")</x:f>
      </x:c>
    </x:row>
    <x:row r="242">
      <x:c r="A242" t="str">
        <x:v>R241</x:v>
      </x:c>
      <x:c r="BS242" s="40" t="str">
        <x:f>IF(COUNT(N242:W242)&gt;=8,AVERAGE(N242:W242),"")</x:f>
      </x:c>
      <x:c r="BT242" s="40" t="str">
        <x:f>IF(COUNT(X242:AE242)&gt;=7,AVERAGE(X242:AE242),"")</x:f>
      </x:c>
      <x:c r="BU242" s="40" t="str">
        <x:f>IF(COUNT(AF242:AM242)&gt;=7,AVERAGE(AF242:AM242),"")</x:f>
      </x:c>
      <x:c r="BV242" s="40" t="str">
        <x:f>IF(COUNT(AN242:AV242)&gt;=8,AVERAGE(AN242:AV242),"")</x:f>
      </x:c>
      <x:c r="BW242" s="40" t="str">
        <x:f>IF(COUNT(AW242:BD242)&gt;=7,AVERAGE(AW242:BD242),"")</x:f>
      </x:c>
      <x:c r="BX242" s="40" t="str">
        <x:f>IF(COUNT(BE242:BJ242)&gt;=5,AVERAGE(BE242:BJ242),"")</x:f>
      </x:c>
      <x:c r="BY242" s="40" t="str">
        <x:f>IF(COUNT(BK242:BR242)&gt;=7,AVERAGE(BK242:BR242),"")</x:f>
      </x:c>
    </x:row>
    <x:row r="243">
      <x:c r="A243" t="str">
        <x:v>R242</x:v>
      </x:c>
      <x:c r="BS243" s="40" t="str">
        <x:f>IF(COUNT(N243:W243)&gt;=8,AVERAGE(N243:W243),"")</x:f>
      </x:c>
      <x:c r="BT243" s="40" t="str">
        <x:f>IF(COUNT(X243:AE243)&gt;=7,AVERAGE(X243:AE243),"")</x:f>
      </x:c>
      <x:c r="BU243" s="40" t="str">
        <x:f>IF(COUNT(AF243:AM243)&gt;=7,AVERAGE(AF243:AM243),"")</x:f>
      </x:c>
      <x:c r="BV243" s="40" t="str">
        <x:f>IF(COUNT(AN243:AV243)&gt;=8,AVERAGE(AN243:AV243),"")</x:f>
      </x:c>
      <x:c r="BW243" s="40" t="str">
        <x:f>IF(COUNT(AW243:BD243)&gt;=7,AVERAGE(AW243:BD243),"")</x:f>
      </x:c>
      <x:c r="BX243" s="40" t="str">
        <x:f>IF(COUNT(BE243:BJ243)&gt;=5,AVERAGE(BE243:BJ243),"")</x:f>
      </x:c>
      <x:c r="BY243" s="40" t="str">
        <x:f>IF(COUNT(BK243:BR243)&gt;=7,AVERAGE(BK243:BR243),"")</x:f>
      </x:c>
    </x:row>
    <x:row r="244">
      <x:c r="A244" t="str">
        <x:v>R243</x:v>
      </x:c>
      <x:c r="BS244" s="40" t="str">
        <x:f>IF(COUNT(N244:W244)&gt;=8,AVERAGE(N244:W244),"")</x:f>
      </x:c>
      <x:c r="BT244" s="40" t="str">
        <x:f>IF(COUNT(X244:AE244)&gt;=7,AVERAGE(X244:AE244),"")</x:f>
      </x:c>
      <x:c r="BU244" s="40" t="str">
        <x:f>IF(COUNT(AF244:AM244)&gt;=7,AVERAGE(AF244:AM244),"")</x:f>
      </x:c>
      <x:c r="BV244" s="40" t="str">
        <x:f>IF(COUNT(AN244:AV244)&gt;=8,AVERAGE(AN244:AV244),"")</x:f>
      </x:c>
      <x:c r="BW244" s="40" t="str">
        <x:f>IF(COUNT(AW244:BD244)&gt;=7,AVERAGE(AW244:BD244),"")</x:f>
      </x:c>
      <x:c r="BX244" s="40" t="str">
        <x:f>IF(COUNT(BE244:BJ244)&gt;=5,AVERAGE(BE244:BJ244),"")</x:f>
      </x:c>
      <x:c r="BY244" s="40" t="str">
        <x:f>IF(COUNT(BK244:BR244)&gt;=7,AVERAGE(BK244:BR244),"")</x:f>
      </x:c>
    </x:row>
    <x:row r="245">
      <x:c r="A245" t="str">
        <x:v>R244</x:v>
      </x:c>
      <x:c r="BS245" s="40" t="str">
        <x:f>IF(COUNT(N245:W245)&gt;=8,AVERAGE(N245:W245),"")</x:f>
      </x:c>
      <x:c r="BT245" s="40" t="str">
        <x:f>IF(COUNT(X245:AE245)&gt;=7,AVERAGE(X245:AE245),"")</x:f>
      </x:c>
      <x:c r="BU245" s="40" t="str">
        <x:f>IF(COUNT(AF245:AM245)&gt;=7,AVERAGE(AF245:AM245),"")</x:f>
      </x:c>
      <x:c r="BV245" s="40" t="str">
        <x:f>IF(COUNT(AN245:AV245)&gt;=8,AVERAGE(AN245:AV245),"")</x:f>
      </x:c>
      <x:c r="BW245" s="40" t="str">
        <x:f>IF(COUNT(AW245:BD245)&gt;=7,AVERAGE(AW245:BD245),"")</x:f>
      </x:c>
      <x:c r="BX245" s="40" t="str">
        <x:f>IF(COUNT(BE245:BJ245)&gt;=5,AVERAGE(BE245:BJ245),"")</x:f>
      </x:c>
      <x:c r="BY245" s="40" t="str">
        <x:f>IF(COUNT(BK245:BR245)&gt;=7,AVERAGE(BK245:BR245),"")</x:f>
      </x:c>
    </x:row>
    <x:row r="246">
      <x:c r="A246" t="str">
        <x:v>R245</x:v>
      </x:c>
      <x:c r="BS246" s="40" t="str">
        <x:f>IF(COUNT(N246:W246)&gt;=8,AVERAGE(N246:W246),"")</x:f>
      </x:c>
      <x:c r="BT246" s="40" t="str">
        <x:f>IF(COUNT(X246:AE246)&gt;=7,AVERAGE(X246:AE246),"")</x:f>
      </x:c>
      <x:c r="BU246" s="40" t="str">
        <x:f>IF(COUNT(AF246:AM246)&gt;=7,AVERAGE(AF246:AM246),"")</x:f>
      </x:c>
      <x:c r="BV246" s="40" t="str">
        <x:f>IF(COUNT(AN246:AV246)&gt;=8,AVERAGE(AN246:AV246),"")</x:f>
      </x:c>
      <x:c r="BW246" s="40" t="str">
        <x:f>IF(COUNT(AW246:BD246)&gt;=7,AVERAGE(AW246:BD246),"")</x:f>
      </x:c>
      <x:c r="BX246" s="40" t="str">
        <x:f>IF(COUNT(BE246:BJ246)&gt;=5,AVERAGE(BE246:BJ246),"")</x:f>
      </x:c>
      <x:c r="BY246" s="40" t="str">
        <x:f>IF(COUNT(BK246:BR246)&gt;=7,AVERAGE(BK246:BR246),"")</x:f>
      </x:c>
    </x:row>
    <x:row r="247">
      <x:c r="A247" t="str">
        <x:v>R246</x:v>
      </x:c>
      <x:c r="BS247" s="40" t="str">
        <x:f>IF(COUNT(N247:W247)&gt;=8,AVERAGE(N247:W247),"")</x:f>
      </x:c>
      <x:c r="BT247" s="40" t="str">
        <x:f>IF(COUNT(X247:AE247)&gt;=7,AVERAGE(X247:AE247),"")</x:f>
      </x:c>
      <x:c r="BU247" s="40" t="str">
        <x:f>IF(COUNT(AF247:AM247)&gt;=7,AVERAGE(AF247:AM247),"")</x:f>
      </x:c>
      <x:c r="BV247" s="40" t="str">
        <x:f>IF(COUNT(AN247:AV247)&gt;=8,AVERAGE(AN247:AV247),"")</x:f>
      </x:c>
      <x:c r="BW247" s="40" t="str">
        <x:f>IF(COUNT(AW247:BD247)&gt;=7,AVERAGE(AW247:BD247),"")</x:f>
      </x:c>
      <x:c r="BX247" s="40" t="str">
        <x:f>IF(COUNT(BE247:BJ247)&gt;=5,AVERAGE(BE247:BJ247),"")</x:f>
      </x:c>
      <x:c r="BY247" s="40" t="str">
        <x:f>IF(COUNT(BK247:BR247)&gt;=7,AVERAGE(BK247:BR247),"")</x:f>
      </x:c>
    </x:row>
    <x:row r="248">
      <x:c r="A248" t="str">
        <x:v>R247</x:v>
      </x:c>
      <x:c r="BS248" s="40" t="str">
        <x:f>IF(COUNT(N248:W248)&gt;=8,AVERAGE(N248:W248),"")</x:f>
      </x:c>
      <x:c r="BT248" s="40" t="str">
        <x:f>IF(COUNT(X248:AE248)&gt;=7,AVERAGE(X248:AE248),"")</x:f>
      </x:c>
      <x:c r="BU248" s="40" t="str">
        <x:f>IF(COUNT(AF248:AM248)&gt;=7,AVERAGE(AF248:AM248),"")</x:f>
      </x:c>
      <x:c r="BV248" s="40" t="str">
        <x:f>IF(COUNT(AN248:AV248)&gt;=8,AVERAGE(AN248:AV248),"")</x:f>
      </x:c>
      <x:c r="BW248" s="40" t="str">
        <x:f>IF(COUNT(AW248:BD248)&gt;=7,AVERAGE(AW248:BD248),"")</x:f>
      </x:c>
      <x:c r="BX248" s="40" t="str">
        <x:f>IF(COUNT(BE248:BJ248)&gt;=5,AVERAGE(BE248:BJ248),"")</x:f>
      </x:c>
      <x:c r="BY248" s="40" t="str">
        <x:f>IF(COUNT(BK248:BR248)&gt;=7,AVERAGE(BK248:BR248),"")</x:f>
      </x:c>
    </x:row>
    <x:row r="249">
      <x:c r="A249" t="str">
        <x:v>R248</x:v>
      </x:c>
      <x:c r="BS249" s="40" t="str">
        <x:f>IF(COUNT(N249:W249)&gt;=8,AVERAGE(N249:W249),"")</x:f>
      </x:c>
      <x:c r="BT249" s="40" t="str">
        <x:f>IF(COUNT(X249:AE249)&gt;=7,AVERAGE(X249:AE249),"")</x:f>
      </x:c>
      <x:c r="BU249" s="40" t="str">
        <x:f>IF(COUNT(AF249:AM249)&gt;=7,AVERAGE(AF249:AM249),"")</x:f>
      </x:c>
      <x:c r="BV249" s="40" t="str">
        <x:f>IF(COUNT(AN249:AV249)&gt;=8,AVERAGE(AN249:AV249),"")</x:f>
      </x:c>
      <x:c r="BW249" s="40" t="str">
        <x:f>IF(COUNT(AW249:BD249)&gt;=7,AVERAGE(AW249:BD249),"")</x:f>
      </x:c>
      <x:c r="BX249" s="40" t="str">
        <x:f>IF(COUNT(BE249:BJ249)&gt;=5,AVERAGE(BE249:BJ249),"")</x:f>
      </x:c>
      <x:c r="BY249" s="40" t="str">
        <x:f>IF(COUNT(BK249:BR249)&gt;=7,AVERAGE(BK249:BR249),"")</x:f>
      </x:c>
    </x:row>
    <x:row r="250">
      <x:c r="A250" t="str">
        <x:v>R249</x:v>
      </x:c>
      <x:c r="BS250" s="40" t="str">
        <x:f>IF(COUNT(N250:W250)&gt;=8,AVERAGE(N250:W250),"")</x:f>
      </x:c>
      <x:c r="BT250" s="40" t="str">
        <x:f>IF(COUNT(X250:AE250)&gt;=7,AVERAGE(X250:AE250),"")</x:f>
      </x:c>
      <x:c r="BU250" s="40" t="str">
        <x:f>IF(COUNT(AF250:AM250)&gt;=7,AVERAGE(AF250:AM250),"")</x:f>
      </x:c>
      <x:c r="BV250" s="40" t="str">
        <x:f>IF(COUNT(AN250:AV250)&gt;=8,AVERAGE(AN250:AV250),"")</x:f>
      </x:c>
      <x:c r="BW250" s="40" t="str">
        <x:f>IF(COUNT(AW250:BD250)&gt;=7,AVERAGE(AW250:BD250),"")</x:f>
      </x:c>
      <x:c r="BX250" s="40" t="str">
        <x:f>IF(COUNT(BE250:BJ250)&gt;=5,AVERAGE(BE250:BJ250),"")</x:f>
      </x:c>
      <x:c r="BY250" s="40" t="str">
        <x:f>IF(COUNT(BK250:BR250)&gt;=7,AVERAGE(BK250:BR250),"")</x:f>
      </x:c>
    </x:row>
    <x:row r="251">
      <x:c r="A251" t="str">
        <x:v>R250</x:v>
      </x:c>
      <x:c r="BS251" s="40" t="str">
        <x:f>IF(COUNT(N251:W251)&gt;=8,AVERAGE(N251:W251),"")</x:f>
      </x:c>
      <x:c r="BT251" s="40" t="str">
        <x:f>IF(COUNT(X251:AE251)&gt;=7,AVERAGE(X251:AE251),"")</x:f>
      </x:c>
      <x:c r="BU251" s="40" t="str">
        <x:f>IF(COUNT(AF251:AM251)&gt;=7,AVERAGE(AF251:AM251),"")</x:f>
      </x:c>
      <x:c r="BV251" s="40" t="str">
        <x:f>IF(COUNT(AN251:AV251)&gt;=8,AVERAGE(AN251:AV251),"")</x:f>
      </x:c>
      <x:c r="BW251" s="40" t="str">
        <x:f>IF(COUNT(AW251:BD251)&gt;=7,AVERAGE(AW251:BD251),"")</x:f>
      </x:c>
      <x:c r="BX251" s="40" t="str">
        <x:f>IF(COUNT(BE251:BJ251)&gt;=5,AVERAGE(BE251:BJ251),"")</x:f>
      </x:c>
      <x:c r="BY251" s="40" t="str">
        <x:f>IF(COUNT(BK251:BR251)&gt;=7,AVERAGE(BK251:BR251),"")</x:f>
      </x:c>
    </x:row>
    <x:row r="252">
      <x:c r="A252" t="str">
        <x:v>R251</x:v>
      </x:c>
      <x:c r="BS252" s="40" t="str">
        <x:f>IF(COUNT(N252:W252)&gt;=8,AVERAGE(N252:W252),"")</x:f>
      </x:c>
      <x:c r="BT252" s="40" t="str">
        <x:f>IF(COUNT(X252:AE252)&gt;=7,AVERAGE(X252:AE252),"")</x:f>
      </x:c>
      <x:c r="BU252" s="40" t="str">
        <x:f>IF(COUNT(AF252:AM252)&gt;=7,AVERAGE(AF252:AM252),"")</x:f>
      </x:c>
      <x:c r="BV252" s="40" t="str">
        <x:f>IF(COUNT(AN252:AV252)&gt;=8,AVERAGE(AN252:AV252),"")</x:f>
      </x:c>
      <x:c r="BW252" s="40" t="str">
        <x:f>IF(COUNT(AW252:BD252)&gt;=7,AVERAGE(AW252:BD252),"")</x:f>
      </x:c>
      <x:c r="BX252" s="40" t="str">
        <x:f>IF(COUNT(BE252:BJ252)&gt;=5,AVERAGE(BE252:BJ252),"")</x:f>
      </x:c>
      <x:c r="BY252" s="40" t="str">
        <x:f>IF(COUNT(BK252:BR252)&gt;=7,AVERAGE(BK252:BR252),"")</x:f>
      </x:c>
    </x:row>
    <x:row r="253">
      <x:c r="A253" t="str">
        <x:v>R252</x:v>
      </x:c>
      <x:c r="BS253" s="40" t="str">
        <x:f>IF(COUNT(N253:W253)&gt;=8,AVERAGE(N253:W253),"")</x:f>
      </x:c>
      <x:c r="BT253" s="40" t="str">
        <x:f>IF(COUNT(X253:AE253)&gt;=7,AVERAGE(X253:AE253),"")</x:f>
      </x:c>
      <x:c r="BU253" s="40" t="str">
        <x:f>IF(COUNT(AF253:AM253)&gt;=7,AVERAGE(AF253:AM253),"")</x:f>
      </x:c>
      <x:c r="BV253" s="40" t="str">
        <x:f>IF(COUNT(AN253:AV253)&gt;=8,AVERAGE(AN253:AV253),"")</x:f>
      </x:c>
      <x:c r="BW253" s="40" t="str">
        <x:f>IF(COUNT(AW253:BD253)&gt;=7,AVERAGE(AW253:BD253),"")</x:f>
      </x:c>
      <x:c r="BX253" s="40" t="str">
        <x:f>IF(COUNT(BE253:BJ253)&gt;=5,AVERAGE(BE253:BJ253),"")</x:f>
      </x:c>
      <x:c r="BY253" s="40" t="str">
        <x:f>IF(COUNT(BK253:BR253)&gt;=7,AVERAGE(BK253:BR253),"")</x:f>
      </x:c>
    </x:row>
    <x:row r="254">
      <x:c r="A254" t="str">
        <x:v>R253</x:v>
      </x:c>
      <x:c r="BS254" s="40" t="str">
        <x:f>IF(COUNT(N254:W254)&gt;=8,AVERAGE(N254:W254),"")</x:f>
      </x:c>
      <x:c r="BT254" s="40" t="str">
        <x:f>IF(COUNT(X254:AE254)&gt;=7,AVERAGE(X254:AE254),"")</x:f>
      </x:c>
      <x:c r="BU254" s="40" t="str">
        <x:f>IF(COUNT(AF254:AM254)&gt;=7,AVERAGE(AF254:AM254),"")</x:f>
      </x:c>
      <x:c r="BV254" s="40" t="str">
        <x:f>IF(COUNT(AN254:AV254)&gt;=8,AVERAGE(AN254:AV254),"")</x:f>
      </x:c>
      <x:c r="BW254" s="40" t="str">
        <x:f>IF(COUNT(AW254:BD254)&gt;=7,AVERAGE(AW254:BD254),"")</x:f>
      </x:c>
      <x:c r="BX254" s="40" t="str">
        <x:f>IF(COUNT(BE254:BJ254)&gt;=5,AVERAGE(BE254:BJ254),"")</x:f>
      </x:c>
      <x:c r="BY254" s="40" t="str">
        <x:f>IF(COUNT(BK254:BR254)&gt;=7,AVERAGE(BK254:BR254),"")</x:f>
      </x:c>
    </x:row>
    <x:row r="255">
      <x:c r="A255" t="str">
        <x:v>R254</x:v>
      </x:c>
      <x:c r="BS255" s="40" t="str">
        <x:f>IF(COUNT(N255:W255)&gt;=8,AVERAGE(N255:W255),"")</x:f>
      </x:c>
      <x:c r="BT255" s="40" t="str">
        <x:f>IF(COUNT(X255:AE255)&gt;=7,AVERAGE(X255:AE255),"")</x:f>
      </x:c>
      <x:c r="BU255" s="40" t="str">
        <x:f>IF(COUNT(AF255:AM255)&gt;=7,AVERAGE(AF255:AM255),"")</x:f>
      </x:c>
      <x:c r="BV255" s="40" t="str">
        <x:f>IF(COUNT(AN255:AV255)&gt;=8,AVERAGE(AN255:AV255),"")</x:f>
      </x:c>
      <x:c r="BW255" s="40" t="str">
        <x:f>IF(COUNT(AW255:BD255)&gt;=7,AVERAGE(AW255:BD255),"")</x:f>
      </x:c>
      <x:c r="BX255" s="40" t="str">
        <x:f>IF(COUNT(BE255:BJ255)&gt;=5,AVERAGE(BE255:BJ255),"")</x:f>
      </x:c>
      <x:c r="BY255" s="40" t="str">
        <x:f>IF(COUNT(BK255:BR255)&gt;=7,AVERAGE(BK255:BR255),"")</x:f>
      </x:c>
    </x:row>
    <x:row r="256">
      <x:c r="A256" t="str">
        <x:v>R255</x:v>
      </x:c>
      <x:c r="BS256" s="40" t="str">
        <x:f>IF(COUNT(N256:W256)&gt;=8,AVERAGE(N256:W256),"")</x:f>
      </x:c>
      <x:c r="BT256" s="40" t="str">
        <x:f>IF(COUNT(X256:AE256)&gt;=7,AVERAGE(X256:AE256),"")</x:f>
      </x:c>
      <x:c r="BU256" s="40" t="str">
        <x:f>IF(COUNT(AF256:AM256)&gt;=7,AVERAGE(AF256:AM256),"")</x:f>
      </x:c>
      <x:c r="BV256" s="40" t="str">
        <x:f>IF(COUNT(AN256:AV256)&gt;=8,AVERAGE(AN256:AV256),"")</x:f>
      </x:c>
      <x:c r="BW256" s="40" t="str">
        <x:f>IF(COUNT(AW256:BD256)&gt;=7,AVERAGE(AW256:BD256),"")</x:f>
      </x:c>
      <x:c r="BX256" s="40" t="str">
        <x:f>IF(COUNT(BE256:BJ256)&gt;=5,AVERAGE(BE256:BJ256),"")</x:f>
      </x:c>
      <x:c r="BY256" s="40" t="str">
        <x:f>IF(COUNT(BK256:BR256)&gt;=7,AVERAGE(BK256:BR256),"")</x:f>
      </x:c>
    </x:row>
    <x:row r="257">
      <x:c r="A257" t="str">
        <x:v>R256</x:v>
      </x:c>
      <x:c r="BS257" s="40" t="str">
        <x:f>IF(COUNT(N257:W257)&gt;=8,AVERAGE(N257:W257),"")</x:f>
      </x:c>
      <x:c r="BT257" s="40" t="str">
        <x:f>IF(COUNT(X257:AE257)&gt;=7,AVERAGE(X257:AE257),"")</x:f>
      </x:c>
      <x:c r="BU257" s="40" t="str">
        <x:f>IF(COUNT(AF257:AM257)&gt;=7,AVERAGE(AF257:AM257),"")</x:f>
      </x:c>
      <x:c r="BV257" s="40" t="str">
        <x:f>IF(COUNT(AN257:AV257)&gt;=8,AVERAGE(AN257:AV257),"")</x:f>
      </x:c>
      <x:c r="BW257" s="40" t="str">
        <x:f>IF(COUNT(AW257:BD257)&gt;=7,AVERAGE(AW257:BD257),"")</x:f>
      </x:c>
      <x:c r="BX257" s="40" t="str">
        <x:f>IF(COUNT(BE257:BJ257)&gt;=5,AVERAGE(BE257:BJ257),"")</x:f>
      </x:c>
      <x:c r="BY257" s="40" t="str">
        <x:f>IF(COUNT(BK257:BR257)&gt;=7,AVERAGE(BK257:BR257),"")</x:f>
      </x:c>
    </x:row>
    <x:row r="258">
      <x:c r="A258" t="str">
        <x:v>R257</x:v>
      </x:c>
      <x:c r="BS258" s="40" t="str">
        <x:f>IF(COUNT(N258:W258)&gt;=8,AVERAGE(N258:W258),"")</x:f>
      </x:c>
      <x:c r="BT258" s="40" t="str">
        <x:f>IF(COUNT(X258:AE258)&gt;=7,AVERAGE(X258:AE258),"")</x:f>
      </x:c>
      <x:c r="BU258" s="40" t="str">
        <x:f>IF(COUNT(AF258:AM258)&gt;=7,AVERAGE(AF258:AM258),"")</x:f>
      </x:c>
      <x:c r="BV258" s="40" t="str">
        <x:f>IF(COUNT(AN258:AV258)&gt;=8,AVERAGE(AN258:AV258),"")</x:f>
      </x:c>
      <x:c r="BW258" s="40" t="str">
        <x:f>IF(COUNT(AW258:BD258)&gt;=7,AVERAGE(AW258:BD258),"")</x:f>
      </x:c>
      <x:c r="BX258" s="40" t="str">
        <x:f>IF(COUNT(BE258:BJ258)&gt;=5,AVERAGE(BE258:BJ258),"")</x:f>
      </x:c>
      <x:c r="BY258" s="40" t="str">
        <x:f>IF(COUNT(BK258:BR258)&gt;=7,AVERAGE(BK258:BR258),"")</x:f>
      </x:c>
    </x:row>
    <x:row r="259">
      <x:c r="A259" t="str">
        <x:v>R258</x:v>
      </x:c>
      <x:c r="BS259" s="40" t="str">
        <x:f>IF(COUNT(N259:W259)&gt;=8,AVERAGE(N259:W259),"")</x:f>
      </x:c>
      <x:c r="BT259" s="40" t="str">
        <x:f>IF(COUNT(X259:AE259)&gt;=7,AVERAGE(X259:AE259),"")</x:f>
      </x:c>
      <x:c r="BU259" s="40" t="str">
        <x:f>IF(COUNT(AF259:AM259)&gt;=7,AVERAGE(AF259:AM259),"")</x:f>
      </x:c>
      <x:c r="BV259" s="40" t="str">
        <x:f>IF(COUNT(AN259:AV259)&gt;=8,AVERAGE(AN259:AV259),"")</x:f>
      </x:c>
      <x:c r="BW259" s="40" t="str">
        <x:f>IF(COUNT(AW259:BD259)&gt;=7,AVERAGE(AW259:BD259),"")</x:f>
      </x:c>
      <x:c r="BX259" s="40" t="str">
        <x:f>IF(COUNT(BE259:BJ259)&gt;=5,AVERAGE(BE259:BJ259),"")</x:f>
      </x:c>
      <x:c r="BY259" s="40" t="str">
        <x:f>IF(COUNT(BK259:BR259)&gt;=7,AVERAGE(BK259:BR259),"")</x:f>
      </x:c>
    </x:row>
    <x:row r="260">
      <x:c r="A260" t="str">
        <x:v>R259</x:v>
      </x:c>
      <x:c r="BS260" s="40" t="str">
        <x:f>IF(COUNT(N260:W260)&gt;=8,AVERAGE(N260:W260),"")</x:f>
      </x:c>
      <x:c r="BT260" s="40" t="str">
        <x:f>IF(COUNT(X260:AE260)&gt;=7,AVERAGE(X260:AE260),"")</x:f>
      </x:c>
      <x:c r="BU260" s="40" t="str">
        <x:f>IF(COUNT(AF260:AM260)&gt;=7,AVERAGE(AF260:AM260),"")</x:f>
      </x:c>
      <x:c r="BV260" s="40" t="str">
        <x:f>IF(COUNT(AN260:AV260)&gt;=8,AVERAGE(AN260:AV260),"")</x:f>
      </x:c>
      <x:c r="BW260" s="40" t="str">
        <x:f>IF(COUNT(AW260:BD260)&gt;=7,AVERAGE(AW260:BD260),"")</x:f>
      </x:c>
      <x:c r="BX260" s="40" t="str">
        <x:f>IF(COUNT(BE260:BJ260)&gt;=5,AVERAGE(BE260:BJ260),"")</x:f>
      </x:c>
      <x:c r="BY260" s="40" t="str">
        <x:f>IF(COUNT(BK260:BR260)&gt;=7,AVERAGE(BK260:BR260),"")</x:f>
      </x:c>
    </x:row>
    <x:row r="261">
      <x:c r="A261" t="str">
        <x:v>R260</x:v>
      </x:c>
      <x:c r="BS261" s="40" t="str">
        <x:f>IF(COUNT(N261:W261)&gt;=8,AVERAGE(N261:W261),"")</x:f>
      </x:c>
      <x:c r="BT261" s="40" t="str">
        <x:f>IF(COUNT(X261:AE261)&gt;=7,AVERAGE(X261:AE261),"")</x:f>
      </x:c>
      <x:c r="BU261" s="40" t="str">
        <x:f>IF(COUNT(AF261:AM261)&gt;=7,AVERAGE(AF261:AM261),"")</x:f>
      </x:c>
      <x:c r="BV261" s="40" t="str">
        <x:f>IF(COUNT(AN261:AV261)&gt;=8,AVERAGE(AN261:AV261),"")</x:f>
      </x:c>
      <x:c r="BW261" s="40" t="str">
        <x:f>IF(COUNT(AW261:BD261)&gt;=7,AVERAGE(AW261:BD261),"")</x:f>
      </x:c>
      <x:c r="BX261" s="40" t="str">
        <x:f>IF(COUNT(BE261:BJ261)&gt;=5,AVERAGE(BE261:BJ261),"")</x:f>
      </x:c>
      <x:c r="BY261" s="40" t="str">
        <x:f>IF(COUNT(BK261:BR261)&gt;=7,AVERAGE(BK261:BR261),"")</x:f>
      </x:c>
    </x:row>
    <x:row r="262">
      <x:c r="A262" t="str">
        <x:v>R261</x:v>
      </x:c>
      <x:c r="BS262" s="40" t="str">
        <x:f>IF(COUNT(N262:W262)&gt;=8,AVERAGE(N262:W262),"")</x:f>
      </x:c>
      <x:c r="BT262" s="40" t="str">
        <x:f>IF(COUNT(X262:AE262)&gt;=7,AVERAGE(X262:AE262),"")</x:f>
      </x:c>
      <x:c r="BU262" s="40" t="str">
        <x:f>IF(COUNT(AF262:AM262)&gt;=7,AVERAGE(AF262:AM262),"")</x:f>
      </x:c>
      <x:c r="BV262" s="40" t="str">
        <x:f>IF(COUNT(AN262:AV262)&gt;=8,AVERAGE(AN262:AV262),"")</x:f>
      </x:c>
      <x:c r="BW262" s="40" t="str">
        <x:f>IF(COUNT(AW262:BD262)&gt;=7,AVERAGE(AW262:BD262),"")</x:f>
      </x:c>
      <x:c r="BX262" s="40" t="str">
        <x:f>IF(COUNT(BE262:BJ262)&gt;=5,AVERAGE(BE262:BJ262),"")</x:f>
      </x:c>
      <x:c r="BY262" s="40" t="str">
        <x:f>IF(COUNT(BK262:BR262)&gt;=7,AVERAGE(BK262:BR262),"")</x:f>
      </x:c>
    </x:row>
    <x:row r="263">
      <x:c r="A263" t="str">
        <x:v>R262</x:v>
      </x:c>
      <x:c r="BS263" s="40" t="str">
        <x:f>IF(COUNT(N263:W263)&gt;=8,AVERAGE(N263:W263),"")</x:f>
      </x:c>
      <x:c r="BT263" s="40" t="str">
        <x:f>IF(COUNT(X263:AE263)&gt;=7,AVERAGE(X263:AE263),"")</x:f>
      </x:c>
      <x:c r="BU263" s="40" t="str">
        <x:f>IF(COUNT(AF263:AM263)&gt;=7,AVERAGE(AF263:AM263),"")</x:f>
      </x:c>
      <x:c r="BV263" s="40" t="str">
        <x:f>IF(COUNT(AN263:AV263)&gt;=8,AVERAGE(AN263:AV263),"")</x:f>
      </x:c>
      <x:c r="BW263" s="40" t="str">
        <x:f>IF(COUNT(AW263:BD263)&gt;=7,AVERAGE(AW263:BD263),"")</x:f>
      </x:c>
      <x:c r="BX263" s="40" t="str">
        <x:f>IF(COUNT(BE263:BJ263)&gt;=5,AVERAGE(BE263:BJ263),"")</x:f>
      </x:c>
      <x:c r="BY263" s="40" t="str">
        <x:f>IF(COUNT(BK263:BR263)&gt;=7,AVERAGE(BK263:BR263),"")</x:f>
      </x:c>
    </x:row>
    <x:row r="264">
      <x:c r="A264" t="str">
        <x:v>R263</x:v>
      </x:c>
      <x:c r="BS264" s="40" t="str">
        <x:f>IF(COUNT(N264:W264)&gt;=8,AVERAGE(N264:W264),"")</x:f>
      </x:c>
      <x:c r="BT264" s="40" t="str">
        <x:f>IF(COUNT(X264:AE264)&gt;=7,AVERAGE(X264:AE264),"")</x:f>
      </x:c>
      <x:c r="BU264" s="40" t="str">
        <x:f>IF(COUNT(AF264:AM264)&gt;=7,AVERAGE(AF264:AM264),"")</x:f>
      </x:c>
      <x:c r="BV264" s="40" t="str">
        <x:f>IF(COUNT(AN264:AV264)&gt;=8,AVERAGE(AN264:AV264),"")</x:f>
      </x:c>
      <x:c r="BW264" s="40" t="str">
        <x:f>IF(COUNT(AW264:BD264)&gt;=7,AVERAGE(AW264:BD264),"")</x:f>
      </x:c>
      <x:c r="BX264" s="40" t="str">
        <x:f>IF(COUNT(BE264:BJ264)&gt;=5,AVERAGE(BE264:BJ264),"")</x:f>
      </x:c>
      <x:c r="BY264" s="40" t="str">
        <x:f>IF(COUNT(BK264:BR264)&gt;=7,AVERAGE(BK264:BR264),"")</x:f>
      </x:c>
    </x:row>
    <x:row r="265">
      <x:c r="A265" t="str">
        <x:v>R264</x:v>
      </x:c>
      <x:c r="BS265" s="40" t="str">
        <x:f>IF(COUNT(N265:W265)&gt;=8,AVERAGE(N265:W265),"")</x:f>
      </x:c>
      <x:c r="BT265" s="40" t="str">
        <x:f>IF(COUNT(X265:AE265)&gt;=7,AVERAGE(X265:AE265),"")</x:f>
      </x:c>
      <x:c r="BU265" s="40" t="str">
        <x:f>IF(COUNT(AF265:AM265)&gt;=7,AVERAGE(AF265:AM265),"")</x:f>
      </x:c>
      <x:c r="BV265" s="40" t="str">
        <x:f>IF(COUNT(AN265:AV265)&gt;=8,AVERAGE(AN265:AV265),"")</x:f>
      </x:c>
      <x:c r="BW265" s="40" t="str">
        <x:f>IF(COUNT(AW265:BD265)&gt;=7,AVERAGE(AW265:BD265),"")</x:f>
      </x:c>
      <x:c r="BX265" s="40" t="str">
        <x:f>IF(COUNT(BE265:BJ265)&gt;=5,AVERAGE(BE265:BJ265),"")</x:f>
      </x:c>
      <x:c r="BY265" s="40" t="str">
        <x:f>IF(COUNT(BK265:BR265)&gt;=7,AVERAGE(BK265:BR265),"")</x:f>
      </x:c>
    </x:row>
    <x:row r="266">
      <x:c r="A266" t="str">
        <x:v>R265</x:v>
      </x:c>
      <x:c r="BS266" s="40" t="str">
        <x:f>IF(COUNT(N266:W266)&gt;=8,AVERAGE(N266:W266),"")</x:f>
      </x:c>
      <x:c r="BT266" s="40" t="str">
        <x:f>IF(COUNT(X266:AE266)&gt;=7,AVERAGE(X266:AE266),"")</x:f>
      </x:c>
      <x:c r="BU266" s="40" t="str">
        <x:f>IF(COUNT(AF266:AM266)&gt;=7,AVERAGE(AF266:AM266),"")</x:f>
      </x:c>
      <x:c r="BV266" s="40" t="str">
        <x:f>IF(COUNT(AN266:AV266)&gt;=8,AVERAGE(AN266:AV266),"")</x:f>
      </x:c>
      <x:c r="BW266" s="40" t="str">
        <x:f>IF(COUNT(AW266:BD266)&gt;=7,AVERAGE(AW266:BD266),"")</x:f>
      </x:c>
      <x:c r="BX266" s="40" t="str">
        <x:f>IF(COUNT(BE266:BJ266)&gt;=5,AVERAGE(BE266:BJ266),"")</x:f>
      </x:c>
      <x:c r="BY266" s="40" t="str">
        <x:f>IF(COUNT(BK266:BR266)&gt;=7,AVERAGE(BK266:BR266),"")</x:f>
      </x:c>
    </x:row>
    <x:row r="267">
      <x:c r="A267" t="str">
        <x:v>R266</x:v>
      </x:c>
      <x:c r="BS267" s="40" t="str">
        <x:f>IF(COUNT(N267:W267)&gt;=8,AVERAGE(N267:W267),"")</x:f>
      </x:c>
      <x:c r="BT267" s="40" t="str">
        <x:f>IF(COUNT(X267:AE267)&gt;=7,AVERAGE(X267:AE267),"")</x:f>
      </x:c>
      <x:c r="BU267" s="40" t="str">
        <x:f>IF(COUNT(AF267:AM267)&gt;=7,AVERAGE(AF267:AM267),"")</x:f>
      </x:c>
      <x:c r="BV267" s="40" t="str">
        <x:f>IF(COUNT(AN267:AV267)&gt;=8,AVERAGE(AN267:AV267),"")</x:f>
      </x:c>
      <x:c r="BW267" s="40" t="str">
        <x:f>IF(COUNT(AW267:BD267)&gt;=7,AVERAGE(AW267:BD267),"")</x:f>
      </x:c>
      <x:c r="BX267" s="40" t="str">
        <x:f>IF(COUNT(BE267:BJ267)&gt;=5,AVERAGE(BE267:BJ267),"")</x:f>
      </x:c>
      <x:c r="BY267" s="40" t="str">
        <x:f>IF(COUNT(BK267:BR267)&gt;=7,AVERAGE(BK267:BR267),"")</x:f>
      </x:c>
    </x:row>
    <x:row r="268">
      <x:c r="A268" t="str">
        <x:v>R267</x:v>
      </x:c>
      <x:c r="BS268" s="40" t="str">
        <x:f>IF(COUNT(N268:W268)&gt;=8,AVERAGE(N268:W268),"")</x:f>
      </x:c>
      <x:c r="BT268" s="40" t="str">
        <x:f>IF(COUNT(X268:AE268)&gt;=7,AVERAGE(X268:AE268),"")</x:f>
      </x:c>
      <x:c r="BU268" s="40" t="str">
        <x:f>IF(COUNT(AF268:AM268)&gt;=7,AVERAGE(AF268:AM268),"")</x:f>
      </x:c>
      <x:c r="BV268" s="40" t="str">
        <x:f>IF(COUNT(AN268:AV268)&gt;=8,AVERAGE(AN268:AV268),"")</x:f>
      </x:c>
      <x:c r="BW268" s="40" t="str">
        <x:f>IF(COUNT(AW268:BD268)&gt;=7,AVERAGE(AW268:BD268),"")</x:f>
      </x:c>
      <x:c r="BX268" s="40" t="str">
        <x:f>IF(COUNT(BE268:BJ268)&gt;=5,AVERAGE(BE268:BJ268),"")</x:f>
      </x:c>
      <x:c r="BY268" s="40" t="str">
        <x:f>IF(COUNT(BK268:BR268)&gt;=7,AVERAGE(BK268:BR268),"")</x:f>
      </x:c>
    </x:row>
    <x:row r="269">
      <x:c r="A269" t="str">
        <x:v>R268</x:v>
      </x:c>
      <x:c r="BS269" s="40" t="str">
        <x:f>IF(COUNT(N269:W269)&gt;=8,AVERAGE(N269:W269),"")</x:f>
      </x:c>
      <x:c r="BT269" s="40" t="str">
        <x:f>IF(COUNT(X269:AE269)&gt;=7,AVERAGE(X269:AE269),"")</x:f>
      </x:c>
      <x:c r="BU269" s="40" t="str">
        <x:f>IF(COUNT(AF269:AM269)&gt;=7,AVERAGE(AF269:AM269),"")</x:f>
      </x:c>
      <x:c r="BV269" s="40" t="str">
        <x:f>IF(COUNT(AN269:AV269)&gt;=8,AVERAGE(AN269:AV269),"")</x:f>
      </x:c>
      <x:c r="BW269" s="40" t="str">
        <x:f>IF(COUNT(AW269:BD269)&gt;=7,AVERAGE(AW269:BD269),"")</x:f>
      </x:c>
      <x:c r="BX269" s="40" t="str">
        <x:f>IF(COUNT(BE269:BJ269)&gt;=5,AVERAGE(BE269:BJ269),"")</x:f>
      </x:c>
      <x:c r="BY269" s="40" t="str">
        <x:f>IF(COUNT(BK269:BR269)&gt;=7,AVERAGE(BK269:BR269),"")</x:f>
      </x:c>
    </x:row>
    <x:row r="270">
      <x:c r="A270" t="str">
        <x:v>R269</x:v>
      </x:c>
      <x:c r="BS270" s="40" t="str">
        <x:f>IF(COUNT(N270:W270)&gt;=8,AVERAGE(N270:W270),"")</x:f>
      </x:c>
      <x:c r="BT270" s="40" t="str">
        <x:f>IF(COUNT(X270:AE270)&gt;=7,AVERAGE(X270:AE270),"")</x:f>
      </x:c>
      <x:c r="BU270" s="40" t="str">
        <x:f>IF(COUNT(AF270:AM270)&gt;=7,AVERAGE(AF270:AM270),"")</x:f>
      </x:c>
      <x:c r="BV270" s="40" t="str">
        <x:f>IF(COUNT(AN270:AV270)&gt;=8,AVERAGE(AN270:AV270),"")</x:f>
      </x:c>
      <x:c r="BW270" s="40" t="str">
        <x:f>IF(COUNT(AW270:BD270)&gt;=7,AVERAGE(AW270:BD270),"")</x:f>
      </x:c>
      <x:c r="BX270" s="40" t="str">
        <x:f>IF(COUNT(BE270:BJ270)&gt;=5,AVERAGE(BE270:BJ270),"")</x:f>
      </x:c>
      <x:c r="BY270" s="40" t="str">
        <x:f>IF(COUNT(BK270:BR270)&gt;=7,AVERAGE(BK270:BR270),"")</x:f>
      </x:c>
    </x:row>
    <x:row r="271">
      <x:c r="A271" t="str">
        <x:v>R270</x:v>
      </x:c>
      <x:c r="BS271" s="40" t="str">
        <x:f>IF(COUNT(N271:W271)&gt;=8,AVERAGE(N271:W271),"")</x:f>
      </x:c>
      <x:c r="BT271" s="40" t="str">
        <x:f>IF(COUNT(X271:AE271)&gt;=7,AVERAGE(X271:AE271),"")</x:f>
      </x:c>
      <x:c r="BU271" s="40" t="str">
        <x:f>IF(COUNT(AF271:AM271)&gt;=7,AVERAGE(AF271:AM271),"")</x:f>
      </x:c>
      <x:c r="BV271" s="40" t="str">
        <x:f>IF(COUNT(AN271:AV271)&gt;=8,AVERAGE(AN271:AV271),"")</x:f>
      </x:c>
      <x:c r="BW271" s="40" t="str">
        <x:f>IF(COUNT(AW271:BD271)&gt;=7,AVERAGE(AW271:BD271),"")</x:f>
      </x:c>
      <x:c r="BX271" s="40" t="str">
        <x:f>IF(COUNT(BE271:BJ271)&gt;=5,AVERAGE(BE271:BJ271),"")</x:f>
      </x:c>
      <x:c r="BY271" s="40" t="str">
        <x:f>IF(COUNT(BK271:BR271)&gt;=7,AVERAGE(BK271:BR271),"")</x:f>
      </x:c>
    </x:row>
    <x:row r="272">
      <x:c r="A272" t="str">
        <x:v>R271</x:v>
      </x:c>
      <x:c r="BS272" s="40" t="str">
        <x:f>IF(COUNT(N272:W272)&gt;=8,AVERAGE(N272:W272),"")</x:f>
      </x:c>
      <x:c r="BT272" s="40" t="str">
        <x:f>IF(COUNT(X272:AE272)&gt;=7,AVERAGE(X272:AE272),"")</x:f>
      </x:c>
      <x:c r="BU272" s="40" t="str">
        <x:f>IF(COUNT(AF272:AM272)&gt;=7,AVERAGE(AF272:AM272),"")</x:f>
      </x:c>
      <x:c r="BV272" s="40" t="str">
        <x:f>IF(COUNT(AN272:AV272)&gt;=8,AVERAGE(AN272:AV272),"")</x:f>
      </x:c>
      <x:c r="BW272" s="40" t="str">
        <x:f>IF(COUNT(AW272:BD272)&gt;=7,AVERAGE(AW272:BD272),"")</x:f>
      </x:c>
      <x:c r="BX272" s="40" t="str">
        <x:f>IF(COUNT(BE272:BJ272)&gt;=5,AVERAGE(BE272:BJ272),"")</x:f>
      </x:c>
      <x:c r="BY272" s="40" t="str">
        <x:f>IF(COUNT(BK272:BR272)&gt;=7,AVERAGE(BK272:BR272),"")</x:f>
      </x:c>
    </x:row>
    <x:row r="273">
      <x:c r="A273" t="str">
        <x:v>R272</x:v>
      </x:c>
      <x:c r="BS273" s="40" t="str">
        <x:f>IF(COUNT(N273:W273)&gt;=8,AVERAGE(N273:W273),"")</x:f>
      </x:c>
      <x:c r="BT273" s="40" t="str">
        <x:f>IF(COUNT(X273:AE273)&gt;=7,AVERAGE(X273:AE273),"")</x:f>
      </x:c>
      <x:c r="BU273" s="40" t="str">
        <x:f>IF(COUNT(AF273:AM273)&gt;=7,AVERAGE(AF273:AM273),"")</x:f>
      </x:c>
      <x:c r="BV273" s="40" t="str">
        <x:f>IF(COUNT(AN273:AV273)&gt;=8,AVERAGE(AN273:AV273),"")</x:f>
      </x:c>
      <x:c r="BW273" s="40" t="str">
        <x:f>IF(COUNT(AW273:BD273)&gt;=7,AVERAGE(AW273:BD273),"")</x:f>
      </x:c>
      <x:c r="BX273" s="40" t="str">
        <x:f>IF(COUNT(BE273:BJ273)&gt;=5,AVERAGE(BE273:BJ273),"")</x:f>
      </x:c>
      <x:c r="BY273" s="40" t="str">
        <x:f>IF(COUNT(BK273:BR273)&gt;=7,AVERAGE(BK273:BR273),"")</x:f>
      </x:c>
    </x:row>
    <x:row r="274">
      <x:c r="A274" t="str">
        <x:v>R273</x:v>
      </x:c>
      <x:c r="BS274" s="40" t="str">
        <x:f>IF(COUNT(N274:W274)&gt;=8,AVERAGE(N274:W274),"")</x:f>
      </x:c>
      <x:c r="BT274" s="40" t="str">
        <x:f>IF(COUNT(X274:AE274)&gt;=7,AVERAGE(X274:AE274),"")</x:f>
      </x:c>
      <x:c r="BU274" s="40" t="str">
        <x:f>IF(COUNT(AF274:AM274)&gt;=7,AVERAGE(AF274:AM274),"")</x:f>
      </x:c>
      <x:c r="BV274" s="40" t="str">
        <x:f>IF(COUNT(AN274:AV274)&gt;=8,AVERAGE(AN274:AV274),"")</x:f>
      </x:c>
      <x:c r="BW274" s="40" t="str">
        <x:f>IF(COUNT(AW274:BD274)&gt;=7,AVERAGE(AW274:BD274),"")</x:f>
      </x:c>
      <x:c r="BX274" s="40" t="str">
        <x:f>IF(COUNT(BE274:BJ274)&gt;=5,AVERAGE(BE274:BJ274),"")</x:f>
      </x:c>
      <x:c r="BY274" s="40" t="str">
        <x:f>IF(COUNT(BK274:BR274)&gt;=7,AVERAGE(BK274:BR274),"")</x:f>
      </x:c>
    </x:row>
    <x:row r="275">
      <x:c r="A275" t="str">
        <x:v>R274</x:v>
      </x:c>
      <x:c r="BS275" s="40" t="str">
        <x:f>IF(COUNT(N275:W275)&gt;=8,AVERAGE(N275:W275),"")</x:f>
      </x:c>
      <x:c r="BT275" s="40" t="str">
        <x:f>IF(COUNT(X275:AE275)&gt;=7,AVERAGE(X275:AE275),"")</x:f>
      </x:c>
      <x:c r="BU275" s="40" t="str">
        <x:f>IF(COUNT(AF275:AM275)&gt;=7,AVERAGE(AF275:AM275),"")</x:f>
      </x:c>
      <x:c r="BV275" s="40" t="str">
        <x:f>IF(COUNT(AN275:AV275)&gt;=8,AVERAGE(AN275:AV275),"")</x:f>
      </x:c>
      <x:c r="BW275" s="40" t="str">
        <x:f>IF(COUNT(AW275:BD275)&gt;=7,AVERAGE(AW275:BD275),"")</x:f>
      </x:c>
      <x:c r="BX275" s="40" t="str">
        <x:f>IF(COUNT(BE275:BJ275)&gt;=5,AVERAGE(BE275:BJ275),"")</x:f>
      </x:c>
      <x:c r="BY275" s="40" t="str">
        <x:f>IF(COUNT(BK275:BR275)&gt;=7,AVERAGE(BK275:BR275),"")</x:f>
      </x:c>
    </x:row>
    <x:row r="276">
      <x:c r="A276" t="str">
        <x:v>R275</x:v>
      </x:c>
      <x:c r="BS276" s="40" t="str">
        <x:f>IF(COUNT(N276:W276)&gt;=8,AVERAGE(N276:W276),"")</x:f>
      </x:c>
      <x:c r="BT276" s="40" t="str">
        <x:f>IF(COUNT(X276:AE276)&gt;=7,AVERAGE(X276:AE276),"")</x:f>
      </x:c>
      <x:c r="BU276" s="40" t="str">
        <x:f>IF(COUNT(AF276:AM276)&gt;=7,AVERAGE(AF276:AM276),"")</x:f>
      </x:c>
      <x:c r="BV276" s="40" t="str">
        <x:f>IF(COUNT(AN276:AV276)&gt;=8,AVERAGE(AN276:AV276),"")</x:f>
      </x:c>
      <x:c r="BW276" s="40" t="str">
        <x:f>IF(COUNT(AW276:BD276)&gt;=7,AVERAGE(AW276:BD276),"")</x:f>
      </x:c>
      <x:c r="BX276" s="40" t="str">
        <x:f>IF(COUNT(BE276:BJ276)&gt;=5,AVERAGE(BE276:BJ276),"")</x:f>
      </x:c>
      <x:c r="BY276" s="40" t="str">
        <x:f>IF(COUNT(BK276:BR276)&gt;=7,AVERAGE(BK276:BR276),"")</x:f>
      </x:c>
    </x:row>
    <x:row r="277">
      <x:c r="A277" t="str">
        <x:v>R276</x:v>
      </x:c>
      <x:c r="BS277" s="40" t="str">
        <x:f>IF(COUNT(N277:W277)&gt;=8,AVERAGE(N277:W277),"")</x:f>
      </x:c>
      <x:c r="BT277" s="40" t="str">
        <x:f>IF(COUNT(X277:AE277)&gt;=7,AVERAGE(X277:AE277),"")</x:f>
      </x:c>
      <x:c r="BU277" s="40" t="str">
        <x:f>IF(COUNT(AF277:AM277)&gt;=7,AVERAGE(AF277:AM277),"")</x:f>
      </x:c>
      <x:c r="BV277" s="40" t="str">
        <x:f>IF(COUNT(AN277:AV277)&gt;=8,AVERAGE(AN277:AV277),"")</x:f>
      </x:c>
      <x:c r="BW277" s="40" t="str">
        <x:f>IF(COUNT(AW277:BD277)&gt;=7,AVERAGE(AW277:BD277),"")</x:f>
      </x:c>
      <x:c r="BX277" s="40" t="str">
        <x:f>IF(COUNT(BE277:BJ277)&gt;=5,AVERAGE(BE277:BJ277),"")</x:f>
      </x:c>
      <x:c r="BY277" s="40" t="str">
        <x:f>IF(COUNT(BK277:BR277)&gt;=7,AVERAGE(BK277:BR277),"")</x:f>
      </x:c>
    </x:row>
    <x:row r="278">
      <x:c r="A278" t="str">
        <x:v>R277</x:v>
      </x:c>
      <x:c r="BS278" s="40" t="str">
        <x:f>IF(COUNT(N278:W278)&gt;=8,AVERAGE(N278:W278),"")</x:f>
      </x:c>
      <x:c r="BT278" s="40" t="str">
        <x:f>IF(COUNT(X278:AE278)&gt;=7,AVERAGE(X278:AE278),"")</x:f>
      </x:c>
      <x:c r="BU278" s="40" t="str">
        <x:f>IF(COUNT(AF278:AM278)&gt;=7,AVERAGE(AF278:AM278),"")</x:f>
      </x:c>
      <x:c r="BV278" s="40" t="str">
        <x:f>IF(COUNT(AN278:AV278)&gt;=8,AVERAGE(AN278:AV278),"")</x:f>
      </x:c>
      <x:c r="BW278" s="40" t="str">
        <x:f>IF(COUNT(AW278:BD278)&gt;=7,AVERAGE(AW278:BD278),"")</x:f>
      </x:c>
      <x:c r="BX278" s="40" t="str">
        <x:f>IF(COUNT(BE278:BJ278)&gt;=5,AVERAGE(BE278:BJ278),"")</x:f>
      </x:c>
      <x:c r="BY278" s="40" t="str">
        <x:f>IF(COUNT(BK278:BR278)&gt;=7,AVERAGE(BK278:BR278),"")</x:f>
      </x:c>
    </x:row>
    <x:row r="279">
      <x:c r="A279" t="str">
        <x:v>R278</x:v>
      </x:c>
      <x:c r="BS279" s="40" t="str">
        <x:f>IF(COUNT(N279:W279)&gt;=8,AVERAGE(N279:W279),"")</x:f>
      </x:c>
      <x:c r="BT279" s="40" t="str">
        <x:f>IF(COUNT(X279:AE279)&gt;=7,AVERAGE(X279:AE279),"")</x:f>
      </x:c>
      <x:c r="BU279" s="40" t="str">
        <x:f>IF(COUNT(AF279:AM279)&gt;=7,AVERAGE(AF279:AM279),"")</x:f>
      </x:c>
      <x:c r="BV279" s="40" t="str">
        <x:f>IF(COUNT(AN279:AV279)&gt;=8,AVERAGE(AN279:AV279),"")</x:f>
      </x:c>
      <x:c r="BW279" s="40" t="str">
        <x:f>IF(COUNT(AW279:BD279)&gt;=7,AVERAGE(AW279:BD279),"")</x:f>
      </x:c>
      <x:c r="BX279" s="40" t="str">
        <x:f>IF(COUNT(BE279:BJ279)&gt;=5,AVERAGE(BE279:BJ279),"")</x:f>
      </x:c>
      <x:c r="BY279" s="40" t="str">
        <x:f>IF(COUNT(BK279:BR279)&gt;=7,AVERAGE(BK279:BR279),"")</x:f>
      </x:c>
    </x:row>
    <x:row r="280">
      <x:c r="A280" t="str">
        <x:v>R279</x:v>
      </x:c>
      <x:c r="BS280" s="40" t="str">
        <x:f>IF(COUNT(N280:W280)&gt;=8,AVERAGE(N280:W280),"")</x:f>
      </x:c>
      <x:c r="BT280" s="40" t="str">
        <x:f>IF(COUNT(X280:AE280)&gt;=7,AVERAGE(X280:AE280),"")</x:f>
      </x:c>
      <x:c r="BU280" s="40" t="str">
        <x:f>IF(COUNT(AF280:AM280)&gt;=7,AVERAGE(AF280:AM280),"")</x:f>
      </x:c>
      <x:c r="BV280" s="40" t="str">
        <x:f>IF(COUNT(AN280:AV280)&gt;=8,AVERAGE(AN280:AV280),"")</x:f>
      </x:c>
      <x:c r="BW280" s="40" t="str">
        <x:f>IF(COUNT(AW280:BD280)&gt;=7,AVERAGE(AW280:BD280),"")</x:f>
      </x:c>
      <x:c r="BX280" s="40" t="str">
        <x:f>IF(COUNT(BE280:BJ280)&gt;=5,AVERAGE(BE280:BJ280),"")</x:f>
      </x:c>
      <x:c r="BY280" s="40" t="str">
        <x:f>IF(COUNT(BK280:BR280)&gt;=7,AVERAGE(BK280:BR280),"")</x:f>
      </x:c>
    </x:row>
    <x:row r="281">
      <x:c r="A281" t="str">
        <x:v>R280</x:v>
      </x:c>
      <x:c r="BS281" s="40" t="str">
        <x:f>IF(COUNT(N281:W281)&gt;=8,AVERAGE(N281:W281),"")</x:f>
      </x:c>
      <x:c r="BT281" s="40" t="str">
        <x:f>IF(COUNT(X281:AE281)&gt;=7,AVERAGE(X281:AE281),"")</x:f>
      </x:c>
      <x:c r="BU281" s="40" t="str">
        <x:f>IF(COUNT(AF281:AM281)&gt;=7,AVERAGE(AF281:AM281),"")</x:f>
      </x:c>
      <x:c r="BV281" s="40" t="str">
        <x:f>IF(COUNT(AN281:AV281)&gt;=8,AVERAGE(AN281:AV281),"")</x:f>
      </x:c>
      <x:c r="BW281" s="40" t="str">
        <x:f>IF(COUNT(AW281:BD281)&gt;=7,AVERAGE(AW281:BD281),"")</x:f>
      </x:c>
      <x:c r="BX281" s="40" t="str">
        <x:f>IF(COUNT(BE281:BJ281)&gt;=5,AVERAGE(BE281:BJ281),"")</x:f>
      </x:c>
      <x:c r="BY281" s="40" t="str">
        <x:f>IF(COUNT(BK281:BR281)&gt;=7,AVERAGE(BK281:BR281),"")</x:f>
      </x:c>
    </x:row>
    <x:row r="282">
      <x:c r="A282" t="str">
        <x:v>R281</x:v>
      </x:c>
      <x:c r="BS282" s="40" t="str">
        <x:f>IF(COUNT(N282:W282)&gt;=8,AVERAGE(N282:W282),"")</x:f>
      </x:c>
      <x:c r="BT282" s="40" t="str">
        <x:f>IF(COUNT(X282:AE282)&gt;=7,AVERAGE(X282:AE282),"")</x:f>
      </x:c>
      <x:c r="BU282" s="40" t="str">
        <x:f>IF(COUNT(AF282:AM282)&gt;=7,AVERAGE(AF282:AM282),"")</x:f>
      </x:c>
      <x:c r="BV282" s="40" t="str">
        <x:f>IF(COUNT(AN282:AV282)&gt;=8,AVERAGE(AN282:AV282),"")</x:f>
      </x:c>
      <x:c r="BW282" s="40" t="str">
        <x:f>IF(COUNT(AW282:BD282)&gt;=7,AVERAGE(AW282:BD282),"")</x:f>
      </x:c>
      <x:c r="BX282" s="40" t="str">
        <x:f>IF(COUNT(BE282:BJ282)&gt;=5,AVERAGE(BE282:BJ282),"")</x:f>
      </x:c>
      <x:c r="BY282" s="40" t="str">
        <x:f>IF(COUNT(BK282:BR282)&gt;=7,AVERAGE(BK282:BR282),"")</x:f>
      </x:c>
    </x:row>
    <x:row r="283">
      <x:c r="A283" t="str">
        <x:v>R282</x:v>
      </x:c>
      <x:c r="BS283" s="40" t="str">
        <x:f>IF(COUNT(N283:W283)&gt;=8,AVERAGE(N283:W283),"")</x:f>
      </x:c>
      <x:c r="BT283" s="40" t="str">
        <x:f>IF(COUNT(X283:AE283)&gt;=7,AVERAGE(X283:AE283),"")</x:f>
      </x:c>
      <x:c r="BU283" s="40" t="str">
        <x:f>IF(COUNT(AF283:AM283)&gt;=7,AVERAGE(AF283:AM283),"")</x:f>
      </x:c>
      <x:c r="BV283" s="40" t="str">
        <x:f>IF(COUNT(AN283:AV283)&gt;=8,AVERAGE(AN283:AV283),"")</x:f>
      </x:c>
      <x:c r="BW283" s="40" t="str">
        <x:f>IF(COUNT(AW283:BD283)&gt;=7,AVERAGE(AW283:BD283),"")</x:f>
      </x:c>
      <x:c r="BX283" s="40" t="str">
        <x:f>IF(COUNT(BE283:BJ283)&gt;=5,AVERAGE(BE283:BJ283),"")</x:f>
      </x:c>
      <x:c r="BY283" s="40" t="str">
        <x:f>IF(COUNT(BK283:BR283)&gt;=7,AVERAGE(BK283:BR283),"")</x:f>
      </x:c>
    </x:row>
    <x:row r="284">
      <x:c r="A284" t="str">
        <x:v>R283</x:v>
      </x:c>
      <x:c r="BS284" s="40" t="str">
        <x:f>IF(COUNT(N284:W284)&gt;=8,AVERAGE(N284:W284),"")</x:f>
      </x:c>
      <x:c r="BT284" s="40" t="str">
        <x:f>IF(COUNT(X284:AE284)&gt;=7,AVERAGE(X284:AE284),"")</x:f>
      </x:c>
      <x:c r="BU284" s="40" t="str">
        <x:f>IF(COUNT(AF284:AM284)&gt;=7,AVERAGE(AF284:AM284),"")</x:f>
      </x:c>
      <x:c r="BV284" s="40" t="str">
        <x:f>IF(COUNT(AN284:AV284)&gt;=8,AVERAGE(AN284:AV284),"")</x:f>
      </x:c>
      <x:c r="BW284" s="40" t="str">
        <x:f>IF(COUNT(AW284:BD284)&gt;=7,AVERAGE(AW284:BD284),"")</x:f>
      </x:c>
      <x:c r="BX284" s="40" t="str">
        <x:f>IF(COUNT(BE284:BJ284)&gt;=5,AVERAGE(BE284:BJ284),"")</x:f>
      </x:c>
      <x:c r="BY284" s="40" t="str">
        <x:f>IF(COUNT(BK284:BR284)&gt;=7,AVERAGE(BK284:BR284),"")</x:f>
      </x:c>
    </x:row>
    <x:row r="285">
      <x:c r="A285" t="str">
        <x:v>R284</x:v>
      </x:c>
      <x:c r="BS285" s="40" t="str">
        <x:f>IF(COUNT(N285:W285)&gt;=8,AVERAGE(N285:W285),"")</x:f>
      </x:c>
      <x:c r="BT285" s="40" t="str">
        <x:f>IF(COUNT(X285:AE285)&gt;=7,AVERAGE(X285:AE285),"")</x:f>
      </x:c>
      <x:c r="BU285" s="40" t="str">
        <x:f>IF(COUNT(AF285:AM285)&gt;=7,AVERAGE(AF285:AM285),"")</x:f>
      </x:c>
      <x:c r="BV285" s="40" t="str">
        <x:f>IF(COUNT(AN285:AV285)&gt;=8,AVERAGE(AN285:AV285),"")</x:f>
      </x:c>
      <x:c r="BW285" s="40" t="str">
        <x:f>IF(COUNT(AW285:BD285)&gt;=7,AVERAGE(AW285:BD285),"")</x:f>
      </x:c>
      <x:c r="BX285" s="40" t="str">
        <x:f>IF(COUNT(BE285:BJ285)&gt;=5,AVERAGE(BE285:BJ285),"")</x:f>
      </x:c>
      <x:c r="BY285" s="40" t="str">
        <x:f>IF(COUNT(BK285:BR285)&gt;=7,AVERAGE(BK285:BR285),"")</x:f>
      </x:c>
    </x:row>
    <x:row r="286">
      <x:c r="A286" t="str">
        <x:v>R285</x:v>
      </x:c>
      <x:c r="BS286" s="40" t="str">
        <x:f>IF(COUNT(N286:W286)&gt;=8,AVERAGE(N286:W286),"")</x:f>
      </x:c>
      <x:c r="BT286" s="40" t="str">
        <x:f>IF(COUNT(X286:AE286)&gt;=7,AVERAGE(X286:AE286),"")</x:f>
      </x:c>
      <x:c r="BU286" s="40" t="str">
        <x:f>IF(COUNT(AF286:AM286)&gt;=7,AVERAGE(AF286:AM286),"")</x:f>
      </x:c>
      <x:c r="BV286" s="40" t="str">
        <x:f>IF(COUNT(AN286:AV286)&gt;=8,AVERAGE(AN286:AV286),"")</x:f>
      </x:c>
      <x:c r="BW286" s="40" t="str">
        <x:f>IF(COUNT(AW286:BD286)&gt;=7,AVERAGE(AW286:BD286),"")</x:f>
      </x:c>
      <x:c r="BX286" s="40" t="str">
        <x:f>IF(COUNT(BE286:BJ286)&gt;=5,AVERAGE(BE286:BJ286),"")</x:f>
      </x:c>
      <x:c r="BY286" s="40" t="str">
        <x:f>IF(COUNT(BK286:BR286)&gt;=7,AVERAGE(BK286:BR286),"")</x:f>
      </x:c>
    </x:row>
    <x:row r="287">
      <x:c r="A287" t="str">
        <x:v>R286</x:v>
      </x:c>
      <x:c r="BS287" s="40" t="str">
        <x:f>IF(COUNT(N287:W287)&gt;=8,AVERAGE(N287:W287),"")</x:f>
      </x:c>
      <x:c r="BT287" s="40" t="str">
        <x:f>IF(COUNT(X287:AE287)&gt;=7,AVERAGE(X287:AE287),"")</x:f>
      </x:c>
      <x:c r="BU287" s="40" t="str">
        <x:f>IF(COUNT(AF287:AM287)&gt;=7,AVERAGE(AF287:AM287),"")</x:f>
      </x:c>
      <x:c r="BV287" s="40" t="str">
        <x:f>IF(COUNT(AN287:AV287)&gt;=8,AVERAGE(AN287:AV287),"")</x:f>
      </x:c>
      <x:c r="BW287" s="40" t="str">
        <x:f>IF(COUNT(AW287:BD287)&gt;=7,AVERAGE(AW287:BD287),"")</x:f>
      </x:c>
      <x:c r="BX287" s="40" t="str">
        <x:f>IF(COUNT(BE287:BJ287)&gt;=5,AVERAGE(BE287:BJ287),"")</x:f>
      </x:c>
      <x:c r="BY287" s="40" t="str">
        <x:f>IF(COUNT(BK287:BR287)&gt;=7,AVERAGE(BK287:BR287),"")</x:f>
      </x:c>
    </x:row>
    <x:row r="288">
      <x:c r="A288" t="str">
        <x:v>R287</x:v>
      </x:c>
      <x:c r="BS288" s="40" t="str">
        <x:f>IF(COUNT(N288:W288)&gt;=8,AVERAGE(N288:W288),"")</x:f>
      </x:c>
      <x:c r="BT288" s="40" t="str">
        <x:f>IF(COUNT(X288:AE288)&gt;=7,AVERAGE(X288:AE288),"")</x:f>
      </x:c>
      <x:c r="BU288" s="40" t="str">
        <x:f>IF(COUNT(AF288:AM288)&gt;=7,AVERAGE(AF288:AM288),"")</x:f>
      </x:c>
      <x:c r="BV288" s="40" t="str">
        <x:f>IF(COUNT(AN288:AV288)&gt;=8,AVERAGE(AN288:AV288),"")</x:f>
      </x:c>
      <x:c r="BW288" s="40" t="str">
        <x:f>IF(COUNT(AW288:BD288)&gt;=7,AVERAGE(AW288:BD288),"")</x:f>
      </x:c>
      <x:c r="BX288" s="40" t="str">
        <x:f>IF(COUNT(BE288:BJ288)&gt;=5,AVERAGE(BE288:BJ288),"")</x:f>
      </x:c>
      <x:c r="BY288" s="40" t="str">
        <x:f>IF(COUNT(BK288:BR288)&gt;=7,AVERAGE(BK288:BR288),"")</x:f>
      </x:c>
    </x:row>
    <x:row r="289">
      <x:c r="A289" t="str">
        <x:v>R288</x:v>
      </x:c>
      <x:c r="BS289" s="40" t="str">
        <x:f>IF(COUNT(N289:W289)&gt;=8,AVERAGE(N289:W289),"")</x:f>
      </x:c>
      <x:c r="BT289" s="40" t="str">
        <x:f>IF(COUNT(X289:AE289)&gt;=7,AVERAGE(X289:AE289),"")</x:f>
      </x:c>
      <x:c r="BU289" s="40" t="str">
        <x:f>IF(COUNT(AF289:AM289)&gt;=7,AVERAGE(AF289:AM289),"")</x:f>
      </x:c>
      <x:c r="BV289" s="40" t="str">
        <x:f>IF(COUNT(AN289:AV289)&gt;=8,AVERAGE(AN289:AV289),"")</x:f>
      </x:c>
      <x:c r="BW289" s="40" t="str">
        <x:f>IF(COUNT(AW289:BD289)&gt;=7,AVERAGE(AW289:BD289),"")</x:f>
      </x:c>
      <x:c r="BX289" s="40" t="str">
        <x:f>IF(COUNT(BE289:BJ289)&gt;=5,AVERAGE(BE289:BJ289),"")</x:f>
      </x:c>
      <x:c r="BY289" s="40" t="str">
        <x:f>IF(COUNT(BK289:BR289)&gt;=7,AVERAGE(BK289:BR289),"")</x:f>
      </x:c>
    </x:row>
    <x:row r="290">
      <x:c r="A290" t="str">
        <x:v>R289</x:v>
      </x:c>
      <x:c r="BS290" s="40" t="str">
        <x:f>IF(COUNT(N290:W290)&gt;=8,AVERAGE(N290:W290),"")</x:f>
      </x:c>
      <x:c r="BT290" s="40" t="str">
        <x:f>IF(COUNT(X290:AE290)&gt;=7,AVERAGE(X290:AE290),"")</x:f>
      </x:c>
      <x:c r="BU290" s="40" t="str">
        <x:f>IF(COUNT(AF290:AM290)&gt;=7,AVERAGE(AF290:AM290),"")</x:f>
      </x:c>
      <x:c r="BV290" s="40" t="str">
        <x:f>IF(COUNT(AN290:AV290)&gt;=8,AVERAGE(AN290:AV290),"")</x:f>
      </x:c>
      <x:c r="BW290" s="40" t="str">
        <x:f>IF(COUNT(AW290:BD290)&gt;=7,AVERAGE(AW290:BD290),"")</x:f>
      </x:c>
      <x:c r="BX290" s="40" t="str">
        <x:f>IF(COUNT(BE290:BJ290)&gt;=5,AVERAGE(BE290:BJ290),"")</x:f>
      </x:c>
      <x:c r="BY290" s="40" t="str">
        <x:f>IF(COUNT(BK290:BR290)&gt;=7,AVERAGE(BK290:BR290),"")</x:f>
      </x:c>
    </x:row>
    <x:row r="291">
      <x:c r="A291" t="str">
        <x:v>R290</x:v>
      </x:c>
      <x:c r="BS291" s="40" t="str">
        <x:f>IF(COUNT(N291:W291)&gt;=8,AVERAGE(N291:W291),"")</x:f>
      </x:c>
      <x:c r="BT291" s="40" t="str">
        <x:f>IF(COUNT(X291:AE291)&gt;=7,AVERAGE(X291:AE291),"")</x:f>
      </x:c>
      <x:c r="BU291" s="40" t="str">
        <x:f>IF(COUNT(AF291:AM291)&gt;=7,AVERAGE(AF291:AM291),"")</x:f>
      </x:c>
      <x:c r="BV291" s="40" t="str">
        <x:f>IF(COUNT(AN291:AV291)&gt;=8,AVERAGE(AN291:AV291),"")</x:f>
      </x:c>
      <x:c r="BW291" s="40" t="str">
        <x:f>IF(COUNT(AW291:BD291)&gt;=7,AVERAGE(AW291:BD291),"")</x:f>
      </x:c>
      <x:c r="BX291" s="40" t="str">
        <x:f>IF(COUNT(BE291:BJ291)&gt;=5,AVERAGE(BE291:BJ291),"")</x:f>
      </x:c>
      <x:c r="BY291" s="40" t="str">
        <x:f>IF(COUNT(BK291:BR291)&gt;=7,AVERAGE(BK291:BR291),"")</x:f>
      </x:c>
    </x:row>
    <x:row r="292">
      <x:c r="A292" t="str">
        <x:v>R291</x:v>
      </x:c>
      <x:c r="BS292" s="40" t="str">
        <x:f>IF(COUNT(N292:W292)&gt;=8,AVERAGE(N292:W292),"")</x:f>
      </x:c>
      <x:c r="BT292" s="40" t="str">
        <x:f>IF(COUNT(X292:AE292)&gt;=7,AVERAGE(X292:AE292),"")</x:f>
      </x:c>
      <x:c r="BU292" s="40" t="str">
        <x:f>IF(COUNT(AF292:AM292)&gt;=7,AVERAGE(AF292:AM292),"")</x:f>
      </x:c>
      <x:c r="BV292" s="40" t="str">
        <x:f>IF(COUNT(AN292:AV292)&gt;=8,AVERAGE(AN292:AV292),"")</x:f>
      </x:c>
      <x:c r="BW292" s="40" t="str">
        <x:f>IF(COUNT(AW292:BD292)&gt;=7,AVERAGE(AW292:BD292),"")</x:f>
      </x:c>
      <x:c r="BX292" s="40" t="str">
        <x:f>IF(COUNT(BE292:BJ292)&gt;=5,AVERAGE(BE292:BJ292),"")</x:f>
      </x:c>
      <x:c r="BY292" s="40" t="str">
        <x:f>IF(COUNT(BK292:BR292)&gt;=7,AVERAGE(BK292:BR292),"")</x:f>
      </x:c>
    </x:row>
    <x:row r="293">
      <x:c r="A293" t="str">
        <x:v>R292</x:v>
      </x:c>
      <x:c r="BS293" s="40" t="str">
        <x:f>IF(COUNT(N293:W293)&gt;=8,AVERAGE(N293:W293),"")</x:f>
      </x:c>
      <x:c r="BT293" s="40" t="str">
        <x:f>IF(COUNT(X293:AE293)&gt;=7,AVERAGE(X293:AE293),"")</x:f>
      </x:c>
      <x:c r="BU293" s="40" t="str">
        <x:f>IF(COUNT(AF293:AM293)&gt;=7,AVERAGE(AF293:AM293),"")</x:f>
      </x:c>
      <x:c r="BV293" s="40" t="str">
        <x:f>IF(COUNT(AN293:AV293)&gt;=8,AVERAGE(AN293:AV293),"")</x:f>
      </x:c>
      <x:c r="BW293" s="40" t="str">
        <x:f>IF(COUNT(AW293:BD293)&gt;=7,AVERAGE(AW293:BD293),"")</x:f>
      </x:c>
      <x:c r="BX293" s="40" t="str">
        <x:f>IF(COUNT(BE293:BJ293)&gt;=5,AVERAGE(BE293:BJ293),"")</x:f>
      </x:c>
      <x:c r="BY293" s="40" t="str">
        <x:f>IF(COUNT(BK293:BR293)&gt;=7,AVERAGE(BK293:BR293),"")</x:f>
      </x:c>
    </x:row>
    <x:row r="294">
      <x:c r="A294" t="str">
        <x:v>R293</x:v>
      </x:c>
      <x:c r="BS294" s="40" t="str">
        <x:f>IF(COUNT(N294:W294)&gt;=8,AVERAGE(N294:W294),"")</x:f>
      </x:c>
      <x:c r="BT294" s="40" t="str">
        <x:f>IF(COUNT(X294:AE294)&gt;=7,AVERAGE(X294:AE294),"")</x:f>
      </x:c>
      <x:c r="BU294" s="40" t="str">
        <x:f>IF(COUNT(AF294:AM294)&gt;=7,AVERAGE(AF294:AM294),"")</x:f>
      </x:c>
      <x:c r="BV294" s="40" t="str">
        <x:f>IF(COUNT(AN294:AV294)&gt;=8,AVERAGE(AN294:AV294),"")</x:f>
      </x:c>
      <x:c r="BW294" s="40" t="str">
        <x:f>IF(COUNT(AW294:BD294)&gt;=7,AVERAGE(AW294:BD294),"")</x:f>
      </x:c>
      <x:c r="BX294" s="40" t="str">
        <x:f>IF(COUNT(BE294:BJ294)&gt;=5,AVERAGE(BE294:BJ294),"")</x:f>
      </x:c>
      <x:c r="BY294" s="40" t="str">
        <x:f>IF(COUNT(BK294:BR294)&gt;=7,AVERAGE(BK294:BR294),"")</x:f>
      </x:c>
    </x:row>
    <x:row r="295">
      <x:c r="A295" t="str">
        <x:v>R294</x:v>
      </x:c>
      <x:c r="BS295" s="40" t="str">
        <x:f>IF(COUNT(N295:W295)&gt;=8,AVERAGE(N295:W295),"")</x:f>
      </x:c>
      <x:c r="BT295" s="40" t="str">
        <x:f>IF(COUNT(X295:AE295)&gt;=7,AVERAGE(X295:AE295),"")</x:f>
      </x:c>
      <x:c r="BU295" s="40" t="str">
        <x:f>IF(COUNT(AF295:AM295)&gt;=7,AVERAGE(AF295:AM295),"")</x:f>
      </x:c>
      <x:c r="BV295" s="40" t="str">
        <x:f>IF(COUNT(AN295:AV295)&gt;=8,AVERAGE(AN295:AV295),"")</x:f>
      </x:c>
      <x:c r="BW295" s="40" t="str">
        <x:f>IF(COUNT(AW295:BD295)&gt;=7,AVERAGE(AW295:BD295),"")</x:f>
      </x:c>
      <x:c r="BX295" s="40" t="str">
        <x:f>IF(COUNT(BE295:BJ295)&gt;=5,AVERAGE(BE295:BJ295),"")</x:f>
      </x:c>
      <x:c r="BY295" s="40" t="str">
        <x:f>IF(COUNT(BK295:BR295)&gt;=7,AVERAGE(BK295:BR295),"")</x:f>
      </x:c>
    </x:row>
    <x:row r="296">
      <x:c r="A296" t="str">
        <x:v>R295</x:v>
      </x:c>
      <x:c r="BS296" s="40" t="str">
        <x:f>IF(COUNT(N296:W296)&gt;=8,AVERAGE(N296:W296),"")</x:f>
      </x:c>
      <x:c r="BT296" s="40" t="str">
        <x:f>IF(COUNT(X296:AE296)&gt;=7,AVERAGE(X296:AE296),"")</x:f>
      </x:c>
      <x:c r="BU296" s="40" t="str">
        <x:f>IF(COUNT(AF296:AM296)&gt;=7,AVERAGE(AF296:AM296),"")</x:f>
      </x:c>
      <x:c r="BV296" s="40" t="str">
        <x:f>IF(COUNT(AN296:AV296)&gt;=8,AVERAGE(AN296:AV296),"")</x:f>
      </x:c>
      <x:c r="BW296" s="40" t="str">
        <x:f>IF(COUNT(AW296:BD296)&gt;=7,AVERAGE(AW296:BD296),"")</x:f>
      </x:c>
      <x:c r="BX296" s="40" t="str">
        <x:f>IF(COUNT(BE296:BJ296)&gt;=5,AVERAGE(BE296:BJ296),"")</x:f>
      </x:c>
      <x:c r="BY296" s="40" t="str">
        <x:f>IF(COUNT(BK296:BR296)&gt;=7,AVERAGE(BK296:BR296),"")</x:f>
      </x:c>
    </x:row>
    <x:row r="297">
      <x:c r="A297" t="str">
        <x:v>R296</x:v>
      </x:c>
      <x:c r="BS297" s="40" t="str">
        <x:f>IF(COUNT(N297:W297)&gt;=8,AVERAGE(N297:W297),"")</x:f>
      </x:c>
      <x:c r="BT297" s="40" t="str">
        <x:f>IF(COUNT(X297:AE297)&gt;=7,AVERAGE(X297:AE297),"")</x:f>
      </x:c>
      <x:c r="BU297" s="40" t="str">
        <x:f>IF(COUNT(AF297:AM297)&gt;=7,AVERAGE(AF297:AM297),"")</x:f>
      </x:c>
      <x:c r="BV297" s="40" t="str">
        <x:f>IF(COUNT(AN297:AV297)&gt;=8,AVERAGE(AN297:AV297),"")</x:f>
      </x:c>
      <x:c r="BW297" s="40" t="str">
        <x:f>IF(COUNT(AW297:BD297)&gt;=7,AVERAGE(AW297:BD297),"")</x:f>
      </x:c>
      <x:c r="BX297" s="40" t="str">
        <x:f>IF(COUNT(BE297:BJ297)&gt;=5,AVERAGE(BE297:BJ297),"")</x:f>
      </x:c>
      <x:c r="BY297" s="40" t="str">
        <x:f>IF(COUNT(BK297:BR297)&gt;=7,AVERAGE(BK297:BR297),"")</x:f>
      </x:c>
    </x:row>
    <x:row r="298">
      <x:c r="A298" t="str">
        <x:v>R297</x:v>
      </x:c>
      <x:c r="BS298" s="40" t="str">
        <x:f>IF(COUNT(N298:W298)&gt;=8,AVERAGE(N298:W298),"")</x:f>
      </x:c>
      <x:c r="BT298" s="40" t="str">
        <x:f>IF(COUNT(X298:AE298)&gt;=7,AVERAGE(X298:AE298),"")</x:f>
      </x:c>
      <x:c r="BU298" s="40" t="str">
        <x:f>IF(COUNT(AF298:AM298)&gt;=7,AVERAGE(AF298:AM298),"")</x:f>
      </x:c>
      <x:c r="BV298" s="40" t="str">
        <x:f>IF(COUNT(AN298:AV298)&gt;=8,AVERAGE(AN298:AV298),"")</x:f>
      </x:c>
      <x:c r="BW298" s="40" t="str">
        <x:f>IF(COUNT(AW298:BD298)&gt;=7,AVERAGE(AW298:BD298),"")</x:f>
      </x:c>
      <x:c r="BX298" s="40" t="str">
        <x:f>IF(COUNT(BE298:BJ298)&gt;=5,AVERAGE(BE298:BJ298),"")</x:f>
      </x:c>
      <x:c r="BY298" s="40" t="str">
        <x:f>IF(COUNT(BK298:BR298)&gt;=7,AVERAGE(BK298:BR298),"")</x:f>
      </x:c>
    </x:row>
    <x:row r="299">
      <x:c r="A299" t="str">
        <x:v>R298</x:v>
      </x:c>
      <x:c r="BS299" s="40" t="str">
        <x:f>IF(COUNT(N299:W299)&gt;=8,AVERAGE(N299:W299),"")</x:f>
      </x:c>
      <x:c r="BT299" s="40" t="str">
        <x:f>IF(COUNT(X299:AE299)&gt;=7,AVERAGE(X299:AE299),"")</x:f>
      </x:c>
      <x:c r="BU299" s="40" t="str">
        <x:f>IF(COUNT(AF299:AM299)&gt;=7,AVERAGE(AF299:AM299),"")</x:f>
      </x:c>
      <x:c r="BV299" s="40" t="str">
        <x:f>IF(COUNT(AN299:AV299)&gt;=8,AVERAGE(AN299:AV299),"")</x:f>
      </x:c>
      <x:c r="BW299" s="40" t="str">
        <x:f>IF(COUNT(AW299:BD299)&gt;=7,AVERAGE(AW299:BD299),"")</x:f>
      </x:c>
      <x:c r="BX299" s="40" t="str">
        <x:f>IF(COUNT(BE299:BJ299)&gt;=5,AVERAGE(BE299:BJ299),"")</x:f>
      </x:c>
      <x:c r="BY299" s="40" t="str">
        <x:f>IF(COUNT(BK299:BR299)&gt;=7,AVERAGE(BK299:BR299),"")</x:f>
      </x:c>
    </x:row>
    <x:row r="300">
      <x:c r="A300" t="str">
        <x:v>R299</x:v>
      </x:c>
      <x:c r="BS300" s="40" t="str">
        <x:f>IF(COUNT(N300:W300)&gt;=8,AVERAGE(N300:W300),"")</x:f>
      </x:c>
      <x:c r="BT300" s="40" t="str">
        <x:f>IF(COUNT(X300:AE300)&gt;=7,AVERAGE(X300:AE300),"")</x:f>
      </x:c>
      <x:c r="BU300" s="40" t="str">
        <x:f>IF(COUNT(AF300:AM300)&gt;=7,AVERAGE(AF300:AM300),"")</x:f>
      </x:c>
      <x:c r="BV300" s="40" t="str">
        <x:f>IF(COUNT(AN300:AV300)&gt;=8,AVERAGE(AN300:AV300),"")</x:f>
      </x:c>
      <x:c r="BW300" s="40" t="str">
        <x:f>IF(COUNT(AW300:BD300)&gt;=7,AVERAGE(AW300:BD300),"")</x:f>
      </x:c>
      <x:c r="BX300" s="40" t="str">
        <x:f>IF(COUNT(BE300:BJ300)&gt;=5,AVERAGE(BE300:BJ300),"")</x:f>
      </x:c>
      <x:c r="BY300" s="40" t="str">
        <x:f>IF(COUNT(BK300:BR300)&gt;=7,AVERAGE(BK300:BR300),"")</x:f>
      </x:c>
    </x:row>
    <x:row r="301">
      <x:c r="A301" t="str">
        <x:v>R300</x:v>
      </x:c>
      <x:c r="BS301" s="40" t="str">
        <x:f>IF(COUNT(N301:W301)&gt;=8,AVERAGE(N301:W301),"")</x:f>
      </x:c>
      <x:c r="BT301" s="40" t="str">
        <x:f>IF(COUNT(X301:AE301)&gt;=7,AVERAGE(X301:AE301),"")</x:f>
      </x:c>
      <x:c r="BU301" s="40" t="str">
        <x:f>IF(COUNT(AF301:AM301)&gt;=7,AVERAGE(AF301:AM301),"")</x:f>
      </x:c>
      <x:c r="BV301" s="40" t="str">
        <x:f>IF(COUNT(AN301:AV301)&gt;=8,AVERAGE(AN301:AV301),"")</x:f>
      </x:c>
      <x:c r="BW301" s="40" t="str">
        <x:f>IF(COUNT(AW301:BD301)&gt;=7,AVERAGE(AW301:BD301),"")</x:f>
      </x:c>
      <x:c r="BX301" s="40" t="str">
        <x:f>IF(COUNT(BE301:BJ301)&gt;=5,AVERAGE(BE301:BJ301),"")</x:f>
      </x:c>
      <x:c r="BY301" s="40" t="str">
        <x:f>IF(COUNT(BK301:BR301)&gt;=7,AVERAGE(BK301:BR301),"")</x:f>
      </x:c>
    </x:row>
    <x:row r="302">
      <x:c r="A302" t="str">
        <x:v>R301</x:v>
      </x:c>
      <x:c r="BS302" s="40" t="str">
        <x:f>IF(COUNT(N302:W302)&gt;=8,AVERAGE(N302:W302),"")</x:f>
      </x:c>
      <x:c r="BT302" s="40" t="str">
        <x:f>IF(COUNT(X302:AE302)&gt;=7,AVERAGE(X302:AE302),"")</x:f>
      </x:c>
      <x:c r="BU302" s="40" t="str">
        <x:f>IF(COUNT(AF302:AM302)&gt;=7,AVERAGE(AF302:AM302),"")</x:f>
      </x:c>
      <x:c r="BV302" s="40" t="str">
        <x:f>IF(COUNT(AN302:AV302)&gt;=8,AVERAGE(AN302:AV302),"")</x:f>
      </x:c>
      <x:c r="BW302" s="40" t="str">
        <x:f>IF(COUNT(AW302:BD302)&gt;=7,AVERAGE(AW302:BD302),"")</x:f>
      </x:c>
      <x:c r="BX302" s="40" t="str">
        <x:f>IF(COUNT(BE302:BJ302)&gt;=5,AVERAGE(BE302:BJ302),"")</x:f>
      </x:c>
      <x:c r="BY302" s="40" t="str">
        <x:f>IF(COUNT(BK302:BR302)&gt;=7,AVERAGE(BK302:BR302),"")</x:f>
      </x:c>
    </x:row>
    <x:row r="303">
      <x:c r="A303" t="str">
        <x:v>R302</x:v>
      </x:c>
      <x:c r="BS303" s="40" t="str">
        <x:f>IF(COUNT(N303:W303)&gt;=8,AVERAGE(N303:W303),"")</x:f>
      </x:c>
      <x:c r="BT303" s="40" t="str">
        <x:f>IF(COUNT(X303:AE303)&gt;=7,AVERAGE(X303:AE303),"")</x:f>
      </x:c>
      <x:c r="BU303" s="40" t="str">
        <x:f>IF(COUNT(AF303:AM303)&gt;=7,AVERAGE(AF303:AM303),"")</x:f>
      </x:c>
      <x:c r="BV303" s="40" t="str">
        <x:f>IF(COUNT(AN303:AV303)&gt;=8,AVERAGE(AN303:AV303),"")</x:f>
      </x:c>
      <x:c r="BW303" s="40" t="str">
        <x:f>IF(COUNT(AW303:BD303)&gt;=7,AVERAGE(AW303:BD303),"")</x:f>
      </x:c>
      <x:c r="BX303" s="40" t="str">
        <x:f>IF(COUNT(BE303:BJ303)&gt;=5,AVERAGE(BE303:BJ303),"")</x:f>
      </x:c>
      <x:c r="BY303" s="40" t="str">
        <x:f>IF(COUNT(BK303:BR303)&gt;=7,AVERAGE(BK303:BR303),"")</x:f>
      </x:c>
    </x:row>
    <x:row r="304">
      <x:c r="A304" t="str">
        <x:v>R303</x:v>
      </x:c>
      <x:c r="BS304" s="40" t="str">
        <x:f>IF(COUNT(N304:W304)&gt;=8,AVERAGE(N304:W304),"")</x:f>
      </x:c>
      <x:c r="BT304" s="40" t="str">
        <x:f>IF(COUNT(X304:AE304)&gt;=7,AVERAGE(X304:AE304),"")</x:f>
      </x:c>
      <x:c r="BU304" s="40" t="str">
        <x:f>IF(COUNT(AF304:AM304)&gt;=7,AVERAGE(AF304:AM304),"")</x:f>
      </x:c>
      <x:c r="BV304" s="40" t="str">
        <x:f>IF(COUNT(AN304:AV304)&gt;=8,AVERAGE(AN304:AV304),"")</x:f>
      </x:c>
      <x:c r="BW304" s="40" t="str">
        <x:f>IF(COUNT(AW304:BD304)&gt;=7,AVERAGE(AW304:BD304),"")</x:f>
      </x:c>
      <x:c r="BX304" s="40" t="str">
        <x:f>IF(COUNT(BE304:BJ304)&gt;=5,AVERAGE(BE304:BJ304),"")</x:f>
      </x:c>
      <x:c r="BY304" s="40" t="str">
        <x:f>IF(COUNT(BK304:BR304)&gt;=7,AVERAGE(BK304:BR304),"")</x:f>
      </x:c>
    </x:row>
    <x:row r="305">
      <x:c r="A305" t="str">
        <x:v>R304</x:v>
      </x:c>
      <x:c r="BS305" s="40" t="str">
        <x:f>IF(COUNT(N305:W305)&gt;=8,AVERAGE(N305:W305),"")</x:f>
      </x:c>
      <x:c r="BT305" s="40" t="str">
        <x:f>IF(COUNT(X305:AE305)&gt;=7,AVERAGE(X305:AE305),"")</x:f>
      </x:c>
      <x:c r="BU305" s="40" t="str">
        <x:f>IF(COUNT(AF305:AM305)&gt;=7,AVERAGE(AF305:AM305),"")</x:f>
      </x:c>
      <x:c r="BV305" s="40" t="str">
        <x:f>IF(COUNT(AN305:AV305)&gt;=8,AVERAGE(AN305:AV305),"")</x:f>
      </x:c>
      <x:c r="BW305" s="40" t="str">
        <x:f>IF(COUNT(AW305:BD305)&gt;=7,AVERAGE(AW305:BD305),"")</x:f>
      </x:c>
      <x:c r="BX305" s="40" t="str">
        <x:f>IF(COUNT(BE305:BJ305)&gt;=5,AVERAGE(BE305:BJ305),"")</x:f>
      </x:c>
      <x:c r="BY305" s="40" t="str">
        <x:f>IF(COUNT(BK305:BR305)&gt;=7,AVERAGE(BK305:BR305),"")</x:f>
      </x:c>
    </x:row>
    <x:row r="306">
      <x:c r="A306" t="str">
        <x:v>R305</x:v>
      </x:c>
      <x:c r="BS306" s="40" t="str">
        <x:f>IF(COUNT(N306:W306)&gt;=8,AVERAGE(N306:W306),"")</x:f>
      </x:c>
      <x:c r="BT306" s="40" t="str">
        <x:f>IF(COUNT(X306:AE306)&gt;=7,AVERAGE(X306:AE306),"")</x:f>
      </x:c>
      <x:c r="BU306" s="40" t="str">
        <x:f>IF(COUNT(AF306:AM306)&gt;=7,AVERAGE(AF306:AM306),"")</x:f>
      </x:c>
      <x:c r="BV306" s="40" t="str">
        <x:f>IF(COUNT(AN306:AV306)&gt;=8,AVERAGE(AN306:AV306),"")</x:f>
      </x:c>
      <x:c r="BW306" s="40" t="str">
        <x:f>IF(COUNT(AW306:BD306)&gt;=7,AVERAGE(AW306:BD306),"")</x:f>
      </x:c>
      <x:c r="BX306" s="40" t="str">
        <x:f>IF(COUNT(BE306:BJ306)&gt;=5,AVERAGE(BE306:BJ306),"")</x:f>
      </x:c>
      <x:c r="BY306" s="40" t="str">
        <x:f>IF(COUNT(BK306:BR306)&gt;=7,AVERAGE(BK306:BR306),"")</x:f>
      </x:c>
    </x:row>
    <x:row r="307">
      <x:c r="A307" t="str">
        <x:v>R306</x:v>
      </x:c>
      <x:c r="BS307" s="40" t="str">
        <x:f>IF(COUNT(N307:W307)&gt;=8,AVERAGE(N307:W307),"")</x:f>
      </x:c>
      <x:c r="BT307" s="40" t="str">
        <x:f>IF(COUNT(X307:AE307)&gt;=7,AVERAGE(X307:AE307),"")</x:f>
      </x:c>
      <x:c r="BU307" s="40" t="str">
        <x:f>IF(COUNT(AF307:AM307)&gt;=7,AVERAGE(AF307:AM307),"")</x:f>
      </x:c>
      <x:c r="BV307" s="40" t="str">
        <x:f>IF(COUNT(AN307:AV307)&gt;=8,AVERAGE(AN307:AV307),"")</x:f>
      </x:c>
      <x:c r="BW307" s="40" t="str">
        <x:f>IF(COUNT(AW307:BD307)&gt;=7,AVERAGE(AW307:BD307),"")</x:f>
      </x:c>
      <x:c r="BX307" s="40" t="str">
        <x:f>IF(COUNT(BE307:BJ307)&gt;=5,AVERAGE(BE307:BJ307),"")</x:f>
      </x:c>
      <x:c r="BY307" s="40" t="str">
        <x:f>IF(COUNT(BK307:BR307)&gt;=7,AVERAGE(BK307:BR307),"")</x:f>
      </x:c>
    </x:row>
    <x:row r="308">
      <x:c r="A308" t="str">
        <x:v>R307</x:v>
      </x:c>
      <x:c r="BS308" s="40" t="str">
        <x:f>IF(COUNT(N308:W308)&gt;=8,AVERAGE(N308:W308),"")</x:f>
      </x:c>
      <x:c r="BT308" s="40" t="str">
        <x:f>IF(COUNT(X308:AE308)&gt;=7,AVERAGE(X308:AE308),"")</x:f>
      </x:c>
      <x:c r="BU308" s="40" t="str">
        <x:f>IF(COUNT(AF308:AM308)&gt;=7,AVERAGE(AF308:AM308),"")</x:f>
      </x:c>
      <x:c r="BV308" s="40" t="str">
        <x:f>IF(COUNT(AN308:AV308)&gt;=8,AVERAGE(AN308:AV308),"")</x:f>
      </x:c>
      <x:c r="BW308" s="40" t="str">
        <x:f>IF(COUNT(AW308:BD308)&gt;=7,AVERAGE(AW308:BD308),"")</x:f>
      </x:c>
      <x:c r="BX308" s="40" t="str">
        <x:f>IF(COUNT(BE308:BJ308)&gt;=5,AVERAGE(BE308:BJ308),"")</x:f>
      </x:c>
      <x:c r="BY308" s="40" t="str">
        <x:f>IF(COUNT(BK308:BR308)&gt;=7,AVERAGE(BK308:BR308),"")</x:f>
      </x:c>
    </x:row>
    <x:row r="309">
      <x:c r="A309" t="str">
        <x:v>R308</x:v>
      </x:c>
      <x:c r="BS309" s="40" t="str">
        <x:f>IF(COUNT(N309:W309)&gt;=8,AVERAGE(N309:W309),"")</x:f>
      </x:c>
      <x:c r="BT309" s="40" t="str">
        <x:f>IF(COUNT(X309:AE309)&gt;=7,AVERAGE(X309:AE309),"")</x:f>
      </x:c>
      <x:c r="BU309" s="40" t="str">
        <x:f>IF(COUNT(AF309:AM309)&gt;=7,AVERAGE(AF309:AM309),"")</x:f>
      </x:c>
      <x:c r="BV309" s="40" t="str">
        <x:f>IF(COUNT(AN309:AV309)&gt;=8,AVERAGE(AN309:AV309),"")</x:f>
      </x:c>
      <x:c r="BW309" s="40" t="str">
        <x:f>IF(COUNT(AW309:BD309)&gt;=7,AVERAGE(AW309:BD309),"")</x:f>
      </x:c>
      <x:c r="BX309" s="40" t="str">
        <x:f>IF(COUNT(BE309:BJ309)&gt;=5,AVERAGE(BE309:BJ309),"")</x:f>
      </x:c>
      <x:c r="BY309" s="40" t="str">
        <x:f>IF(COUNT(BK309:BR309)&gt;=7,AVERAGE(BK309:BR309),"")</x:f>
      </x:c>
    </x:row>
    <x:row r="310">
      <x:c r="A310" t="str">
        <x:v>R309</x:v>
      </x:c>
      <x:c r="BS310" s="40" t="str">
        <x:f>IF(COUNT(N310:W310)&gt;=8,AVERAGE(N310:W310),"")</x:f>
      </x:c>
      <x:c r="BT310" s="40" t="str">
        <x:f>IF(COUNT(X310:AE310)&gt;=7,AVERAGE(X310:AE310),"")</x:f>
      </x:c>
      <x:c r="BU310" s="40" t="str">
        <x:f>IF(COUNT(AF310:AM310)&gt;=7,AVERAGE(AF310:AM310),"")</x:f>
      </x:c>
      <x:c r="BV310" s="40" t="str">
        <x:f>IF(COUNT(AN310:AV310)&gt;=8,AVERAGE(AN310:AV310),"")</x:f>
      </x:c>
      <x:c r="BW310" s="40" t="str">
        <x:f>IF(COUNT(AW310:BD310)&gt;=7,AVERAGE(AW310:BD310),"")</x:f>
      </x:c>
      <x:c r="BX310" s="40" t="str">
        <x:f>IF(COUNT(BE310:BJ310)&gt;=5,AVERAGE(BE310:BJ310),"")</x:f>
      </x:c>
      <x:c r="BY310" s="40" t="str">
        <x:f>IF(COUNT(BK310:BR310)&gt;=7,AVERAGE(BK310:BR310),"")</x:f>
      </x:c>
    </x:row>
    <x:row r="311">
      <x:c r="A311" t="str">
        <x:v>R310</x:v>
      </x:c>
      <x:c r="BS311" s="40" t="str">
        <x:f>IF(COUNT(N311:W311)&gt;=8,AVERAGE(N311:W311),"")</x:f>
      </x:c>
      <x:c r="BT311" s="40" t="str">
        <x:f>IF(COUNT(X311:AE311)&gt;=7,AVERAGE(X311:AE311),"")</x:f>
      </x:c>
      <x:c r="BU311" s="40" t="str">
        <x:f>IF(COUNT(AF311:AM311)&gt;=7,AVERAGE(AF311:AM311),"")</x:f>
      </x:c>
      <x:c r="BV311" s="40" t="str">
        <x:f>IF(COUNT(AN311:AV311)&gt;=8,AVERAGE(AN311:AV311),"")</x:f>
      </x:c>
      <x:c r="BW311" s="40" t="str">
        <x:f>IF(COUNT(AW311:BD311)&gt;=7,AVERAGE(AW311:BD311),"")</x:f>
      </x:c>
      <x:c r="BX311" s="40" t="str">
        <x:f>IF(COUNT(BE311:BJ311)&gt;=5,AVERAGE(BE311:BJ311),"")</x:f>
      </x:c>
      <x:c r="BY311" s="40" t="str">
        <x:f>IF(COUNT(BK311:BR311)&gt;=7,AVERAGE(BK311:BR311),"")</x:f>
      </x:c>
    </x:row>
    <x:row r="312">
      <x:c r="A312" t="str">
        <x:v>R311</x:v>
      </x:c>
      <x:c r="BS312" s="40" t="str">
        <x:f>IF(COUNT(N312:W312)&gt;=8,AVERAGE(N312:W312),"")</x:f>
      </x:c>
      <x:c r="BT312" s="40" t="str">
        <x:f>IF(COUNT(X312:AE312)&gt;=7,AVERAGE(X312:AE312),"")</x:f>
      </x:c>
      <x:c r="BU312" s="40" t="str">
        <x:f>IF(COUNT(AF312:AM312)&gt;=7,AVERAGE(AF312:AM312),"")</x:f>
      </x:c>
      <x:c r="BV312" s="40" t="str">
        <x:f>IF(COUNT(AN312:AV312)&gt;=8,AVERAGE(AN312:AV312),"")</x:f>
      </x:c>
      <x:c r="BW312" s="40" t="str">
        <x:f>IF(COUNT(AW312:BD312)&gt;=7,AVERAGE(AW312:BD312),"")</x:f>
      </x:c>
      <x:c r="BX312" s="40" t="str">
        <x:f>IF(COUNT(BE312:BJ312)&gt;=5,AVERAGE(BE312:BJ312),"")</x:f>
      </x:c>
      <x:c r="BY312" s="40" t="str">
        <x:f>IF(COUNT(BK312:BR312)&gt;=7,AVERAGE(BK312:BR312),"")</x:f>
      </x:c>
    </x:row>
    <x:row r="313">
      <x:c r="A313" t="str">
        <x:v>R312</x:v>
      </x:c>
      <x:c r="BS313" s="40" t="str">
        <x:f>IF(COUNT(N313:W313)&gt;=8,AVERAGE(N313:W313),"")</x:f>
      </x:c>
      <x:c r="BT313" s="40" t="str">
        <x:f>IF(COUNT(X313:AE313)&gt;=7,AVERAGE(X313:AE313),"")</x:f>
      </x:c>
      <x:c r="BU313" s="40" t="str">
        <x:f>IF(COUNT(AF313:AM313)&gt;=7,AVERAGE(AF313:AM313),"")</x:f>
      </x:c>
      <x:c r="BV313" s="40" t="str">
        <x:f>IF(COUNT(AN313:AV313)&gt;=8,AVERAGE(AN313:AV313),"")</x:f>
      </x:c>
      <x:c r="BW313" s="40" t="str">
        <x:f>IF(COUNT(AW313:BD313)&gt;=7,AVERAGE(AW313:BD313),"")</x:f>
      </x:c>
      <x:c r="BX313" s="40" t="str">
        <x:f>IF(COUNT(BE313:BJ313)&gt;=5,AVERAGE(BE313:BJ313),"")</x:f>
      </x:c>
      <x:c r="BY313" s="40" t="str">
        <x:f>IF(COUNT(BK313:BR313)&gt;=7,AVERAGE(BK313:BR313),"")</x:f>
      </x:c>
    </x:row>
    <x:row r="314">
      <x:c r="A314" t="str">
        <x:v>R313</x:v>
      </x:c>
      <x:c r="BS314" s="40" t="str">
        <x:f>IF(COUNT(N314:W314)&gt;=8,AVERAGE(N314:W314),"")</x:f>
      </x:c>
      <x:c r="BT314" s="40" t="str">
        <x:f>IF(COUNT(X314:AE314)&gt;=7,AVERAGE(X314:AE314),"")</x:f>
      </x:c>
      <x:c r="BU314" s="40" t="str">
        <x:f>IF(COUNT(AF314:AM314)&gt;=7,AVERAGE(AF314:AM314),"")</x:f>
      </x:c>
      <x:c r="BV314" s="40" t="str">
        <x:f>IF(COUNT(AN314:AV314)&gt;=8,AVERAGE(AN314:AV314),"")</x:f>
      </x:c>
      <x:c r="BW314" s="40" t="str">
        <x:f>IF(COUNT(AW314:BD314)&gt;=7,AVERAGE(AW314:BD314),"")</x:f>
      </x:c>
      <x:c r="BX314" s="40" t="str">
        <x:f>IF(COUNT(BE314:BJ314)&gt;=5,AVERAGE(BE314:BJ314),"")</x:f>
      </x:c>
      <x:c r="BY314" s="40" t="str">
        <x:f>IF(COUNT(BK314:BR314)&gt;=7,AVERAGE(BK314:BR314),"")</x:f>
      </x:c>
    </x:row>
    <x:row r="315">
      <x:c r="A315" t="str">
        <x:v>R314</x:v>
      </x:c>
      <x:c r="BS315" s="40" t="str">
        <x:f>IF(COUNT(N315:W315)&gt;=8,AVERAGE(N315:W315),"")</x:f>
      </x:c>
      <x:c r="BT315" s="40" t="str">
        <x:f>IF(COUNT(X315:AE315)&gt;=7,AVERAGE(X315:AE315),"")</x:f>
      </x:c>
      <x:c r="BU315" s="40" t="str">
        <x:f>IF(COUNT(AF315:AM315)&gt;=7,AVERAGE(AF315:AM315),"")</x:f>
      </x:c>
      <x:c r="BV315" s="40" t="str">
        <x:f>IF(COUNT(AN315:AV315)&gt;=8,AVERAGE(AN315:AV315),"")</x:f>
      </x:c>
      <x:c r="BW315" s="40" t="str">
        <x:f>IF(COUNT(AW315:BD315)&gt;=7,AVERAGE(AW315:BD315),"")</x:f>
      </x:c>
      <x:c r="BX315" s="40" t="str">
        <x:f>IF(COUNT(BE315:BJ315)&gt;=5,AVERAGE(BE315:BJ315),"")</x:f>
      </x:c>
      <x:c r="BY315" s="40" t="str">
        <x:f>IF(COUNT(BK315:BR315)&gt;=7,AVERAGE(BK315:BR315),"")</x:f>
      </x:c>
    </x:row>
    <x:row r="316">
      <x:c r="A316" t="str">
        <x:v>R315</x:v>
      </x:c>
      <x:c r="BS316" s="40" t="str">
        <x:f>IF(COUNT(N316:W316)&gt;=8,AVERAGE(N316:W316),"")</x:f>
      </x:c>
      <x:c r="BT316" s="40" t="str">
        <x:f>IF(COUNT(X316:AE316)&gt;=7,AVERAGE(X316:AE316),"")</x:f>
      </x:c>
      <x:c r="BU316" s="40" t="str">
        <x:f>IF(COUNT(AF316:AM316)&gt;=7,AVERAGE(AF316:AM316),"")</x:f>
      </x:c>
      <x:c r="BV316" s="40" t="str">
        <x:f>IF(COUNT(AN316:AV316)&gt;=8,AVERAGE(AN316:AV316),"")</x:f>
      </x:c>
      <x:c r="BW316" s="40" t="str">
        <x:f>IF(COUNT(AW316:BD316)&gt;=7,AVERAGE(AW316:BD316),"")</x:f>
      </x:c>
      <x:c r="BX316" s="40" t="str">
        <x:f>IF(COUNT(BE316:BJ316)&gt;=5,AVERAGE(BE316:BJ316),"")</x:f>
      </x:c>
      <x:c r="BY316" s="40" t="str">
        <x:f>IF(COUNT(BK316:BR316)&gt;=7,AVERAGE(BK316:BR316),"")</x:f>
      </x:c>
    </x:row>
    <x:row r="317">
      <x:c r="A317" t="str">
        <x:v>R316</x:v>
      </x:c>
      <x:c r="BS317" s="40" t="str">
        <x:f>IF(COUNT(N317:W317)&gt;=8,AVERAGE(N317:W317),"")</x:f>
      </x:c>
      <x:c r="BT317" s="40" t="str">
        <x:f>IF(COUNT(X317:AE317)&gt;=7,AVERAGE(X317:AE317),"")</x:f>
      </x:c>
      <x:c r="BU317" s="40" t="str">
        <x:f>IF(COUNT(AF317:AM317)&gt;=7,AVERAGE(AF317:AM317),"")</x:f>
      </x:c>
      <x:c r="BV317" s="40" t="str">
        <x:f>IF(COUNT(AN317:AV317)&gt;=8,AVERAGE(AN317:AV317),"")</x:f>
      </x:c>
      <x:c r="BW317" s="40" t="str">
        <x:f>IF(COUNT(AW317:BD317)&gt;=7,AVERAGE(AW317:BD317),"")</x:f>
      </x:c>
      <x:c r="BX317" s="40" t="str">
        <x:f>IF(COUNT(BE317:BJ317)&gt;=5,AVERAGE(BE317:BJ317),"")</x:f>
      </x:c>
      <x:c r="BY317" s="40" t="str">
        <x:f>IF(COUNT(BK317:BR317)&gt;=7,AVERAGE(BK317:BR317),"")</x:f>
      </x:c>
    </x:row>
    <x:row r="318">
      <x:c r="A318" t="str">
        <x:v>R317</x:v>
      </x:c>
      <x:c r="BS318" s="40" t="str">
        <x:f>IF(COUNT(N318:W318)&gt;=8,AVERAGE(N318:W318),"")</x:f>
      </x:c>
      <x:c r="BT318" s="40" t="str">
        <x:f>IF(COUNT(X318:AE318)&gt;=7,AVERAGE(X318:AE318),"")</x:f>
      </x:c>
      <x:c r="BU318" s="40" t="str">
        <x:f>IF(COUNT(AF318:AM318)&gt;=7,AVERAGE(AF318:AM318),"")</x:f>
      </x:c>
      <x:c r="BV318" s="40" t="str">
        <x:f>IF(COUNT(AN318:AV318)&gt;=8,AVERAGE(AN318:AV318),"")</x:f>
      </x:c>
      <x:c r="BW318" s="40" t="str">
        <x:f>IF(COUNT(AW318:BD318)&gt;=7,AVERAGE(AW318:BD318),"")</x:f>
      </x:c>
      <x:c r="BX318" s="40" t="str">
        <x:f>IF(COUNT(BE318:BJ318)&gt;=5,AVERAGE(BE318:BJ318),"")</x:f>
      </x:c>
      <x:c r="BY318" s="40" t="str">
        <x:f>IF(COUNT(BK318:BR318)&gt;=7,AVERAGE(BK318:BR318),"")</x:f>
      </x:c>
    </x:row>
    <x:row r="319">
      <x:c r="A319" t="str">
        <x:v>R318</x:v>
      </x:c>
      <x:c r="BS319" s="40" t="str">
        <x:f>IF(COUNT(N319:W319)&gt;=8,AVERAGE(N319:W319),"")</x:f>
      </x:c>
      <x:c r="BT319" s="40" t="str">
        <x:f>IF(COUNT(X319:AE319)&gt;=7,AVERAGE(X319:AE319),"")</x:f>
      </x:c>
      <x:c r="BU319" s="40" t="str">
        <x:f>IF(COUNT(AF319:AM319)&gt;=7,AVERAGE(AF319:AM319),"")</x:f>
      </x:c>
      <x:c r="BV319" s="40" t="str">
        <x:f>IF(COUNT(AN319:AV319)&gt;=8,AVERAGE(AN319:AV319),"")</x:f>
      </x:c>
      <x:c r="BW319" s="40" t="str">
        <x:f>IF(COUNT(AW319:BD319)&gt;=7,AVERAGE(AW319:BD319),"")</x:f>
      </x:c>
      <x:c r="BX319" s="40" t="str">
        <x:f>IF(COUNT(BE319:BJ319)&gt;=5,AVERAGE(BE319:BJ319),"")</x:f>
      </x:c>
      <x:c r="BY319" s="40" t="str">
        <x:f>IF(COUNT(BK319:BR319)&gt;=7,AVERAGE(BK319:BR319),"")</x:f>
      </x:c>
    </x:row>
    <x:row r="320">
      <x:c r="A320" t="str">
        <x:v>R319</x:v>
      </x:c>
      <x:c r="BS320" s="40" t="str">
        <x:f>IF(COUNT(N320:W320)&gt;=8,AVERAGE(N320:W320),"")</x:f>
      </x:c>
      <x:c r="BT320" s="40" t="str">
        <x:f>IF(COUNT(X320:AE320)&gt;=7,AVERAGE(X320:AE320),"")</x:f>
      </x:c>
      <x:c r="BU320" s="40" t="str">
        <x:f>IF(COUNT(AF320:AM320)&gt;=7,AVERAGE(AF320:AM320),"")</x:f>
      </x:c>
      <x:c r="BV320" s="40" t="str">
        <x:f>IF(COUNT(AN320:AV320)&gt;=8,AVERAGE(AN320:AV320),"")</x:f>
      </x:c>
      <x:c r="BW320" s="40" t="str">
        <x:f>IF(COUNT(AW320:BD320)&gt;=7,AVERAGE(AW320:BD320),"")</x:f>
      </x:c>
      <x:c r="BX320" s="40" t="str">
        <x:f>IF(COUNT(BE320:BJ320)&gt;=5,AVERAGE(BE320:BJ320),"")</x:f>
      </x:c>
      <x:c r="BY320" s="40" t="str">
        <x:f>IF(COUNT(BK320:BR320)&gt;=7,AVERAGE(BK320:BR320),"")</x:f>
      </x:c>
    </x:row>
    <x:row r="321">
      <x:c r="A321" t="str">
        <x:v>R320</x:v>
      </x:c>
      <x:c r="BS321" s="40" t="str">
        <x:f>IF(COUNT(N321:W321)&gt;=8,AVERAGE(N321:W321),"")</x:f>
      </x:c>
      <x:c r="BT321" s="40" t="str">
        <x:f>IF(COUNT(X321:AE321)&gt;=7,AVERAGE(X321:AE321),"")</x:f>
      </x:c>
      <x:c r="BU321" s="40" t="str">
        <x:f>IF(COUNT(AF321:AM321)&gt;=7,AVERAGE(AF321:AM321),"")</x:f>
      </x:c>
      <x:c r="BV321" s="40" t="str">
        <x:f>IF(COUNT(AN321:AV321)&gt;=8,AVERAGE(AN321:AV321),"")</x:f>
      </x:c>
      <x:c r="BW321" s="40" t="str">
        <x:f>IF(COUNT(AW321:BD321)&gt;=7,AVERAGE(AW321:BD321),"")</x:f>
      </x:c>
      <x:c r="BX321" s="40" t="str">
        <x:f>IF(COUNT(BE321:BJ321)&gt;=5,AVERAGE(BE321:BJ321),"")</x:f>
      </x:c>
      <x:c r="BY321" s="40" t="str">
        <x:f>IF(COUNT(BK321:BR321)&gt;=7,AVERAGE(BK321:BR321),"")</x:f>
      </x:c>
    </x:row>
    <x:row r="322">
      <x:c r="A322" t="str">
        <x:v>R321</x:v>
      </x:c>
      <x:c r="BS322" s="40" t="str">
        <x:f>IF(COUNT(N322:W322)&gt;=8,AVERAGE(N322:W322),"")</x:f>
      </x:c>
      <x:c r="BT322" s="40" t="str">
        <x:f>IF(COUNT(X322:AE322)&gt;=7,AVERAGE(X322:AE322),"")</x:f>
      </x:c>
      <x:c r="BU322" s="40" t="str">
        <x:f>IF(COUNT(AF322:AM322)&gt;=7,AVERAGE(AF322:AM322),"")</x:f>
      </x:c>
      <x:c r="BV322" s="40" t="str">
        <x:f>IF(COUNT(AN322:AV322)&gt;=8,AVERAGE(AN322:AV322),"")</x:f>
      </x:c>
      <x:c r="BW322" s="40" t="str">
        <x:f>IF(COUNT(AW322:BD322)&gt;=7,AVERAGE(AW322:BD322),"")</x:f>
      </x:c>
      <x:c r="BX322" s="40" t="str">
        <x:f>IF(COUNT(BE322:BJ322)&gt;=5,AVERAGE(BE322:BJ322),"")</x:f>
      </x:c>
      <x:c r="BY322" s="40" t="str">
        <x:f>IF(COUNT(BK322:BR322)&gt;=7,AVERAGE(BK322:BR322),"")</x:f>
      </x:c>
    </x:row>
    <x:row r="323">
      <x:c r="A323" t="str">
        <x:v>R322</x:v>
      </x:c>
      <x:c r="BS323" s="40" t="str">
        <x:f>IF(COUNT(N323:W323)&gt;=8,AVERAGE(N323:W323),"")</x:f>
      </x:c>
      <x:c r="BT323" s="40" t="str">
        <x:f>IF(COUNT(X323:AE323)&gt;=7,AVERAGE(X323:AE323),"")</x:f>
      </x:c>
      <x:c r="BU323" s="40" t="str">
        <x:f>IF(COUNT(AF323:AM323)&gt;=7,AVERAGE(AF323:AM323),"")</x:f>
      </x:c>
      <x:c r="BV323" s="40" t="str">
        <x:f>IF(COUNT(AN323:AV323)&gt;=8,AVERAGE(AN323:AV323),"")</x:f>
      </x:c>
      <x:c r="BW323" s="40" t="str">
        <x:f>IF(COUNT(AW323:BD323)&gt;=7,AVERAGE(AW323:BD323),"")</x:f>
      </x:c>
      <x:c r="BX323" s="40" t="str">
        <x:f>IF(COUNT(BE323:BJ323)&gt;=5,AVERAGE(BE323:BJ323),"")</x:f>
      </x:c>
      <x:c r="BY323" s="40" t="str">
        <x:f>IF(COUNT(BK323:BR323)&gt;=7,AVERAGE(BK323:BR323),"")</x:f>
      </x:c>
    </x:row>
    <x:row r="324">
      <x:c r="A324" t="str">
        <x:v>R323</x:v>
      </x:c>
      <x:c r="BS324" s="40" t="str">
        <x:f>IF(COUNT(N324:W324)&gt;=8,AVERAGE(N324:W324),"")</x:f>
      </x:c>
      <x:c r="BT324" s="40" t="str">
        <x:f>IF(COUNT(X324:AE324)&gt;=7,AVERAGE(X324:AE324),"")</x:f>
      </x:c>
      <x:c r="BU324" s="40" t="str">
        <x:f>IF(COUNT(AF324:AM324)&gt;=7,AVERAGE(AF324:AM324),"")</x:f>
      </x:c>
      <x:c r="BV324" s="40" t="str">
        <x:f>IF(COUNT(AN324:AV324)&gt;=8,AVERAGE(AN324:AV324),"")</x:f>
      </x:c>
      <x:c r="BW324" s="40" t="str">
        <x:f>IF(COUNT(AW324:BD324)&gt;=7,AVERAGE(AW324:BD324),"")</x:f>
      </x:c>
      <x:c r="BX324" s="40" t="str">
        <x:f>IF(COUNT(BE324:BJ324)&gt;=5,AVERAGE(BE324:BJ324),"")</x:f>
      </x:c>
      <x:c r="BY324" s="40" t="str">
        <x:f>IF(COUNT(BK324:BR324)&gt;=7,AVERAGE(BK324:BR324),"")</x:f>
      </x:c>
    </x:row>
    <x:row r="325">
      <x:c r="A325" t="str">
        <x:v>R324</x:v>
      </x:c>
      <x:c r="BS325" s="40" t="str">
        <x:f>IF(COUNT(N325:W325)&gt;=8,AVERAGE(N325:W325),"")</x:f>
      </x:c>
      <x:c r="BT325" s="40" t="str">
        <x:f>IF(COUNT(X325:AE325)&gt;=7,AVERAGE(X325:AE325),"")</x:f>
      </x:c>
      <x:c r="BU325" s="40" t="str">
        <x:f>IF(COUNT(AF325:AM325)&gt;=7,AVERAGE(AF325:AM325),"")</x:f>
      </x:c>
      <x:c r="BV325" s="40" t="str">
        <x:f>IF(COUNT(AN325:AV325)&gt;=8,AVERAGE(AN325:AV325),"")</x:f>
      </x:c>
      <x:c r="BW325" s="40" t="str">
        <x:f>IF(COUNT(AW325:BD325)&gt;=7,AVERAGE(AW325:BD325),"")</x:f>
      </x:c>
      <x:c r="BX325" s="40" t="str">
        <x:f>IF(COUNT(BE325:BJ325)&gt;=5,AVERAGE(BE325:BJ325),"")</x:f>
      </x:c>
      <x:c r="BY325" s="40" t="str">
        <x:f>IF(COUNT(BK325:BR325)&gt;=7,AVERAGE(BK325:BR325),"")</x:f>
      </x:c>
    </x:row>
    <x:row r="326">
      <x:c r="A326" t="str">
        <x:v>R325</x:v>
      </x:c>
      <x:c r="BS326" s="40" t="str">
        <x:f>IF(COUNT(N326:W326)&gt;=8,AVERAGE(N326:W326),"")</x:f>
      </x:c>
      <x:c r="BT326" s="40" t="str">
        <x:f>IF(COUNT(X326:AE326)&gt;=7,AVERAGE(X326:AE326),"")</x:f>
      </x:c>
      <x:c r="BU326" s="40" t="str">
        <x:f>IF(COUNT(AF326:AM326)&gt;=7,AVERAGE(AF326:AM326),"")</x:f>
      </x:c>
      <x:c r="BV326" s="40" t="str">
        <x:f>IF(COUNT(AN326:AV326)&gt;=8,AVERAGE(AN326:AV326),"")</x:f>
      </x:c>
      <x:c r="BW326" s="40" t="str">
        <x:f>IF(COUNT(AW326:BD326)&gt;=7,AVERAGE(AW326:BD326),"")</x:f>
      </x:c>
      <x:c r="BX326" s="40" t="str">
        <x:f>IF(COUNT(BE326:BJ326)&gt;=5,AVERAGE(BE326:BJ326),"")</x:f>
      </x:c>
      <x:c r="BY326" s="40" t="str">
        <x:f>IF(COUNT(BK326:BR326)&gt;=7,AVERAGE(BK326:BR326),"")</x:f>
      </x:c>
    </x:row>
    <x:row r="327">
      <x:c r="A327" t="str">
        <x:v>R326</x:v>
      </x:c>
      <x:c r="BS327" s="40" t="str">
        <x:f>IF(COUNT(N327:W327)&gt;=8,AVERAGE(N327:W327),"")</x:f>
      </x:c>
      <x:c r="BT327" s="40" t="str">
        <x:f>IF(COUNT(X327:AE327)&gt;=7,AVERAGE(X327:AE327),"")</x:f>
      </x:c>
      <x:c r="BU327" s="40" t="str">
        <x:f>IF(COUNT(AF327:AM327)&gt;=7,AVERAGE(AF327:AM327),"")</x:f>
      </x:c>
      <x:c r="BV327" s="40" t="str">
        <x:f>IF(COUNT(AN327:AV327)&gt;=8,AVERAGE(AN327:AV327),"")</x:f>
      </x:c>
      <x:c r="BW327" s="40" t="str">
        <x:f>IF(COUNT(AW327:BD327)&gt;=7,AVERAGE(AW327:BD327),"")</x:f>
      </x:c>
      <x:c r="BX327" s="40" t="str">
        <x:f>IF(COUNT(BE327:BJ327)&gt;=5,AVERAGE(BE327:BJ327),"")</x:f>
      </x:c>
      <x:c r="BY327" s="40" t="str">
        <x:f>IF(COUNT(BK327:BR327)&gt;=7,AVERAGE(BK327:BR327),"")</x:f>
      </x:c>
    </x:row>
    <x:row r="328">
      <x:c r="A328" t="str">
        <x:v>R327</x:v>
      </x:c>
      <x:c r="BS328" s="40" t="str">
        <x:f>IF(COUNT(N328:W328)&gt;=8,AVERAGE(N328:W328),"")</x:f>
      </x:c>
      <x:c r="BT328" s="40" t="str">
        <x:f>IF(COUNT(X328:AE328)&gt;=7,AVERAGE(X328:AE328),"")</x:f>
      </x:c>
      <x:c r="BU328" s="40" t="str">
        <x:f>IF(COUNT(AF328:AM328)&gt;=7,AVERAGE(AF328:AM328),"")</x:f>
      </x:c>
      <x:c r="BV328" s="40" t="str">
        <x:f>IF(COUNT(AN328:AV328)&gt;=8,AVERAGE(AN328:AV328),"")</x:f>
      </x:c>
      <x:c r="BW328" s="40" t="str">
        <x:f>IF(COUNT(AW328:BD328)&gt;=7,AVERAGE(AW328:BD328),"")</x:f>
      </x:c>
      <x:c r="BX328" s="40" t="str">
        <x:f>IF(COUNT(BE328:BJ328)&gt;=5,AVERAGE(BE328:BJ328),"")</x:f>
      </x:c>
      <x:c r="BY328" s="40" t="str">
        <x:f>IF(COUNT(BK328:BR328)&gt;=7,AVERAGE(BK328:BR328),"")</x:f>
      </x:c>
    </x:row>
    <x:row r="329">
      <x:c r="A329" t="str">
        <x:v>R328</x:v>
      </x:c>
      <x:c r="BS329" s="40" t="str">
        <x:f>IF(COUNT(N329:W329)&gt;=8,AVERAGE(N329:W329),"")</x:f>
      </x:c>
      <x:c r="BT329" s="40" t="str">
        <x:f>IF(COUNT(X329:AE329)&gt;=7,AVERAGE(X329:AE329),"")</x:f>
      </x:c>
      <x:c r="BU329" s="40" t="str">
        <x:f>IF(COUNT(AF329:AM329)&gt;=7,AVERAGE(AF329:AM329),"")</x:f>
      </x:c>
      <x:c r="BV329" s="40" t="str">
        <x:f>IF(COUNT(AN329:AV329)&gt;=8,AVERAGE(AN329:AV329),"")</x:f>
      </x:c>
      <x:c r="BW329" s="40" t="str">
        <x:f>IF(COUNT(AW329:BD329)&gt;=7,AVERAGE(AW329:BD329),"")</x:f>
      </x:c>
      <x:c r="BX329" s="40" t="str">
        <x:f>IF(COUNT(BE329:BJ329)&gt;=5,AVERAGE(BE329:BJ329),"")</x:f>
      </x:c>
      <x:c r="BY329" s="40" t="str">
        <x:f>IF(COUNT(BK329:BR329)&gt;=7,AVERAGE(BK329:BR329),"")</x:f>
      </x:c>
    </x:row>
    <x:row r="330">
      <x:c r="A330" t="str">
        <x:v>R329</x:v>
      </x:c>
      <x:c r="BS330" s="40" t="str">
        <x:f>IF(COUNT(N330:W330)&gt;=8,AVERAGE(N330:W330),"")</x:f>
      </x:c>
      <x:c r="BT330" s="40" t="str">
        <x:f>IF(COUNT(X330:AE330)&gt;=7,AVERAGE(X330:AE330),"")</x:f>
      </x:c>
      <x:c r="BU330" s="40" t="str">
        <x:f>IF(COUNT(AF330:AM330)&gt;=7,AVERAGE(AF330:AM330),"")</x:f>
      </x:c>
      <x:c r="BV330" s="40" t="str">
        <x:f>IF(COUNT(AN330:AV330)&gt;=8,AVERAGE(AN330:AV330),"")</x:f>
      </x:c>
      <x:c r="BW330" s="40" t="str">
        <x:f>IF(COUNT(AW330:BD330)&gt;=7,AVERAGE(AW330:BD330),"")</x:f>
      </x:c>
      <x:c r="BX330" s="40" t="str">
        <x:f>IF(COUNT(BE330:BJ330)&gt;=5,AVERAGE(BE330:BJ330),"")</x:f>
      </x:c>
      <x:c r="BY330" s="40" t="str">
        <x:f>IF(COUNT(BK330:BR330)&gt;=7,AVERAGE(BK330:BR330),"")</x:f>
      </x:c>
    </x:row>
    <x:row r="331">
      <x:c r="A331" t="str">
        <x:v>R330</x:v>
      </x:c>
      <x:c r="BS331" s="40" t="str">
        <x:f>IF(COUNT(N331:W331)&gt;=8,AVERAGE(N331:W331),"")</x:f>
      </x:c>
      <x:c r="BT331" s="40" t="str">
        <x:f>IF(COUNT(X331:AE331)&gt;=7,AVERAGE(X331:AE331),"")</x:f>
      </x:c>
      <x:c r="BU331" s="40" t="str">
        <x:f>IF(COUNT(AF331:AM331)&gt;=7,AVERAGE(AF331:AM331),"")</x:f>
      </x:c>
      <x:c r="BV331" s="40" t="str">
        <x:f>IF(COUNT(AN331:AV331)&gt;=8,AVERAGE(AN331:AV331),"")</x:f>
      </x:c>
      <x:c r="BW331" s="40" t="str">
        <x:f>IF(COUNT(AW331:BD331)&gt;=7,AVERAGE(AW331:BD331),"")</x:f>
      </x:c>
      <x:c r="BX331" s="40" t="str">
        <x:f>IF(COUNT(BE331:BJ331)&gt;=5,AVERAGE(BE331:BJ331),"")</x:f>
      </x:c>
      <x:c r="BY331" s="40" t="str">
        <x:f>IF(COUNT(BK331:BR331)&gt;=7,AVERAGE(BK331:BR331),"")</x:f>
      </x:c>
    </x:row>
    <x:row r="332">
      <x:c r="A332" t="str">
        <x:v>R331</x:v>
      </x:c>
      <x:c r="BS332" s="40" t="str">
        <x:f>IF(COUNT(N332:W332)&gt;=8,AVERAGE(N332:W332),"")</x:f>
      </x:c>
      <x:c r="BT332" s="40" t="str">
        <x:f>IF(COUNT(X332:AE332)&gt;=7,AVERAGE(X332:AE332),"")</x:f>
      </x:c>
      <x:c r="BU332" s="40" t="str">
        <x:f>IF(COUNT(AF332:AM332)&gt;=7,AVERAGE(AF332:AM332),"")</x:f>
      </x:c>
      <x:c r="BV332" s="40" t="str">
        <x:f>IF(COUNT(AN332:AV332)&gt;=8,AVERAGE(AN332:AV332),"")</x:f>
      </x:c>
      <x:c r="BW332" s="40" t="str">
        <x:f>IF(COUNT(AW332:BD332)&gt;=7,AVERAGE(AW332:BD332),"")</x:f>
      </x:c>
      <x:c r="BX332" s="40" t="str">
        <x:f>IF(COUNT(BE332:BJ332)&gt;=5,AVERAGE(BE332:BJ332),"")</x:f>
      </x:c>
      <x:c r="BY332" s="40" t="str">
        <x:f>IF(COUNT(BK332:BR332)&gt;=7,AVERAGE(BK332:BR332),"")</x:f>
      </x:c>
    </x:row>
    <x:row r="333">
      <x:c r="A333" t="str">
        <x:v>R332</x:v>
      </x:c>
      <x:c r="BS333" s="40" t="str">
        <x:f>IF(COUNT(N333:W333)&gt;=8,AVERAGE(N333:W333),"")</x:f>
      </x:c>
      <x:c r="BT333" s="40" t="str">
        <x:f>IF(COUNT(X333:AE333)&gt;=7,AVERAGE(X333:AE333),"")</x:f>
      </x:c>
      <x:c r="BU333" s="40" t="str">
        <x:f>IF(COUNT(AF333:AM333)&gt;=7,AVERAGE(AF333:AM333),"")</x:f>
      </x:c>
      <x:c r="BV333" s="40" t="str">
        <x:f>IF(COUNT(AN333:AV333)&gt;=8,AVERAGE(AN333:AV333),"")</x:f>
      </x:c>
      <x:c r="BW333" s="40" t="str">
        <x:f>IF(COUNT(AW333:BD333)&gt;=7,AVERAGE(AW333:BD333),"")</x:f>
      </x:c>
      <x:c r="BX333" s="40" t="str">
        <x:f>IF(COUNT(BE333:BJ333)&gt;=5,AVERAGE(BE333:BJ333),"")</x:f>
      </x:c>
      <x:c r="BY333" s="40" t="str">
        <x:f>IF(COUNT(BK333:BR333)&gt;=7,AVERAGE(BK333:BR333),"")</x:f>
      </x:c>
    </x:row>
    <x:row r="334">
      <x:c r="A334" t="str">
        <x:v>R333</x:v>
      </x:c>
      <x:c r="BS334" s="40" t="str">
        <x:f>IF(COUNT(N334:W334)&gt;=8,AVERAGE(N334:W334),"")</x:f>
      </x:c>
      <x:c r="BT334" s="40" t="str">
        <x:f>IF(COUNT(X334:AE334)&gt;=7,AVERAGE(X334:AE334),"")</x:f>
      </x:c>
      <x:c r="BU334" s="40" t="str">
        <x:f>IF(COUNT(AF334:AM334)&gt;=7,AVERAGE(AF334:AM334),"")</x:f>
      </x:c>
      <x:c r="BV334" s="40" t="str">
        <x:f>IF(COUNT(AN334:AV334)&gt;=8,AVERAGE(AN334:AV334),"")</x:f>
      </x:c>
      <x:c r="BW334" s="40" t="str">
        <x:f>IF(COUNT(AW334:BD334)&gt;=7,AVERAGE(AW334:BD334),"")</x:f>
      </x:c>
      <x:c r="BX334" s="40" t="str">
        <x:f>IF(COUNT(BE334:BJ334)&gt;=5,AVERAGE(BE334:BJ334),"")</x:f>
      </x:c>
      <x:c r="BY334" s="40" t="str">
        <x:f>IF(COUNT(BK334:BR334)&gt;=7,AVERAGE(BK334:BR334),"")</x:f>
      </x:c>
    </x:row>
    <x:row r="335">
      <x:c r="A335" t="str">
        <x:v>R334</x:v>
      </x:c>
      <x:c r="BS335" s="40" t="str">
        <x:f>IF(COUNT(N335:W335)&gt;=8,AVERAGE(N335:W335),"")</x:f>
      </x:c>
      <x:c r="BT335" s="40" t="str">
        <x:f>IF(COUNT(X335:AE335)&gt;=7,AVERAGE(X335:AE335),"")</x:f>
      </x:c>
      <x:c r="BU335" s="40" t="str">
        <x:f>IF(COUNT(AF335:AM335)&gt;=7,AVERAGE(AF335:AM335),"")</x:f>
      </x:c>
      <x:c r="BV335" s="40" t="str">
        <x:f>IF(COUNT(AN335:AV335)&gt;=8,AVERAGE(AN335:AV335),"")</x:f>
      </x:c>
      <x:c r="BW335" s="40" t="str">
        <x:f>IF(COUNT(AW335:BD335)&gt;=7,AVERAGE(AW335:BD335),"")</x:f>
      </x:c>
      <x:c r="BX335" s="40" t="str">
        <x:f>IF(COUNT(BE335:BJ335)&gt;=5,AVERAGE(BE335:BJ335),"")</x:f>
      </x:c>
      <x:c r="BY335" s="40" t="str">
        <x:f>IF(COUNT(BK335:BR335)&gt;=7,AVERAGE(BK335:BR335),"")</x:f>
      </x:c>
    </x:row>
    <x:row r="336">
      <x:c r="A336" t="str">
        <x:v>R335</x:v>
      </x:c>
      <x:c r="BS336" s="40" t="str">
        <x:f>IF(COUNT(N336:W336)&gt;=8,AVERAGE(N336:W336),"")</x:f>
      </x:c>
      <x:c r="BT336" s="40" t="str">
        <x:f>IF(COUNT(X336:AE336)&gt;=7,AVERAGE(X336:AE336),"")</x:f>
      </x:c>
      <x:c r="BU336" s="40" t="str">
        <x:f>IF(COUNT(AF336:AM336)&gt;=7,AVERAGE(AF336:AM336),"")</x:f>
      </x:c>
      <x:c r="BV336" s="40" t="str">
        <x:f>IF(COUNT(AN336:AV336)&gt;=8,AVERAGE(AN336:AV336),"")</x:f>
      </x:c>
      <x:c r="BW336" s="40" t="str">
        <x:f>IF(COUNT(AW336:BD336)&gt;=7,AVERAGE(AW336:BD336),"")</x:f>
      </x:c>
      <x:c r="BX336" s="40" t="str">
        <x:f>IF(COUNT(BE336:BJ336)&gt;=5,AVERAGE(BE336:BJ336),"")</x:f>
      </x:c>
      <x:c r="BY336" s="40" t="str">
        <x:f>IF(COUNT(BK336:BR336)&gt;=7,AVERAGE(BK336:BR336),"")</x:f>
      </x:c>
    </x:row>
    <x:row r="337">
      <x:c r="A337" t="str">
        <x:v>R336</x:v>
      </x:c>
      <x:c r="BS337" s="40" t="str">
        <x:f>IF(COUNT(N337:W337)&gt;=8,AVERAGE(N337:W337),"")</x:f>
      </x:c>
      <x:c r="BT337" s="40" t="str">
        <x:f>IF(COUNT(X337:AE337)&gt;=7,AVERAGE(X337:AE337),"")</x:f>
      </x:c>
      <x:c r="BU337" s="40" t="str">
        <x:f>IF(COUNT(AF337:AM337)&gt;=7,AVERAGE(AF337:AM337),"")</x:f>
      </x:c>
      <x:c r="BV337" s="40" t="str">
        <x:f>IF(COUNT(AN337:AV337)&gt;=8,AVERAGE(AN337:AV337),"")</x:f>
      </x:c>
      <x:c r="BW337" s="40" t="str">
        <x:f>IF(COUNT(AW337:BD337)&gt;=7,AVERAGE(AW337:BD337),"")</x:f>
      </x:c>
      <x:c r="BX337" s="40" t="str">
        <x:f>IF(COUNT(BE337:BJ337)&gt;=5,AVERAGE(BE337:BJ337),"")</x:f>
      </x:c>
      <x:c r="BY337" s="40" t="str">
        <x:f>IF(COUNT(BK337:BR337)&gt;=7,AVERAGE(BK337:BR337),"")</x:f>
      </x:c>
    </x:row>
    <x:row r="338">
      <x:c r="A338" t="str">
        <x:v>R337</x:v>
      </x:c>
      <x:c r="BS338" s="40" t="str">
        <x:f>IF(COUNT(N338:W338)&gt;=8,AVERAGE(N338:W338),"")</x:f>
      </x:c>
      <x:c r="BT338" s="40" t="str">
        <x:f>IF(COUNT(X338:AE338)&gt;=7,AVERAGE(X338:AE338),"")</x:f>
      </x:c>
      <x:c r="BU338" s="40" t="str">
        <x:f>IF(COUNT(AF338:AM338)&gt;=7,AVERAGE(AF338:AM338),"")</x:f>
      </x:c>
      <x:c r="BV338" s="40" t="str">
        <x:f>IF(COUNT(AN338:AV338)&gt;=8,AVERAGE(AN338:AV338),"")</x:f>
      </x:c>
      <x:c r="BW338" s="40" t="str">
        <x:f>IF(COUNT(AW338:BD338)&gt;=7,AVERAGE(AW338:BD338),"")</x:f>
      </x:c>
      <x:c r="BX338" s="40" t="str">
        <x:f>IF(COUNT(BE338:BJ338)&gt;=5,AVERAGE(BE338:BJ338),"")</x:f>
      </x:c>
      <x:c r="BY338" s="40" t="str">
        <x:f>IF(COUNT(BK338:BR338)&gt;=7,AVERAGE(BK338:BR338),"")</x:f>
      </x:c>
    </x:row>
    <x:row r="339">
      <x:c r="A339" t="str">
        <x:v>R338</x:v>
      </x:c>
      <x:c r="BS339" s="40" t="str">
        <x:f>IF(COUNT(N339:W339)&gt;=8,AVERAGE(N339:W339),"")</x:f>
      </x:c>
      <x:c r="BT339" s="40" t="str">
        <x:f>IF(COUNT(X339:AE339)&gt;=7,AVERAGE(X339:AE339),"")</x:f>
      </x:c>
      <x:c r="BU339" s="40" t="str">
        <x:f>IF(COUNT(AF339:AM339)&gt;=7,AVERAGE(AF339:AM339),"")</x:f>
      </x:c>
      <x:c r="BV339" s="40" t="str">
        <x:f>IF(COUNT(AN339:AV339)&gt;=8,AVERAGE(AN339:AV339),"")</x:f>
      </x:c>
      <x:c r="BW339" s="40" t="str">
        <x:f>IF(COUNT(AW339:BD339)&gt;=7,AVERAGE(AW339:BD339),"")</x:f>
      </x:c>
      <x:c r="BX339" s="40" t="str">
        <x:f>IF(COUNT(BE339:BJ339)&gt;=5,AVERAGE(BE339:BJ339),"")</x:f>
      </x:c>
      <x:c r="BY339" s="40" t="str">
        <x:f>IF(COUNT(BK339:BR339)&gt;=7,AVERAGE(BK339:BR339),"")</x:f>
      </x:c>
    </x:row>
    <x:row r="340">
      <x:c r="A340" t="str">
        <x:v>R339</x:v>
      </x:c>
      <x:c r="BS340" s="40" t="str">
        <x:f>IF(COUNT(N340:W340)&gt;=8,AVERAGE(N340:W340),"")</x:f>
      </x:c>
      <x:c r="BT340" s="40" t="str">
        <x:f>IF(COUNT(X340:AE340)&gt;=7,AVERAGE(X340:AE340),"")</x:f>
      </x:c>
      <x:c r="BU340" s="40" t="str">
        <x:f>IF(COUNT(AF340:AM340)&gt;=7,AVERAGE(AF340:AM340),"")</x:f>
      </x:c>
      <x:c r="BV340" s="40" t="str">
        <x:f>IF(COUNT(AN340:AV340)&gt;=8,AVERAGE(AN340:AV340),"")</x:f>
      </x:c>
      <x:c r="BW340" s="40" t="str">
        <x:f>IF(COUNT(AW340:BD340)&gt;=7,AVERAGE(AW340:BD340),"")</x:f>
      </x:c>
      <x:c r="BX340" s="40" t="str">
        <x:f>IF(COUNT(BE340:BJ340)&gt;=5,AVERAGE(BE340:BJ340),"")</x:f>
      </x:c>
      <x:c r="BY340" s="40" t="str">
        <x:f>IF(COUNT(BK340:BR340)&gt;=7,AVERAGE(BK340:BR340),"")</x:f>
      </x:c>
    </x:row>
    <x:row r="341">
      <x:c r="A341" t="str">
        <x:v>R340</x:v>
      </x:c>
      <x:c r="BS341" s="40" t="str">
        <x:f>IF(COUNT(N341:W341)&gt;=8,AVERAGE(N341:W341),"")</x:f>
      </x:c>
      <x:c r="BT341" s="40" t="str">
        <x:f>IF(COUNT(X341:AE341)&gt;=7,AVERAGE(X341:AE341),"")</x:f>
      </x:c>
      <x:c r="BU341" s="40" t="str">
        <x:f>IF(COUNT(AF341:AM341)&gt;=7,AVERAGE(AF341:AM341),"")</x:f>
      </x:c>
      <x:c r="BV341" s="40" t="str">
        <x:f>IF(COUNT(AN341:AV341)&gt;=8,AVERAGE(AN341:AV341),"")</x:f>
      </x:c>
      <x:c r="BW341" s="40" t="str">
        <x:f>IF(COUNT(AW341:BD341)&gt;=7,AVERAGE(AW341:BD341),"")</x:f>
      </x:c>
      <x:c r="BX341" s="40" t="str">
        <x:f>IF(COUNT(BE341:BJ341)&gt;=5,AVERAGE(BE341:BJ341),"")</x:f>
      </x:c>
      <x:c r="BY341" s="40" t="str">
        <x:f>IF(COUNT(BK341:BR341)&gt;=7,AVERAGE(BK341:BR341),"")</x:f>
      </x:c>
    </x:row>
    <x:row r="342">
      <x:c r="A342" t="str">
        <x:v>R341</x:v>
      </x:c>
      <x:c r="BS342" s="40" t="str">
        <x:f>IF(COUNT(N342:W342)&gt;=8,AVERAGE(N342:W342),"")</x:f>
      </x:c>
      <x:c r="BT342" s="40" t="str">
        <x:f>IF(COUNT(X342:AE342)&gt;=7,AVERAGE(X342:AE342),"")</x:f>
      </x:c>
      <x:c r="BU342" s="40" t="str">
        <x:f>IF(COUNT(AF342:AM342)&gt;=7,AVERAGE(AF342:AM342),"")</x:f>
      </x:c>
      <x:c r="BV342" s="40" t="str">
        <x:f>IF(COUNT(AN342:AV342)&gt;=8,AVERAGE(AN342:AV342),"")</x:f>
      </x:c>
      <x:c r="BW342" s="40" t="str">
        <x:f>IF(COUNT(AW342:BD342)&gt;=7,AVERAGE(AW342:BD342),"")</x:f>
      </x:c>
      <x:c r="BX342" s="40" t="str">
        <x:f>IF(COUNT(BE342:BJ342)&gt;=5,AVERAGE(BE342:BJ342),"")</x:f>
      </x:c>
      <x:c r="BY342" s="40" t="str">
        <x:f>IF(COUNT(BK342:BR342)&gt;=7,AVERAGE(BK342:BR342),"")</x:f>
      </x:c>
    </x:row>
    <x:row r="343">
      <x:c r="A343" t="str">
        <x:v>R342</x:v>
      </x:c>
      <x:c r="BS343" s="40" t="str">
        <x:f>IF(COUNT(N343:W343)&gt;=8,AVERAGE(N343:W343),"")</x:f>
      </x:c>
      <x:c r="BT343" s="40" t="str">
        <x:f>IF(COUNT(X343:AE343)&gt;=7,AVERAGE(X343:AE343),"")</x:f>
      </x:c>
      <x:c r="BU343" s="40" t="str">
        <x:f>IF(COUNT(AF343:AM343)&gt;=7,AVERAGE(AF343:AM343),"")</x:f>
      </x:c>
      <x:c r="BV343" s="40" t="str">
        <x:f>IF(COUNT(AN343:AV343)&gt;=8,AVERAGE(AN343:AV343),"")</x:f>
      </x:c>
      <x:c r="BW343" s="40" t="str">
        <x:f>IF(COUNT(AW343:BD343)&gt;=7,AVERAGE(AW343:BD343),"")</x:f>
      </x:c>
      <x:c r="BX343" s="40" t="str">
        <x:f>IF(COUNT(BE343:BJ343)&gt;=5,AVERAGE(BE343:BJ343),"")</x:f>
      </x:c>
      <x:c r="BY343" s="40" t="str">
        <x:f>IF(COUNT(BK343:BR343)&gt;=7,AVERAGE(BK343:BR343),"")</x:f>
      </x:c>
    </x:row>
    <x:row r="344">
      <x:c r="A344" t="str">
        <x:v>R343</x:v>
      </x:c>
      <x:c r="BS344" s="40" t="str">
        <x:f>IF(COUNT(N344:W344)&gt;=8,AVERAGE(N344:W344),"")</x:f>
      </x:c>
      <x:c r="BT344" s="40" t="str">
        <x:f>IF(COUNT(X344:AE344)&gt;=7,AVERAGE(X344:AE344),"")</x:f>
      </x:c>
      <x:c r="BU344" s="40" t="str">
        <x:f>IF(COUNT(AF344:AM344)&gt;=7,AVERAGE(AF344:AM344),"")</x:f>
      </x:c>
      <x:c r="BV344" s="40" t="str">
        <x:f>IF(COUNT(AN344:AV344)&gt;=8,AVERAGE(AN344:AV344),"")</x:f>
      </x:c>
      <x:c r="BW344" s="40" t="str">
        <x:f>IF(COUNT(AW344:BD344)&gt;=7,AVERAGE(AW344:BD344),"")</x:f>
      </x:c>
      <x:c r="BX344" s="40" t="str">
        <x:f>IF(COUNT(BE344:BJ344)&gt;=5,AVERAGE(BE344:BJ344),"")</x:f>
      </x:c>
      <x:c r="BY344" s="40" t="str">
        <x:f>IF(COUNT(BK344:BR344)&gt;=7,AVERAGE(BK344:BR344),"")</x:f>
      </x:c>
    </x:row>
    <x:row r="345">
      <x:c r="A345" t="str">
        <x:v>R344</x:v>
      </x:c>
      <x:c r="BS345" s="40" t="str">
        <x:f>IF(COUNT(N345:W345)&gt;=8,AVERAGE(N345:W345),"")</x:f>
      </x:c>
      <x:c r="BT345" s="40" t="str">
        <x:f>IF(COUNT(X345:AE345)&gt;=7,AVERAGE(X345:AE345),"")</x:f>
      </x:c>
      <x:c r="BU345" s="40" t="str">
        <x:f>IF(COUNT(AF345:AM345)&gt;=7,AVERAGE(AF345:AM345),"")</x:f>
      </x:c>
      <x:c r="BV345" s="40" t="str">
        <x:f>IF(COUNT(AN345:AV345)&gt;=8,AVERAGE(AN345:AV345),"")</x:f>
      </x:c>
      <x:c r="BW345" s="40" t="str">
        <x:f>IF(COUNT(AW345:BD345)&gt;=7,AVERAGE(AW345:BD345),"")</x:f>
      </x:c>
      <x:c r="BX345" s="40" t="str">
        <x:f>IF(COUNT(BE345:BJ345)&gt;=5,AVERAGE(BE345:BJ345),"")</x:f>
      </x:c>
      <x:c r="BY345" s="40" t="str">
        <x:f>IF(COUNT(BK345:BR345)&gt;=7,AVERAGE(BK345:BR345),"")</x:f>
      </x:c>
    </x:row>
    <x:row r="346">
      <x:c r="A346" t="str">
        <x:v>R345</x:v>
      </x:c>
      <x:c r="BS346" s="40" t="str">
        <x:f>IF(COUNT(N346:W346)&gt;=8,AVERAGE(N346:W346),"")</x:f>
      </x:c>
      <x:c r="BT346" s="40" t="str">
        <x:f>IF(COUNT(X346:AE346)&gt;=7,AVERAGE(X346:AE346),"")</x:f>
      </x:c>
      <x:c r="BU346" s="40" t="str">
        <x:f>IF(COUNT(AF346:AM346)&gt;=7,AVERAGE(AF346:AM346),"")</x:f>
      </x:c>
      <x:c r="BV346" s="40" t="str">
        <x:f>IF(COUNT(AN346:AV346)&gt;=8,AVERAGE(AN346:AV346),"")</x:f>
      </x:c>
      <x:c r="BW346" s="40" t="str">
        <x:f>IF(COUNT(AW346:BD346)&gt;=7,AVERAGE(AW346:BD346),"")</x:f>
      </x:c>
      <x:c r="BX346" s="40" t="str">
        <x:f>IF(COUNT(BE346:BJ346)&gt;=5,AVERAGE(BE346:BJ346),"")</x:f>
      </x:c>
      <x:c r="BY346" s="40" t="str">
        <x:f>IF(COUNT(BK346:BR346)&gt;=7,AVERAGE(BK346:BR346),"")</x:f>
      </x:c>
    </x:row>
    <x:row r="347">
      <x:c r="A347" t="str">
        <x:v>R346</x:v>
      </x:c>
      <x:c r="BS347" s="40" t="str">
        <x:f>IF(COUNT(N347:W347)&gt;=8,AVERAGE(N347:W347),"")</x:f>
      </x:c>
      <x:c r="BT347" s="40" t="str">
        <x:f>IF(COUNT(X347:AE347)&gt;=7,AVERAGE(X347:AE347),"")</x:f>
      </x:c>
      <x:c r="BU347" s="40" t="str">
        <x:f>IF(COUNT(AF347:AM347)&gt;=7,AVERAGE(AF347:AM347),"")</x:f>
      </x:c>
      <x:c r="BV347" s="40" t="str">
        <x:f>IF(COUNT(AN347:AV347)&gt;=8,AVERAGE(AN347:AV347),"")</x:f>
      </x:c>
      <x:c r="BW347" s="40" t="str">
        <x:f>IF(COUNT(AW347:BD347)&gt;=7,AVERAGE(AW347:BD347),"")</x:f>
      </x:c>
      <x:c r="BX347" s="40" t="str">
        <x:f>IF(COUNT(BE347:BJ347)&gt;=5,AVERAGE(BE347:BJ347),"")</x:f>
      </x:c>
      <x:c r="BY347" s="40" t="str">
        <x:f>IF(COUNT(BK347:BR347)&gt;=7,AVERAGE(BK347:BR347),"")</x:f>
      </x:c>
    </x:row>
    <x:row r="348">
      <x:c r="A348" t="str">
        <x:v>R347</x:v>
      </x:c>
      <x:c r="BS348" s="40" t="str">
        <x:f>IF(COUNT(N348:W348)&gt;=8,AVERAGE(N348:W348),"")</x:f>
      </x:c>
      <x:c r="BT348" s="40" t="str">
        <x:f>IF(COUNT(X348:AE348)&gt;=7,AVERAGE(X348:AE348),"")</x:f>
      </x:c>
      <x:c r="BU348" s="40" t="str">
        <x:f>IF(COUNT(AF348:AM348)&gt;=7,AVERAGE(AF348:AM348),"")</x:f>
      </x:c>
      <x:c r="BV348" s="40" t="str">
        <x:f>IF(COUNT(AN348:AV348)&gt;=8,AVERAGE(AN348:AV348),"")</x:f>
      </x:c>
      <x:c r="BW348" s="40" t="str">
        <x:f>IF(COUNT(AW348:BD348)&gt;=7,AVERAGE(AW348:BD348),"")</x:f>
      </x:c>
      <x:c r="BX348" s="40" t="str">
        <x:f>IF(COUNT(BE348:BJ348)&gt;=5,AVERAGE(BE348:BJ348),"")</x:f>
      </x:c>
      <x:c r="BY348" s="40" t="str">
        <x:f>IF(COUNT(BK348:BR348)&gt;=7,AVERAGE(BK348:BR348),"")</x:f>
      </x:c>
    </x:row>
    <x:row r="349">
      <x:c r="A349" t="str">
        <x:v>R348</x:v>
      </x:c>
      <x:c r="BS349" s="40" t="str">
        <x:f>IF(COUNT(N349:W349)&gt;=8,AVERAGE(N349:W349),"")</x:f>
      </x:c>
      <x:c r="BT349" s="40" t="str">
        <x:f>IF(COUNT(X349:AE349)&gt;=7,AVERAGE(X349:AE349),"")</x:f>
      </x:c>
      <x:c r="BU349" s="40" t="str">
        <x:f>IF(COUNT(AF349:AM349)&gt;=7,AVERAGE(AF349:AM349),"")</x:f>
      </x:c>
      <x:c r="BV349" s="40" t="str">
        <x:f>IF(COUNT(AN349:AV349)&gt;=8,AVERAGE(AN349:AV349),"")</x:f>
      </x:c>
      <x:c r="BW349" s="40" t="str">
        <x:f>IF(COUNT(AW349:BD349)&gt;=7,AVERAGE(AW349:BD349),"")</x:f>
      </x:c>
      <x:c r="BX349" s="40" t="str">
        <x:f>IF(COUNT(BE349:BJ349)&gt;=5,AVERAGE(BE349:BJ349),"")</x:f>
      </x:c>
      <x:c r="BY349" s="40" t="str">
        <x:f>IF(COUNT(BK349:BR349)&gt;=7,AVERAGE(BK349:BR349),"")</x:f>
      </x:c>
    </x:row>
    <x:row r="350">
      <x:c r="A350" t="str">
        <x:v>R349</x:v>
      </x:c>
      <x:c r="BS350" s="40" t="str">
        <x:f>IF(COUNT(N350:W350)&gt;=8,AVERAGE(N350:W350),"")</x:f>
      </x:c>
      <x:c r="BT350" s="40" t="str">
        <x:f>IF(COUNT(X350:AE350)&gt;=7,AVERAGE(X350:AE350),"")</x:f>
      </x:c>
      <x:c r="BU350" s="40" t="str">
        <x:f>IF(COUNT(AF350:AM350)&gt;=7,AVERAGE(AF350:AM350),"")</x:f>
      </x:c>
      <x:c r="BV350" s="40" t="str">
        <x:f>IF(COUNT(AN350:AV350)&gt;=8,AVERAGE(AN350:AV350),"")</x:f>
      </x:c>
      <x:c r="BW350" s="40" t="str">
        <x:f>IF(COUNT(AW350:BD350)&gt;=7,AVERAGE(AW350:BD350),"")</x:f>
      </x:c>
      <x:c r="BX350" s="40" t="str">
        <x:f>IF(COUNT(BE350:BJ350)&gt;=5,AVERAGE(BE350:BJ350),"")</x:f>
      </x:c>
      <x:c r="BY350" s="40" t="str">
        <x:f>IF(COUNT(BK350:BR350)&gt;=7,AVERAGE(BK350:BR350),"")</x:f>
      </x:c>
    </x:row>
    <x:row r="351">
      <x:c r="A351" t="str">
        <x:v>R350</x:v>
      </x:c>
      <x:c r="BS351" s="40" t="str">
        <x:f>IF(COUNT(N351:W351)&gt;=8,AVERAGE(N351:W351),"")</x:f>
      </x:c>
      <x:c r="BT351" s="40" t="str">
        <x:f>IF(COUNT(X351:AE351)&gt;=7,AVERAGE(X351:AE351),"")</x:f>
      </x:c>
      <x:c r="BU351" s="40" t="str">
        <x:f>IF(COUNT(AF351:AM351)&gt;=7,AVERAGE(AF351:AM351),"")</x:f>
      </x:c>
      <x:c r="BV351" s="40" t="str">
        <x:f>IF(COUNT(AN351:AV351)&gt;=8,AVERAGE(AN351:AV351),"")</x:f>
      </x:c>
      <x:c r="BW351" s="40" t="str">
        <x:f>IF(COUNT(AW351:BD351)&gt;=7,AVERAGE(AW351:BD351),"")</x:f>
      </x:c>
      <x:c r="BX351" s="40" t="str">
        <x:f>IF(COUNT(BE351:BJ351)&gt;=5,AVERAGE(BE351:BJ351),"")</x:f>
      </x:c>
      <x:c r="BY351" s="40" t="str">
        <x:f>IF(COUNT(BK351:BR351)&gt;=7,AVERAGE(BK351:BR351),"")</x:f>
      </x:c>
    </x:row>
    <x:row r="352">
      <x:c r="A352" t="str">
        <x:v>R351</x:v>
      </x:c>
      <x:c r="BS352" s="40" t="str">
        <x:f>IF(COUNT(N352:W352)&gt;=8,AVERAGE(N352:W352),"")</x:f>
      </x:c>
      <x:c r="BT352" s="40" t="str">
        <x:f>IF(COUNT(X352:AE352)&gt;=7,AVERAGE(X352:AE352),"")</x:f>
      </x:c>
      <x:c r="BU352" s="40" t="str">
        <x:f>IF(COUNT(AF352:AM352)&gt;=7,AVERAGE(AF352:AM352),"")</x:f>
      </x:c>
      <x:c r="BV352" s="40" t="str">
        <x:f>IF(COUNT(AN352:AV352)&gt;=8,AVERAGE(AN352:AV352),"")</x:f>
      </x:c>
      <x:c r="BW352" s="40" t="str">
        <x:f>IF(COUNT(AW352:BD352)&gt;=7,AVERAGE(AW352:BD352),"")</x:f>
      </x:c>
      <x:c r="BX352" s="40" t="str">
        <x:f>IF(COUNT(BE352:BJ352)&gt;=5,AVERAGE(BE352:BJ352),"")</x:f>
      </x:c>
      <x:c r="BY352" s="40" t="str">
        <x:f>IF(COUNT(BK352:BR352)&gt;=7,AVERAGE(BK352:BR352),"")</x:f>
      </x:c>
    </x:row>
    <x:row r="353">
      <x:c r="A353" t="str">
        <x:v>R352</x:v>
      </x:c>
      <x:c r="BS353" s="40" t="str">
        <x:f>IF(COUNT(N353:W353)&gt;=8,AVERAGE(N353:W353),"")</x:f>
      </x:c>
      <x:c r="BT353" s="40" t="str">
        <x:f>IF(COUNT(X353:AE353)&gt;=7,AVERAGE(X353:AE353),"")</x:f>
      </x:c>
      <x:c r="BU353" s="40" t="str">
        <x:f>IF(COUNT(AF353:AM353)&gt;=7,AVERAGE(AF353:AM353),"")</x:f>
      </x:c>
      <x:c r="BV353" s="40" t="str">
        <x:f>IF(COUNT(AN353:AV353)&gt;=8,AVERAGE(AN353:AV353),"")</x:f>
      </x:c>
      <x:c r="BW353" s="40" t="str">
        <x:f>IF(COUNT(AW353:BD353)&gt;=7,AVERAGE(AW353:BD353),"")</x:f>
      </x:c>
      <x:c r="BX353" s="40" t="str">
        <x:f>IF(COUNT(BE353:BJ353)&gt;=5,AVERAGE(BE353:BJ353),"")</x:f>
      </x:c>
      <x:c r="BY353" s="40" t="str">
        <x:f>IF(COUNT(BK353:BR353)&gt;=7,AVERAGE(BK353:BR353),"")</x:f>
      </x:c>
    </x:row>
    <x:row r="354">
      <x:c r="A354" t="str">
        <x:v>R353</x:v>
      </x:c>
      <x:c r="BS354" s="40" t="str">
        <x:f>IF(COUNT(N354:W354)&gt;=8,AVERAGE(N354:W354),"")</x:f>
      </x:c>
      <x:c r="BT354" s="40" t="str">
        <x:f>IF(COUNT(X354:AE354)&gt;=7,AVERAGE(X354:AE354),"")</x:f>
      </x:c>
      <x:c r="BU354" s="40" t="str">
        <x:f>IF(COUNT(AF354:AM354)&gt;=7,AVERAGE(AF354:AM354),"")</x:f>
      </x:c>
      <x:c r="BV354" s="40" t="str">
        <x:f>IF(COUNT(AN354:AV354)&gt;=8,AVERAGE(AN354:AV354),"")</x:f>
      </x:c>
      <x:c r="BW354" s="40" t="str">
        <x:f>IF(COUNT(AW354:BD354)&gt;=7,AVERAGE(AW354:BD354),"")</x:f>
      </x:c>
      <x:c r="BX354" s="40" t="str">
        <x:f>IF(COUNT(BE354:BJ354)&gt;=5,AVERAGE(BE354:BJ354),"")</x:f>
      </x:c>
      <x:c r="BY354" s="40" t="str">
        <x:f>IF(COUNT(BK354:BR354)&gt;=7,AVERAGE(BK354:BR354),"")</x:f>
      </x:c>
    </x:row>
    <x:row r="355">
      <x:c r="A355" t="str">
        <x:v>R354</x:v>
      </x:c>
      <x:c r="BS355" s="40" t="str">
        <x:f>IF(COUNT(N355:W355)&gt;=8,AVERAGE(N355:W355),"")</x:f>
      </x:c>
      <x:c r="BT355" s="40" t="str">
        <x:f>IF(COUNT(X355:AE355)&gt;=7,AVERAGE(X355:AE355),"")</x:f>
      </x:c>
      <x:c r="BU355" s="40" t="str">
        <x:f>IF(COUNT(AF355:AM355)&gt;=7,AVERAGE(AF355:AM355),"")</x:f>
      </x:c>
      <x:c r="BV355" s="40" t="str">
        <x:f>IF(COUNT(AN355:AV355)&gt;=8,AVERAGE(AN355:AV355),"")</x:f>
      </x:c>
      <x:c r="BW355" s="40" t="str">
        <x:f>IF(COUNT(AW355:BD355)&gt;=7,AVERAGE(AW355:BD355),"")</x:f>
      </x:c>
      <x:c r="BX355" s="40" t="str">
        <x:f>IF(COUNT(BE355:BJ355)&gt;=5,AVERAGE(BE355:BJ355),"")</x:f>
      </x:c>
      <x:c r="BY355" s="40" t="str">
        <x:f>IF(COUNT(BK355:BR355)&gt;=7,AVERAGE(BK355:BR355),"")</x:f>
      </x:c>
    </x:row>
    <x:row r="356">
      <x:c r="A356" t="str">
        <x:v>R355</x:v>
      </x:c>
      <x:c r="BS356" s="40" t="str">
        <x:f>IF(COUNT(N356:W356)&gt;=8,AVERAGE(N356:W356),"")</x:f>
      </x:c>
      <x:c r="BT356" s="40" t="str">
        <x:f>IF(COUNT(X356:AE356)&gt;=7,AVERAGE(X356:AE356),"")</x:f>
      </x:c>
      <x:c r="BU356" s="40" t="str">
        <x:f>IF(COUNT(AF356:AM356)&gt;=7,AVERAGE(AF356:AM356),"")</x:f>
      </x:c>
      <x:c r="BV356" s="40" t="str">
        <x:f>IF(COUNT(AN356:AV356)&gt;=8,AVERAGE(AN356:AV356),"")</x:f>
      </x:c>
      <x:c r="BW356" s="40" t="str">
        <x:f>IF(COUNT(AW356:BD356)&gt;=7,AVERAGE(AW356:BD356),"")</x:f>
      </x:c>
      <x:c r="BX356" s="40" t="str">
        <x:f>IF(COUNT(BE356:BJ356)&gt;=5,AVERAGE(BE356:BJ356),"")</x:f>
      </x:c>
      <x:c r="BY356" s="40" t="str">
        <x:f>IF(COUNT(BK356:BR356)&gt;=7,AVERAGE(BK356:BR356),"")</x:f>
      </x:c>
    </x:row>
    <x:row r="357">
      <x:c r="A357" t="str">
        <x:v>R356</x:v>
      </x:c>
      <x:c r="BS357" s="40" t="str">
        <x:f>IF(COUNT(N357:W357)&gt;=8,AVERAGE(N357:W357),"")</x:f>
      </x:c>
      <x:c r="BT357" s="40" t="str">
        <x:f>IF(COUNT(X357:AE357)&gt;=7,AVERAGE(X357:AE357),"")</x:f>
      </x:c>
      <x:c r="BU357" s="40" t="str">
        <x:f>IF(COUNT(AF357:AM357)&gt;=7,AVERAGE(AF357:AM357),"")</x:f>
      </x:c>
      <x:c r="BV357" s="40" t="str">
        <x:f>IF(COUNT(AN357:AV357)&gt;=8,AVERAGE(AN357:AV357),"")</x:f>
      </x:c>
      <x:c r="BW357" s="40" t="str">
        <x:f>IF(COUNT(AW357:BD357)&gt;=7,AVERAGE(AW357:BD357),"")</x:f>
      </x:c>
      <x:c r="BX357" s="40" t="str">
        <x:f>IF(COUNT(BE357:BJ357)&gt;=5,AVERAGE(BE357:BJ357),"")</x:f>
      </x:c>
      <x:c r="BY357" s="40" t="str">
        <x:f>IF(COUNT(BK357:BR357)&gt;=7,AVERAGE(BK357:BR357),"")</x:f>
      </x:c>
    </x:row>
    <x:row r="358">
      <x:c r="A358" t="str">
        <x:v>R357</x:v>
      </x:c>
      <x:c r="BS358" s="40" t="str">
        <x:f>IF(COUNT(N358:W358)&gt;=8,AVERAGE(N358:W358),"")</x:f>
      </x:c>
      <x:c r="BT358" s="40" t="str">
        <x:f>IF(COUNT(X358:AE358)&gt;=7,AVERAGE(X358:AE358),"")</x:f>
      </x:c>
      <x:c r="BU358" s="40" t="str">
        <x:f>IF(COUNT(AF358:AM358)&gt;=7,AVERAGE(AF358:AM358),"")</x:f>
      </x:c>
      <x:c r="BV358" s="40" t="str">
        <x:f>IF(COUNT(AN358:AV358)&gt;=8,AVERAGE(AN358:AV358),"")</x:f>
      </x:c>
      <x:c r="BW358" s="40" t="str">
        <x:f>IF(COUNT(AW358:BD358)&gt;=7,AVERAGE(AW358:BD358),"")</x:f>
      </x:c>
      <x:c r="BX358" s="40" t="str">
        <x:f>IF(COUNT(BE358:BJ358)&gt;=5,AVERAGE(BE358:BJ358),"")</x:f>
      </x:c>
      <x:c r="BY358" s="40" t="str">
        <x:f>IF(COUNT(BK358:BR358)&gt;=7,AVERAGE(BK358:BR358),"")</x:f>
      </x:c>
    </x:row>
    <x:row r="359">
      <x:c r="A359" t="str">
        <x:v>R358</x:v>
      </x:c>
      <x:c r="BS359" s="40" t="str">
        <x:f>IF(COUNT(N359:W359)&gt;=8,AVERAGE(N359:W359),"")</x:f>
      </x:c>
      <x:c r="BT359" s="40" t="str">
        <x:f>IF(COUNT(X359:AE359)&gt;=7,AVERAGE(X359:AE359),"")</x:f>
      </x:c>
      <x:c r="BU359" s="40" t="str">
        <x:f>IF(COUNT(AF359:AM359)&gt;=7,AVERAGE(AF359:AM359),"")</x:f>
      </x:c>
      <x:c r="BV359" s="40" t="str">
        <x:f>IF(COUNT(AN359:AV359)&gt;=8,AVERAGE(AN359:AV359),"")</x:f>
      </x:c>
      <x:c r="BW359" s="40" t="str">
        <x:f>IF(COUNT(AW359:BD359)&gt;=7,AVERAGE(AW359:BD359),"")</x:f>
      </x:c>
      <x:c r="BX359" s="40" t="str">
        <x:f>IF(COUNT(BE359:BJ359)&gt;=5,AVERAGE(BE359:BJ359),"")</x:f>
      </x:c>
      <x:c r="BY359" s="40" t="str">
        <x:f>IF(COUNT(BK359:BR359)&gt;=7,AVERAGE(BK359:BR359),"")</x:f>
      </x:c>
    </x:row>
    <x:row r="360">
      <x:c r="A360" t="str">
        <x:v>R359</x:v>
      </x:c>
      <x:c r="BS360" s="40" t="str">
        <x:f>IF(COUNT(N360:W360)&gt;=8,AVERAGE(N360:W360),"")</x:f>
      </x:c>
      <x:c r="BT360" s="40" t="str">
        <x:f>IF(COUNT(X360:AE360)&gt;=7,AVERAGE(X360:AE360),"")</x:f>
      </x:c>
      <x:c r="BU360" s="40" t="str">
        <x:f>IF(COUNT(AF360:AM360)&gt;=7,AVERAGE(AF360:AM360),"")</x:f>
      </x:c>
      <x:c r="BV360" s="40" t="str">
        <x:f>IF(COUNT(AN360:AV360)&gt;=8,AVERAGE(AN360:AV360),"")</x:f>
      </x:c>
      <x:c r="BW360" s="40" t="str">
        <x:f>IF(COUNT(AW360:BD360)&gt;=7,AVERAGE(AW360:BD360),"")</x:f>
      </x:c>
      <x:c r="BX360" s="40" t="str">
        <x:f>IF(COUNT(BE360:BJ360)&gt;=5,AVERAGE(BE360:BJ360),"")</x:f>
      </x:c>
      <x:c r="BY360" s="40" t="str">
        <x:f>IF(COUNT(BK360:BR360)&gt;=7,AVERAGE(BK360:BR360),"")</x:f>
      </x:c>
    </x:row>
    <x:row r="361">
      <x:c r="A361" t="str">
        <x:v>R360</x:v>
      </x:c>
      <x:c r="BS361" s="40" t="str">
        <x:f>IF(COUNT(N361:W361)&gt;=8,AVERAGE(N361:W361),"")</x:f>
      </x:c>
      <x:c r="BT361" s="40" t="str">
        <x:f>IF(COUNT(X361:AE361)&gt;=7,AVERAGE(X361:AE361),"")</x:f>
      </x:c>
      <x:c r="BU361" s="40" t="str">
        <x:f>IF(COUNT(AF361:AM361)&gt;=7,AVERAGE(AF361:AM361),"")</x:f>
      </x:c>
      <x:c r="BV361" s="40" t="str">
        <x:f>IF(COUNT(AN361:AV361)&gt;=8,AVERAGE(AN361:AV361),"")</x:f>
      </x:c>
      <x:c r="BW361" s="40" t="str">
        <x:f>IF(COUNT(AW361:BD361)&gt;=7,AVERAGE(AW361:BD361),"")</x:f>
      </x:c>
      <x:c r="BX361" s="40" t="str">
        <x:f>IF(COUNT(BE361:BJ361)&gt;=5,AVERAGE(BE361:BJ361),"")</x:f>
      </x:c>
      <x:c r="BY361" s="40" t="str">
        <x:f>IF(COUNT(BK361:BR361)&gt;=7,AVERAGE(BK361:BR361),"")</x:f>
      </x:c>
    </x:row>
    <x:row r="362">
      <x:c r="A362" t="str">
        <x:v>R361</x:v>
      </x:c>
      <x:c r="BS362" s="40" t="str">
        <x:f>IF(COUNT(N362:W362)&gt;=8,AVERAGE(N362:W362),"")</x:f>
      </x:c>
      <x:c r="BT362" s="40" t="str">
        <x:f>IF(COUNT(X362:AE362)&gt;=7,AVERAGE(X362:AE362),"")</x:f>
      </x:c>
      <x:c r="BU362" s="40" t="str">
        <x:f>IF(COUNT(AF362:AM362)&gt;=7,AVERAGE(AF362:AM362),"")</x:f>
      </x:c>
      <x:c r="BV362" s="40" t="str">
        <x:f>IF(COUNT(AN362:AV362)&gt;=8,AVERAGE(AN362:AV362),"")</x:f>
      </x:c>
      <x:c r="BW362" s="40" t="str">
        <x:f>IF(COUNT(AW362:BD362)&gt;=7,AVERAGE(AW362:BD362),"")</x:f>
      </x:c>
      <x:c r="BX362" s="40" t="str">
        <x:f>IF(COUNT(BE362:BJ362)&gt;=5,AVERAGE(BE362:BJ362),"")</x:f>
      </x:c>
      <x:c r="BY362" s="40" t="str">
        <x:f>IF(COUNT(BK362:BR362)&gt;=7,AVERAGE(BK362:BR362),"")</x:f>
      </x:c>
    </x:row>
    <x:row r="363">
      <x:c r="A363" t="str">
        <x:v>R362</x:v>
      </x:c>
      <x:c r="BS363" s="40" t="str">
        <x:f>IF(COUNT(N363:W363)&gt;=8,AVERAGE(N363:W363),"")</x:f>
      </x:c>
      <x:c r="BT363" s="40" t="str">
        <x:f>IF(COUNT(X363:AE363)&gt;=7,AVERAGE(X363:AE363),"")</x:f>
      </x:c>
      <x:c r="BU363" s="40" t="str">
        <x:f>IF(COUNT(AF363:AM363)&gt;=7,AVERAGE(AF363:AM363),"")</x:f>
      </x:c>
      <x:c r="BV363" s="40" t="str">
        <x:f>IF(COUNT(AN363:AV363)&gt;=8,AVERAGE(AN363:AV363),"")</x:f>
      </x:c>
      <x:c r="BW363" s="40" t="str">
        <x:f>IF(COUNT(AW363:BD363)&gt;=7,AVERAGE(AW363:BD363),"")</x:f>
      </x:c>
      <x:c r="BX363" s="40" t="str">
        <x:f>IF(COUNT(BE363:BJ363)&gt;=5,AVERAGE(BE363:BJ363),"")</x:f>
      </x:c>
      <x:c r="BY363" s="40" t="str">
        <x:f>IF(COUNT(BK363:BR363)&gt;=7,AVERAGE(BK363:BR363),"")</x:f>
      </x:c>
    </x:row>
    <x:row r="364">
      <x:c r="A364" t="str">
        <x:v>R363</x:v>
      </x:c>
      <x:c r="BS364" s="40" t="str">
        <x:f>IF(COUNT(N364:W364)&gt;=8,AVERAGE(N364:W364),"")</x:f>
      </x:c>
      <x:c r="BT364" s="40" t="str">
        <x:f>IF(COUNT(X364:AE364)&gt;=7,AVERAGE(X364:AE364),"")</x:f>
      </x:c>
      <x:c r="BU364" s="40" t="str">
        <x:f>IF(COUNT(AF364:AM364)&gt;=7,AVERAGE(AF364:AM364),"")</x:f>
      </x:c>
      <x:c r="BV364" s="40" t="str">
        <x:f>IF(COUNT(AN364:AV364)&gt;=8,AVERAGE(AN364:AV364),"")</x:f>
      </x:c>
      <x:c r="BW364" s="40" t="str">
        <x:f>IF(COUNT(AW364:BD364)&gt;=7,AVERAGE(AW364:BD364),"")</x:f>
      </x:c>
      <x:c r="BX364" s="40" t="str">
        <x:f>IF(COUNT(BE364:BJ364)&gt;=5,AVERAGE(BE364:BJ364),"")</x:f>
      </x:c>
      <x:c r="BY364" s="40" t="str">
        <x:f>IF(COUNT(BK364:BR364)&gt;=7,AVERAGE(BK364:BR364),"")</x:f>
      </x:c>
    </x:row>
    <x:row r="365">
      <x:c r="A365" t="str">
        <x:v>R364</x:v>
      </x:c>
      <x:c r="BS365" s="40" t="str">
        <x:f>IF(COUNT(N365:W365)&gt;=8,AVERAGE(N365:W365),"")</x:f>
      </x:c>
      <x:c r="BT365" s="40" t="str">
        <x:f>IF(COUNT(X365:AE365)&gt;=7,AVERAGE(X365:AE365),"")</x:f>
      </x:c>
      <x:c r="BU365" s="40" t="str">
        <x:f>IF(COUNT(AF365:AM365)&gt;=7,AVERAGE(AF365:AM365),"")</x:f>
      </x:c>
      <x:c r="BV365" s="40" t="str">
        <x:f>IF(COUNT(AN365:AV365)&gt;=8,AVERAGE(AN365:AV365),"")</x:f>
      </x:c>
      <x:c r="BW365" s="40" t="str">
        <x:f>IF(COUNT(AW365:BD365)&gt;=7,AVERAGE(AW365:BD365),"")</x:f>
      </x:c>
      <x:c r="BX365" s="40" t="str">
        <x:f>IF(COUNT(BE365:BJ365)&gt;=5,AVERAGE(BE365:BJ365),"")</x:f>
      </x:c>
      <x:c r="BY365" s="40" t="str">
        <x:f>IF(COUNT(BK365:BR365)&gt;=7,AVERAGE(BK365:BR365),"")</x:f>
      </x:c>
    </x:row>
    <x:row r="366">
      <x:c r="A366" t="str">
        <x:v>R365</x:v>
      </x:c>
      <x:c r="BS366" s="40" t="str">
        <x:f>IF(COUNT(N366:W366)&gt;=8,AVERAGE(N366:W366),"")</x:f>
      </x:c>
      <x:c r="BT366" s="40" t="str">
        <x:f>IF(COUNT(X366:AE366)&gt;=7,AVERAGE(X366:AE366),"")</x:f>
      </x:c>
      <x:c r="BU366" s="40" t="str">
        <x:f>IF(COUNT(AF366:AM366)&gt;=7,AVERAGE(AF366:AM366),"")</x:f>
      </x:c>
      <x:c r="BV366" s="40" t="str">
        <x:f>IF(COUNT(AN366:AV366)&gt;=8,AVERAGE(AN366:AV366),"")</x:f>
      </x:c>
      <x:c r="BW366" s="40" t="str">
        <x:f>IF(COUNT(AW366:BD366)&gt;=7,AVERAGE(AW366:BD366),"")</x:f>
      </x:c>
      <x:c r="BX366" s="40" t="str">
        <x:f>IF(COUNT(BE366:BJ366)&gt;=5,AVERAGE(BE366:BJ366),"")</x:f>
      </x:c>
      <x:c r="BY366" s="40" t="str">
        <x:f>IF(COUNT(BK366:BR366)&gt;=7,AVERAGE(BK366:BR366),"")</x:f>
      </x:c>
    </x:row>
    <x:row r="367">
      <x:c r="A367" t="str">
        <x:v>R366</x:v>
      </x:c>
      <x:c r="BS367" s="40" t="str">
        <x:f>IF(COUNT(N367:W367)&gt;=8,AVERAGE(N367:W367),"")</x:f>
      </x:c>
      <x:c r="BT367" s="40" t="str">
        <x:f>IF(COUNT(X367:AE367)&gt;=7,AVERAGE(X367:AE367),"")</x:f>
      </x:c>
      <x:c r="BU367" s="40" t="str">
        <x:f>IF(COUNT(AF367:AM367)&gt;=7,AVERAGE(AF367:AM367),"")</x:f>
      </x:c>
      <x:c r="BV367" s="40" t="str">
        <x:f>IF(COUNT(AN367:AV367)&gt;=8,AVERAGE(AN367:AV367),"")</x:f>
      </x:c>
      <x:c r="BW367" s="40" t="str">
        <x:f>IF(COUNT(AW367:BD367)&gt;=7,AVERAGE(AW367:BD367),"")</x:f>
      </x:c>
      <x:c r="BX367" s="40" t="str">
        <x:f>IF(COUNT(BE367:BJ367)&gt;=5,AVERAGE(BE367:BJ367),"")</x:f>
      </x:c>
      <x:c r="BY367" s="40" t="str">
        <x:f>IF(COUNT(BK367:BR367)&gt;=7,AVERAGE(BK367:BR367),"")</x:f>
      </x:c>
    </x:row>
    <x:row r="368">
      <x:c r="A368" t="str">
        <x:v>R367</x:v>
      </x:c>
      <x:c r="BS368" s="40" t="str">
        <x:f>IF(COUNT(N368:W368)&gt;=8,AVERAGE(N368:W368),"")</x:f>
      </x:c>
      <x:c r="BT368" s="40" t="str">
        <x:f>IF(COUNT(X368:AE368)&gt;=7,AVERAGE(X368:AE368),"")</x:f>
      </x:c>
      <x:c r="BU368" s="40" t="str">
        <x:f>IF(COUNT(AF368:AM368)&gt;=7,AVERAGE(AF368:AM368),"")</x:f>
      </x:c>
      <x:c r="BV368" s="40" t="str">
        <x:f>IF(COUNT(AN368:AV368)&gt;=8,AVERAGE(AN368:AV368),"")</x:f>
      </x:c>
      <x:c r="BW368" s="40" t="str">
        <x:f>IF(COUNT(AW368:BD368)&gt;=7,AVERAGE(AW368:BD368),"")</x:f>
      </x:c>
      <x:c r="BX368" s="40" t="str">
        <x:f>IF(COUNT(BE368:BJ368)&gt;=5,AVERAGE(BE368:BJ368),"")</x:f>
      </x:c>
      <x:c r="BY368" s="40" t="str">
        <x:f>IF(COUNT(BK368:BR368)&gt;=7,AVERAGE(BK368:BR368),"")</x:f>
      </x:c>
    </x:row>
    <x:row r="369">
      <x:c r="A369" t="str">
        <x:v>R368</x:v>
      </x:c>
      <x:c r="BS369" s="40" t="str">
        <x:f>IF(COUNT(N369:W369)&gt;=8,AVERAGE(N369:W369),"")</x:f>
      </x:c>
      <x:c r="BT369" s="40" t="str">
        <x:f>IF(COUNT(X369:AE369)&gt;=7,AVERAGE(X369:AE369),"")</x:f>
      </x:c>
      <x:c r="BU369" s="40" t="str">
        <x:f>IF(COUNT(AF369:AM369)&gt;=7,AVERAGE(AF369:AM369),"")</x:f>
      </x:c>
      <x:c r="BV369" s="40" t="str">
        <x:f>IF(COUNT(AN369:AV369)&gt;=8,AVERAGE(AN369:AV369),"")</x:f>
      </x:c>
      <x:c r="BW369" s="40" t="str">
        <x:f>IF(COUNT(AW369:BD369)&gt;=7,AVERAGE(AW369:BD369),"")</x:f>
      </x:c>
      <x:c r="BX369" s="40" t="str">
        <x:f>IF(COUNT(BE369:BJ369)&gt;=5,AVERAGE(BE369:BJ369),"")</x:f>
      </x:c>
      <x:c r="BY369" s="40" t="str">
        <x:f>IF(COUNT(BK369:BR369)&gt;=7,AVERAGE(BK369:BR369),"")</x:f>
      </x:c>
    </x:row>
    <x:row r="370">
      <x:c r="A370" t="str">
        <x:v>R369</x:v>
      </x:c>
      <x:c r="BS370" s="40" t="str">
        <x:f>IF(COUNT(N370:W370)&gt;=8,AVERAGE(N370:W370),"")</x:f>
      </x:c>
      <x:c r="BT370" s="40" t="str">
        <x:f>IF(COUNT(X370:AE370)&gt;=7,AVERAGE(X370:AE370),"")</x:f>
      </x:c>
      <x:c r="BU370" s="40" t="str">
        <x:f>IF(COUNT(AF370:AM370)&gt;=7,AVERAGE(AF370:AM370),"")</x:f>
      </x:c>
      <x:c r="BV370" s="40" t="str">
        <x:f>IF(COUNT(AN370:AV370)&gt;=8,AVERAGE(AN370:AV370),"")</x:f>
      </x:c>
      <x:c r="BW370" s="40" t="str">
        <x:f>IF(COUNT(AW370:BD370)&gt;=7,AVERAGE(AW370:BD370),"")</x:f>
      </x:c>
      <x:c r="BX370" s="40" t="str">
        <x:f>IF(COUNT(BE370:BJ370)&gt;=5,AVERAGE(BE370:BJ370),"")</x:f>
      </x:c>
      <x:c r="BY370" s="40" t="str">
        <x:f>IF(COUNT(BK370:BR370)&gt;=7,AVERAGE(BK370:BR370),"")</x:f>
      </x:c>
    </x:row>
    <x:row r="371">
      <x:c r="A371" t="str">
        <x:v>R370</x:v>
      </x:c>
      <x:c r="BS371" s="40" t="str">
        <x:f>IF(COUNT(N371:W371)&gt;=8,AVERAGE(N371:W371),"")</x:f>
      </x:c>
      <x:c r="BT371" s="40" t="str">
        <x:f>IF(COUNT(X371:AE371)&gt;=7,AVERAGE(X371:AE371),"")</x:f>
      </x:c>
      <x:c r="BU371" s="40" t="str">
        <x:f>IF(COUNT(AF371:AM371)&gt;=7,AVERAGE(AF371:AM371),"")</x:f>
      </x:c>
      <x:c r="BV371" s="40" t="str">
        <x:f>IF(COUNT(AN371:AV371)&gt;=8,AVERAGE(AN371:AV371),"")</x:f>
      </x:c>
      <x:c r="BW371" s="40" t="str">
        <x:f>IF(COUNT(AW371:BD371)&gt;=7,AVERAGE(AW371:BD371),"")</x:f>
      </x:c>
      <x:c r="BX371" s="40" t="str">
        <x:f>IF(COUNT(BE371:BJ371)&gt;=5,AVERAGE(BE371:BJ371),"")</x:f>
      </x:c>
      <x:c r="BY371" s="40" t="str">
        <x:f>IF(COUNT(BK371:BR371)&gt;=7,AVERAGE(BK371:BR371),"")</x:f>
      </x:c>
    </x:row>
    <x:row r="372">
      <x:c r="A372" t="str">
        <x:v>R371</x:v>
      </x:c>
      <x:c r="BS372" s="40" t="str">
        <x:f>IF(COUNT(N372:W372)&gt;=8,AVERAGE(N372:W372),"")</x:f>
      </x:c>
      <x:c r="BT372" s="40" t="str">
        <x:f>IF(COUNT(X372:AE372)&gt;=7,AVERAGE(X372:AE372),"")</x:f>
      </x:c>
      <x:c r="BU372" s="40" t="str">
        <x:f>IF(COUNT(AF372:AM372)&gt;=7,AVERAGE(AF372:AM372),"")</x:f>
      </x:c>
      <x:c r="BV372" s="40" t="str">
        <x:f>IF(COUNT(AN372:AV372)&gt;=8,AVERAGE(AN372:AV372),"")</x:f>
      </x:c>
      <x:c r="BW372" s="40" t="str">
        <x:f>IF(COUNT(AW372:BD372)&gt;=7,AVERAGE(AW372:BD372),"")</x:f>
      </x:c>
      <x:c r="BX372" s="40" t="str">
        <x:f>IF(COUNT(BE372:BJ372)&gt;=5,AVERAGE(BE372:BJ372),"")</x:f>
      </x:c>
      <x:c r="BY372" s="40" t="str">
        <x:f>IF(COUNT(BK372:BR372)&gt;=7,AVERAGE(BK372:BR372),"")</x:f>
      </x:c>
    </x:row>
    <x:row r="373">
      <x:c r="A373" t="str">
        <x:v>R372</x:v>
      </x:c>
      <x:c r="BS373" s="40" t="str">
        <x:f>IF(COUNT(N373:W373)&gt;=8,AVERAGE(N373:W373),"")</x:f>
      </x:c>
      <x:c r="BT373" s="40" t="str">
        <x:f>IF(COUNT(X373:AE373)&gt;=7,AVERAGE(X373:AE373),"")</x:f>
      </x:c>
      <x:c r="BU373" s="40" t="str">
        <x:f>IF(COUNT(AF373:AM373)&gt;=7,AVERAGE(AF373:AM373),"")</x:f>
      </x:c>
      <x:c r="BV373" s="40" t="str">
        <x:f>IF(COUNT(AN373:AV373)&gt;=8,AVERAGE(AN373:AV373),"")</x:f>
      </x:c>
      <x:c r="BW373" s="40" t="str">
        <x:f>IF(COUNT(AW373:BD373)&gt;=7,AVERAGE(AW373:BD373),"")</x:f>
      </x:c>
      <x:c r="BX373" s="40" t="str">
        <x:f>IF(COUNT(BE373:BJ373)&gt;=5,AVERAGE(BE373:BJ373),"")</x:f>
      </x:c>
      <x:c r="BY373" s="40" t="str">
        <x:f>IF(COUNT(BK373:BR373)&gt;=7,AVERAGE(BK373:BR373),"")</x:f>
      </x:c>
    </x:row>
    <x:row r="374">
      <x:c r="A374" t="str">
        <x:v>R373</x:v>
      </x:c>
      <x:c r="BS374" s="40" t="str">
        <x:f>IF(COUNT(N374:W374)&gt;=8,AVERAGE(N374:W374),"")</x:f>
      </x:c>
      <x:c r="BT374" s="40" t="str">
        <x:f>IF(COUNT(X374:AE374)&gt;=7,AVERAGE(X374:AE374),"")</x:f>
      </x:c>
      <x:c r="BU374" s="40" t="str">
        <x:f>IF(COUNT(AF374:AM374)&gt;=7,AVERAGE(AF374:AM374),"")</x:f>
      </x:c>
      <x:c r="BV374" s="40" t="str">
        <x:f>IF(COUNT(AN374:AV374)&gt;=8,AVERAGE(AN374:AV374),"")</x:f>
      </x:c>
      <x:c r="BW374" s="40" t="str">
        <x:f>IF(COUNT(AW374:BD374)&gt;=7,AVERAGE(AW374:BD374),"")</x:f>
      </x:c>
      <x:c r="BX374" s="40" t="str">
        <x:f>IF(COUNT(BE374:BJ374)&gt;=5,AVERAGE(BE374:BJ374),"")</x:f>
      </x:c>
      <x:c r="BY374" s="40" t="str">
        <x:f>IF(COUNT(BK374:BR374)&gt;=7,AVERAGE(BK374:BR374),"")</x:f>
      </x:c>
    </x:row>
    <x:row r="375">
      <x:c r="A375" t="str">
        <x:v>R374</x:v>
      </x:c>
      <x:c r="BS375" s="40" t="str">
        <x:f>IF(COUNT(N375:W375)&gt;=8,AVERAGE(N375:W375),"")</x:f>
      </x:c>
      <x:c r="BT375" s="40" t="str">
        <x:f>IF(COUNT(X375:AE375)&gt;=7,AVERAGE(X375:AE375),"")</x:f>
      </x:c>
      <x:c r="BU375" s="40" t="str">
        <x:f>IF(COUNT(AF375:AM375)&gt;=7,AVERAGE(AF375:AM375),"")</x:f>
      </x:c>
      <x:c r="BV375" s="40" t="str">
        <x:f>IF(COUNT(AN375:AV375)&gt;=8,AVERAGE(AN375:AV375),"")</x:f>
      </x:c>
      <x:c r="BW375" s="40" t="str">
        <x:f>IF(COUNT(AW375:BD375)&gt;=7,AVERAGE(AW375:BD375),"")</x:f>
      </x:c>
      <x:c r="BX375" s="40" t="str">
        <x:f>IF(COUNT(BE375:BJ375)&gt;=5,AVERAGE(BE375:BJ375),"")</x:f>
      </x:c>
      <x:c r="BY375" s="40" t="str">
        <x:f>IF(COUNT(BK375:BR375)&gt;=7,AVERAGE(BK375:BR375),"")</x:f>
      </x:c>
    </x:row>
    <x:row r="376">
      <x:c r="A376" t="str">
        <x:v>R375</x:v>
      </x:c>
      <x:c r="BS376" s="40" t="str">
        <x:f>IF(COUNT(N376:W376)&gt;=8,AVERAGE(N376:W376),"")</x:f>
      </x:c>
      <x:c r="BT376" s="40" t="str">
        <x:f>IF(COUNT(X376:AE376)&gt;=7,AVERAGE(X376:AE376),"")</x:f>
      </x:c>
      <x:c r="BU376" s="40" t="str">
        <x:f>IF(COUNT(AF376:AM376)&gt;=7,AVERAGE(AF376:AM376),"")</x:f>
      </x:c>
      <x:c r="BV376" s="40" t="str">
        <x:f>IF(COUNT(AN376:AV376)&gt;=8,AVERAGE(AN376:AV376),"")</x:f>
      </x:c>
      <x:c r="BW376" s="40" t="str">
        <x:f>IF(COUNT(AW376:BD376)&gt;=7,AVERAGE(AW376:BD376),"")</x:f>
      </x:c>
      <x:c r="BX376" s="40" t="str">
        <x:f>IF(COUNT(BE376:BJ376)&gt;=5,AVERAGE(BE376:BJ376),"")</x:f>
      </x:c>
      <x:c r="BY376" s="40" t="str">
        <x:f>IF(COUNT(BK376:BR376)&gt;=7,AVERAGE(BK376:BR376),"")</x:f>
      </x:c>
    </x:row>
    <x:row r="377">
      <x:c r="A377" t="str">
        <x:v>R376</x:v>
      </x:c>
      <x:c r="BS377" s="40" t="str">
        <x:f>IF(COUNT(N377:W377)&gt;=8,AVERAGE(N377:W377),"")</x:f>
      </x:c>
      <x:c r="BT377" s="40" t="str">
        <x:f>IF(COUNT(X377:AE377)&gt;=7,AVERAGE(X377:AE377),"")</x:f>
      </x:c>
      <x:c r="BU377" s="40" t="str">
        <x:f>IF(COUNT(AF377:AM377)&gt;=7,AVERAGE(AF377:AM377),"")</x:f>
      </x:c>
      <x:c r="BV377" s="40" t="str">
        <x:f>IF(COUNT(AN377:AV377)&gt;=8,AVERAGE(AN377:AV377),"")</x:f>
      </x:c>
      <x:c r="BW377" s="40" t="str">
        <x:f>IF(COUNT(AW377:BD377)&gt;=7,AVERAGE(AW377:BD377),"")</x:f>
      </x:c>
      <x:c r="BX377" s="40" t="str">
        <x:f>IF(COUNT(BE377:BJ377)&gt;=5,AVERAGE(BE377:BJ377),"")</x:f>
      </x:c>
      <x:c r="BY377" s="40" t="str">
        <x:f>IF(COUNT(BK377:BR377)&gt;=7,AVERAGE(BK377:BR377),"")</x:f>
      </x:c>
    </x:row>
    <x:row r="378">
      <x:c r="A378" t="str">
        <x:v>R377</x:v>
      </x:c>
      <x:c r="BS378" s="40" t="str">
        <x:f>IF(COUNT(N378:W378)&gt;=8,AVERAGE(N378:W378),"")</x:f>
      </x:c>
      <x:c r="BT378" s="40" t="str">
        <x:f>IF(COUNT(X378:AE378)&gt;=7,AVERAGE(X378:AE378),"")</x:f>
      </x:c>
      <x:c r="BU378" s="40" t="str">
        <x:f>IF(COUNT(AF378:AM378)&gt;=7,AVERAGE(AF378:AM378),"")</x:f>
      </x:c>
      <x:c r="BV378" s="40" t="str">
        <x:f>IF(COUNT(AN378:AV378)&gt;=8,AVERAGE(AN378:AV378),"")</x:f>
      </x:c>
      <x:c r="BW378" s="40" t="str">
        <x:f>IF(COUNT(AW378:BD378)&gt;=7,AVERAGE(AW378:BD378),"")</x:f>
      </x:c>
      <x:c r="BX378" s="40" t="str">
        <x:f>IF(COUNT(BE378:BJ378)&gt;=5,AVERAGE(BE378:BJ378),"")</x:f>
      </x:c>
      <x:c r="BY378" s="40" t="str">
        <x:f>IF(COUNT(BK378:BR378)&gt;=7,AVERAGE(BK378:BR378),"")</x:f>
      </x:c>
    </x:row>
    <x:row r="379">
      <x:c r="A379" t="str">
        <x:v>R378</x:v>
      </x:c>
      <x:c r="BS379" s="40" t="str">
        <x:f>IF(COUNT(N379:W379)&gt;=8,AVERAGE(N379:W379),"")</x:f>
      </x:c>
      <x:c r="BT379" s="40" t="str">
        <x:f>IF(COUNT(X379:AE379)&gt;=7,AVERAGE(X379:AE379),"")</x:f>
      </x:c>
      <x:c r="BU379" s="40" t="str">
        <x:f>IF(COUNT(AF379:AM379)&gt;=7,AVERAGE(AF379:AM379),"")</x:f>
      </x:c>
      <x:c r="BV379" s="40" t="str">
        <x:f>IF(COUNT(AN379:AV379)&gt;=8,AVERAGE(AN379:AV379),"")</x:f>
      </x:c>
      <x:c r="BW379" s="40" t="str">
        <x:f>IF(COUNT(AW379:BD379)&gt;=7,AVERAGE(AW379:BD379),"")</x:f>
      </x:c>
      <x:c r="BX379" s="40" t="str">
        <x:f>IF(COUNT(BE379:BJ379)&gt;=5,AVERAGE(BE379:BJ379),"")</x:f>
      </x:c>
      <x:c r="BY379" s="40" t="str">
        <x:f>IF(COUNT(BK379:BR379)&gt;=7,AVERAGE(BK379:BR379),"")</x:f>
      </x:c>
    </x:row>
    <x:row r="380">
      <x:c r="A380" t="str">
        <x:v>R379</x:v>
      </x:c>
      <x:c r="BS380" s="40" t="str">
        <x:f>IF(COUNT(N380:W380)&gt;=8,AVERAGE(N380:W380),"")</x:f>
      </x:c>
      <x:c r="BT380" s="40" t="str">
        <x:f>IF(COUNT(X380:AE380)&gt;=7,AVERAGE(X380:AE380),"")</x:f>
      </x:c>
      <x:c r="BU380" s="40" t="str">
        <x:f>IF(COUNT(AF380:AM380)&gt;=7,AVERAGE(AF380:AM380),"")</x:f>
      </x:c>
      <x:c r="BV380" s="40" t="str">
        <x:f>IF(COUNT(AN380:AV380)&gt;=8,AVERAGE(AN380:AV380),"")</x:f>
      </x:c>
      <x:c r="BW380" s="40" t="str">
        <x:f>IF(COUNT(AW380:BD380)&gt;=7,AVERAGE(AW380:BD380),"")</x:f>
      </x:c>
      <x:c r="BX380" s="40" t="str">
        <x:f>IF(COUNT(BE380:BJ380)&gt;=5,AVERAGE(BE380:BJ380),"")</x:f>
      </x:c>
      <x:c r="BY380" s="40" t="str">
        <x:f>IF(COUNT(BK380:BR380)&gt;=7,AVERAGE(BK380:BR380),"")</x:f>
      </x:c>
    </x:row>
    <x:row r="381">
      <x:c r="A381" t="str">
        <x:v>R380</x:v>
      </x:c>
      <x:c r="BS381" s="40" t="str">
        <x:f>IF(COUNT(N381:W381)&gt;=8,AVERAGE(N381:W381),"")</x:f>
      </x:c>
      <x:c r="BT381" s="40" t="str">
        <x:f>IF(COUNT(X381:AE381)&gt;=7,AVERAGE(X381:AE381),"")</x:f>
      </x:c>
      <x:c r="BU381" s="40" t="str">
        <x:f>IF(COUNT(AF381:AM381)&gt;=7,AVERAGE(AF381:AM381),"")</x:f>
      </x:c>
      <x:c r="BV381" s="40" t="str">
        <x:f>IF(COUNT(AN381:AV381)&gt;=8,AVERAGE(AN381:AV381),"")</x:f>
      </x:c>
      <x:c r="BW381" s="40" t="str">
        <x:f>IF(COUNT(AW381:BD381)&gt;=7,AVERAGE(AW381:BD381),"")</x:f>
      </x:c>
      <x:c r="BX381" s="40" t="str">
        <x:f>IF(COUNT(BE381:BJ381)&gt;=5,AVERAGE(BE381:BJ381),"")</x:f>
      </x:c>
      <x:c r="BY381" s="40" t="str">
        <x:f>IF(COUNT(BK381:BR381)&gt;=7,AVERAGE(BK381:BR381),"")</x:f>
      </x:c>
    </x:row>
    <x:row r="382">
      <x:c r="A382" t="str">
        <x:v>R381</x:v>
      </x:c>
      <x:c r="BS382" s="40" t="str">
        <x:f>IF(COUNT(N382:W382)&gt;=8,AVERAGE(N382:W382),"")</x:f>
      </x:c>
      <x:c r="BT382" s="40" t="str">
        <x:f>IF(COUNT(X382:AE382)&gt;=7,AVERAGE(X382:AE382),"")</x:f>
      </x:c>
      <x:c r="BU382" s="40" t="str">
        <x:f>IF(COUNT(AF382:AM382)&gt;=7,AVERAGE(AF382:AM382),"")</x:f>
      </x:c>
      <x:c r="BV382" s="40" t="str">
        <x:f>IF(COUNT(AN382:AV382)&gt;=8,AVERAGE(AN382:AV382),"")</x:f>
      </x:c>
      <x:c r="BW382" s="40" t="str">
        <x:f>IF(COUNT(AW382:BD382)&gt;=7,AVERAGE(AW382:BD382),"")</x:f>
      </x:c>
      <x:c r="BX382" s="40" t="str">
        <x:f>IF(COUNT(BE382:BJ382)&gt;=5,AVERAGE(BE382:BJ382),"")</x:f>
      </x:c>
      <x:c r="BY382" s="40" t="str">
        <x:f>IF(COUNT(BK382:BR382)&gt;=7,AVERAGE(BK382:BR382),"")</x:f>
      </x:c>
    </x:row>
    <x:row r="383">
      <x:c r="A383" t="str">
        <x:v>R382</x:v>
      </x:c>
      <x:c r="BS383" s="40" t="str">
        <x:f>IF(COUNT(N383:W383)&gt;=8,AVERAGE(N383:W383),"")</x:f>
      </x:c>
      <x:c r="BT383" s="40" t="str">
        <x:f>IF(COUNT(X383:AE383)&gt;=7,AVERAGE(X383:AE383),"")</x:f>
      </x:c>
      <x:c r="BU383" s="40" t="str">
        <x:f>IF(COUNT(AF383:AM383)&gt;=7,AVERAGE(AF383:AM383),"")</x:f>
      </x:c>
      <x:c r="BV383" s="40" t="str">
        <x:f>IF(COUNT(AN383:AV383)&gt;=8,AVERAGE(AN383:AV383),"")</x:f>
      </x:c>
      <x:c r="BW383" s="40" t="str">
        <x:f>IF(COUNT(AW383:BD383)&gt;=7,AVERAGE(AW383:BD383),"")</x:f>
      </x:c>
      <x:c r="BX383" s="40" t="str">
        <x:f>IF(COUNT(BE383:BJ383)&gt;=5,AVERAGE(BE383:BJ383),"")</x:f>
      </x:c>
      <x:c r="BY383" s="40" t="str">
        <x:f>IF(COUNT(BK383:BR383)&gt;=7,AVERAGE(BK383:BR383),"")</x:f>
      </x:c>
    </x:row>
    <x:row r="384">
      <x:c r="A384" t="str">
        <x:v>R383</x:v>
      </x:c>
      <x:c r="BS384" s="40" t="str">
        <x:f>IF(COUNT(N384:W384)&gt;=8,AVERAGE(N384:W384),"")</x:f>
      </x:c>
      <x:c r="BT384" s="40" t="str">
        <x:f>IF(COUNT(X384:AE384)&gt;=7,AVERAGE(X384:AE384),"")</x:f>
      </x:c>
      <x:c r="BU384" s="40" t="str">
        <x:f>IF(COUNT(AF384:AM384)&gt;=7,AVERAGE(AF384:AM384),"")</x:f>
      </x:c>
      <x:c r="BV384" s="40" t="str">
        <x:f>IF(COUNT(AN384:AV384)&gt;=8,AVERAGE(AN384:AV384),"")</x:f>
      </x:c>
      <x:c r="BW384" s="40" t="str">
        <x:f>IF(COUNT(AW384:BD384)&gt;=7,AVERAGE(AW384:BD384),"")</x:f>
      </x:c>
      <x:c r="BX384" s="40" t="str">
        <x:f>IF(COUNT(BE384:BJ384)&gt;=5,AVERAGE(BE384:BJ384),"")</x:f>
      </x:c>
      <x:c r="BY384" s="40" t="str">
        <x:f>IF(COUNT(BK384:BR384)&gt;=7,AVERAGE(BK384:BR384),"")</x:f>
      </x:c>
    </x:row>
    <x:row r="385">
      <x:c r="A385" t="str">
        <x:v>R384</x:v>
      </x:c>
      <x:c r="BS385" s="40" t="str">
        <x:f>IF(COUNT(N385:W385)&gt;=8,AVERAGE(N385:W385),"")</x:f>
      </x:c>
      <x:c r="BT385" s="40" t="str">
        <x:f>IF(COUNT(X385:AE385)&gt;=7,AVERAGE(X385:AE385),"")</x:f>
      </x:c>
      <x:c r="BU385" s="40" t="str">
        <x:f>IF(COUNT(AF385:AM385)&gt;=7,AVERAGE(AF385:AM385),"")</x:f>
      </x:c>
      <x:c r="BV385" s="40" t="str">
        <x:f>IF(COUNT(AN385:AV385)&gt;=8,AVERAGE(AN385:AV385),"")</x:f>
      </x:c>
      <x:c r="BW385" s="40" t="str">
        <x:f>IF(COUNT(AW385:BD385)&gt;=7,AVERAGE(AW385:BD385),"")</x:f>
      </x:c>
      <x:c r="BX385" s="40" t="str">
        <x:f>IF(COUNT(BE385:BJ385)&gt;=5,AVERAGE(BE385:BJ385),"")</x:f>
      </x:c>
      <x:c r="BY385" s="40" t="str">
        <x:f>IF(COUNT(BK385:BR385)&gt;=7,AVERAGE(BK385:BR385),"")</x:f>
      </x:c>
    </x:row>
    <x:row r="386">
      <x:c r="A386" t="str">
        <x:v>R385</x:v>
      </x:c>
      <x:c r="BS386" s="40" t="str">
        <x:f>IF(COUNT(N386:W386)&gt;=8,AVERAGE(N386:W386),"")</x:f>
      </x:c>
      <x:c r="BT386" s="40" t="str">
        <x:f>IF(COUNT(X386:AE386)&gt;=7,AVERAGE(X386:AE386),"")</x:f>
      </x:c>
      <x:c r="BU386" s="40" t="str">
        <x:f>IF(COUNT(AF386:AM386)&gt;=7,AVERAGE(AF386:AM386),"")</x:f>
      </x:c>
      <x:c r="BV386" s="40" t="str">
        <x:f>IF(COUNT(AN386:AV386)&gt;=8,AVERAGE(AN386:AV386),"")</x:f>
      </x:c>
      <x:c r="BW386" s="40" t="str">
        <x:f>IF(COUNT(AW386:BD386)&gt;=7,AVERAGE(AW386:BD386),"")</x:f>
      </x:c>
      <x:c r="BX386" s="40" t="str">
        <x:f>IF(COUNT(BE386:BJ386)&gt;=5,AVERAGE(BE386:BJ386),"")</x:f>
      </x:c>
      <x:c r="BY386" s="40" t="str">
        <x:f>IF(COUNT(BK386:BR386)&gt;=7,AVERAGE(BK386:BR386),"")</x:f>
      </x:c>
    </x:row>
    <x:row r="387">
      <x:c r="A387" t="str">
        <x:v>R386</x:v>
      </x:c>
      <x:c r="BS387" s="40" t="str">
        <x:f>IF(COUNT(N387:W387)&gt;=8,AVERAGE(N387:W387),"")</x:f>
      </x:c>
      <x:c r="BT387" s="40" t="str">
        <x:f>IF(COUNT(X387:AE387)&gt;=7,AVERAGE(X387:AE387),"")</x:f>
      </x:c>
      <x:c r="BU387" s="40" t="str">
        <x:f>IF(COUNT(AF387:AM387)&gt;=7,AVERAGE(AF387:AM387),"")</x:f>
      </x:c>
      <x:c r="BV387" s="40" t="str">
        <x:f>IF(COUNT(AN387:AV387)&gt;=8,AVERAGE(AN387:AV387),"")</x:f>
      </x:c>
      <x:c r="BW387" s="40" t="str">
        <x:f>IF(COUNT(AW387:BD387)&gt;=7,AVERAGE(AW387:BD387),"")</x:f>
      </x:c>
      <x:c r="BX387" s="40" t="str">
        <x:f>IF(COUNT(BE387:BJ387)&gt;=5,AVERAGE(BE387:BJ387),"")</x:f>
      </x:c>
      <x:c r="BY387" s="40" t="str">
        <x:f>IF(COUNT(BK387:BR387)&gt;=7,AVERAGE(BK387:BR387),"")</x:f>
      </x:c>
    </x:row>
    <x:row r="388">
      <x:c r="A388" t="str">
        <x:v>R387</x:v>
      </x:c>
      <x:c r="BS388" s="40" t="str">
        <x:f>IF(COUNT(N388:W388)&gt;=8,AVERAGE(N388:W388),"")</x:f>
      </x:c>
      <x:c r="BT388" s="40" t="str">
        <x:f>IF(COUNT(X388:AE388)&gt;=7,AVERAGE(X388:AE388),"")</x:f>
      </x:c>
      <x:c r="BU388" s="40" t="str">
        <x:f>IF(COUNT(AF388:AM388)&gt;=7,AVERAGE(AF388:AM388),"")</x:f>
      </x:c>
      <x:c r="BV388" s="40" t="str">
        <x:f>IF(COUNT(AN388:AV388)&gt;=8,AVERAGE(AN388:AV388),"")</x:f>
      </x:c>
      <x:c r="BW388" s="40" t="str">
        <x:f>IF(COUNT(AW388:BD388)&gt;=7,AVERAGE(AW388:BD388),"")</x:f>
      </x:c>
      <x:c r="BX388" s="40" t="str">
        <x:f>IF(COUNT(BE388:BJ388)&gt;=5,AVERAGE(BE388:BJ388),"")</x:f>
      </x:c>
      <x:c r="BY388" s="40" t="str">
        <x:f>IF(COUNT(BK388:BR388)&gt;=7,AVERAGE(BK388:BR388),"")</x:f>
      </x:c>
    </x:row>
    <x:row r="389">
      <x:c r="A389" t="str">
        <x:v>R388</x:v>
      </x:c>
      <x:c r="BS389" s="40" t="str">
        <x:f>IF(COUNT(N389:W389)&gt;=8,AVERAGE(N389:W389),"")</x:f>
      </x:c>
      <x:c r="BT389" s="40" t="str">
        <x:f>IF(COUNT(X389:AE389)&gt;=7,AVERAGE(X389:AE389),"")</x:f>
      </x:c>
      <x:c r="BU389" s="40" t="str">
        <x:f>IF(COUNT(AF389:AM389)&gt;=7,AVERAGE(AF389:AM389),"")</x:f>
      </x:c>
      <x:c r="BV389" s="40" t="str">
        <x:f>IF(COUNT(AN389:AV389)&gt;=8,AVERAGE(AN389:AV389),"")</x:f>
      </x:c>
      <x:c r="BW389" s="40" t="str">
        <x:f>IF(COUNT(AW389:BD389)&gt;=7,AVERAGE(AW389:BD389),"")</x:f>
      </x:c>
      <x:c r="BX389" s="40" t="str">
        <x:f>IF(COUNT(BE389:BJ389)&gt;=5,AVERAGE(BE389:BJ389),"")</x:f>
      </x:c>
      <x:c r="BY389" s="40" t="str">
        <x:f>IF(COUNT(BK389:BR389)&gt;=7,AVERAGE(BK389:BR389),"")</x:f>
      </x:c>
    </x:row>
    <x:row r="390">
      <x:c r="A390" t="str">
        <x:v>R389</x:v>
      </x:c>
      <x:c r="BS390" s="40" t="str">
        <x:f>IF(COUNT(N390:W390)&gt;=8,AVERAGE(N390:W390),"")</x:f>
      </x:c>
      <x:c r="BT390" s="40" t="str">
        <x:f>IF(COUNT(X390:AE390)&gt;=7,AVERAGE(X390:AE390),"")</x:f>
      </x:c>
      <x:c r="BU390" s="40" t="str">
        <x:f>IF(COUNT(AF390:AM390)&gt;=7,AVERAGE(AF390:AM390),"")</x:f>
      </x:c>
      <x:c r="BV390" s="40" t="str">
        <x:f>IF(COUNT(AN390:AV390)&gt;=8,AVERAGE(AN390:AV390),"")</x:f>
      </x:c>
      <x:c r="BW390" s="40" t="str">
        <x:f>IF(COUNT(AW390:BD390)&gt;=7,AVERAGE(AW390:BD390),"")</x:f>
      </x:c>
      <x:c r="BX390" s="40" t="str">
        <x:f>IF(COUNT(BE390:BJ390)&gt;=5,AVERAGE(BE390:BJ390),"")</x:f>
      </x:c>
      <x:c r="BY390" s="40" t="str">
        <x:f>IF(COUNT(BK390:BR390)&gt;=7,AVERAGE(BK390:BR390),"")</x:f>
      </x:c>
    </x:row>
    <x:row r="391">
      <x:c r="A391" t="str">
        <x:v>R390</x:v>
      </x:c>
      <x:c r="BS391" s="40" t="str">
        <x:f>IF(COUNT(N391:W391)&gt;=8,AVERAGE(N391:W391),"")</x:f>
      </x:c>
      <x:c r="BT391" s="40" t="str">
        <x:f>IF(COUNT(X391:AE391)&gt;=7,AVERAGE(X391:AE391),"")</x:f>
      </x:c>
      <x:c r="BU391" s="40" t="str">
        <x:f>IF(COUNT(AF391:AM391)&gt;=7,AVERAGE(AF391:AM391),"")</x:f>
      </x:c>
      <x:c r="BV391" s="40" t="str">
        <x:f>IF(COUNT(AN391:AV391)&gt;=8,AVERAGE(AN391:AV391),"")</x:f>
      </x:c>
      <x:c r="BW391" s="40" t="str">
        <x:f>IF(COUNT(AW391:BD391)&gt;=7,AVERAGE(AW391:BD391),"")</x:f>
      </x:c>
      <x:c r="BX391" s="40" t="str">
        <x:f>IF(COUNT(BE391:BJ391)&gt;=5,AVERAGE(BE391:BJ391),"")</x:f>
      </x:c>
      <x:c r="BY391" s="40" t="str">
        <x:f>IF(COUNT(BK391:BR391)&gt;=7,AVERAGE(BK391:BR391),"")</x:f>
      </x:c>
    </x:row>
    <x:row r="392">
      <x:c r="A392" t="str">
        <x:v>R391</x:v>
      </x:c>
      <x:c r="BS392" s="40" t="str">
        <x:f>IF(COUNT(N392:W392)&gt;=8,AVERAGE(N392:W392),"")</x:f>
      </x:c>
      <x:c r="BT392" s="40" t="str">
        <x:f>IF(COUNT(X392:AE392)&gt;=7,AVERAGE(X392:AE392),"")</x:f>
      </x:c>
      <x:c r="BU392" s="40" t="str">
        <x:f>IF(COUNT(AF392:AM392)&gt;=7,AVERAGE(AF392:AM392),"")</x:f>
      </x:c>
      <x:c r="BV392" s="40" t="str">
        <x:f>IF(COUNT(AN392:AV392)&gt;=8,AVERAGE(AN392:AV392),"")</x:f>
      </x:c>
      <x:c r="BW392" s="40" t="str">
        <x:f>IF(COUNT(AW392:BD392)&gt;=7,AVERAGE(AW392:BD392),"")</x:f>
      </x:c>
      <x:c r="BX392" s="40" t="str">
        <x:f>IF(COUNT(BE392:BJ392)&gt;=5,AVERAGE(BE392:BJ392),"")</x:f>
      </x:c>
      <x:c r="BY392" s="40" t="str">
        <x:f>IF(COUNT(BK392:BR392)&gt;=7,AVERAGE(BK392:BR392),"")</x:f>
      </x:c>
    </x:row>
    <x:row r="393">
      <x:c r="A393" t="str">
        <x:v>R392</x:v>
      </x:c>
      <x:c r="BS393" s="40" t="str">
        <x:f>IF(COUNT(N393:W393)&gt;=8,AVERAGE(N393:W393),"")</x:f>
      </x:c>
      <x:c r="BT393" s="40" t="str">
        <x:f>IF(COUNT(X393:AE393)&gt;=7,AVERAGE(X393:AE393),"")</x:f>
      </x:c>
      <x:c r="BU393" s="40" t="str">
        <x:f>IF(COUNT(AF393:AM393)&gt;=7,AVERAGE(AF393:AM393),"")</x:f>
      </x:c>
      <x:c r="BV393" s="40" t="str">
        <x:f>IF(COUNT(AN393:AV393)&gt;=8,AVERAGE(AN393:AV393),"")</x:f>
      </x:c>
      <x:c r="BW393" s="40" t="str">
        <x:f>IF(COUNT(AW393:BD393)&gt;=7,AVERAGE(AW393:BD393),"")</x:f>
      </x:c>
      <x:c r="BX393" s="40" t="str">
        <x:f>IF(COUNT(BE393:BJ393)&gt;=5,AVERAGE(BE393:BJ393),"")</x:f>
      </x:c>
      <x:c r="BY393" s="40" t="str">
        <x:f>IF(COUNT(BK393:BR393)&gt;=7,AVERAGE(BK393:BR393),"")</x:f>
      </x:c>
    </x:row>
    <x:row r="394">
      <x:c r="A394" t="str">
        <x:v>R393</x:v>
      </x:c>
      <x:c r="BS394" s="40" t="str">
        <x:f>IF(COUNT(N394:W394)&gt;=8,AVERAGE(N394:W394),"")</x:f>
      </x:c>
      <x:c r="BT394" s="40" t="str">
        <x:f>IF(COUNT(X394:AE394)&gt;=7,AVERAGE(X394:AE394),"")</x:f>
      </x:c>
      <x:c r="BU394" s="40" t="str">
        <x:f>IF(COUNT(AF394:AM394)&gt;=7,AVERAGE(AF394:AM394),"")</x:f>
      </x:c>
      <x:c r="BV394" s="40" t="str">
        <x:f>IF(COUNT(AN394:AV394)&gt;=8,AVERAGE(AN394:AV394),"")</x:f>
      </x:c>
      <x:c r="BW394" s="40" t="str">
        <x:f>IF(COUNT(AW394:BD394)&gt;=7,AVERAGE(AW394:BD394),"")</x:f>
      </x:c>
      <x:c r="BX394" s="40" t="str">
        <x:f>IF(COUNT(BE394:BJ394)&gt;=5,AVERAGE(BE394:BJ394),"")</x:f>
      </x:c>
      <x:c r="BY394" s="40" t="str">
        <x:f>IF(COUNT(BK394:BR394)&gt;=7,AVERAGE(BK394:BR394),"")</x:f>
      </x:c>
    </x:row>
    <x:row r="395">
      <x:c r="A395" t="str">
        <x:v>R394</x:v>
      </x:c>
      <x:c r="BS395" s="40" t="str">
        <x:f>IF(COUNT(N395:W395)&gt;=8,AVERAGE(N395:W395),"")</x:f>
      </x:c>
      <x:c r="BT395" s="40" t="str">
        <x:f>IF(COUNT(X395:AE395)&gt;=7,AVERAGE(X395:AE395),"")</x:f>
      </x:c>
      <x:c r="BU395" s="40" t="str">
        <x:f>IF(COUNT(AF395:AM395)&gt;=7,AVERAGE(AF395:AM395),"")</x:f>
      </x:c>
      <x:c r="BV395" s="40" t="str">
        <x:f>IF(COUNT(AN395:AV395)&gt;=8,AVERAGE(AN395:AV395),"")</x:f>
      </x:c>
      <x:c r="BW395" s="40" t="str">
        <x:f>IF(COUNT(AW395:BD395)&gt;=7,AVERAGE(AW395:BD395),"")</x:f>
      </x:c>
      <x:c r="BX395" s="40" t="str">
        <x:f>IF(COUNT(BE395:BJ395)&gt;=5,AVERAGE(BE395:BJ395),"")</x:f>
      </x:c>
      <x:c r="BY395" s="40" t="str">
        <x:f>IF(COUNT(BK395:BR395)&gt;=7,AVERAGE(BK395:BR395),"")</x:f>
      </x:c>
    </x:row>
    <x:row r="396">
      <x:c r="A396" t="str">
        <x:v>R395</x:v>
      </x:c>
      <x:c r="BS396" s="40" t="str">
        <x:f>IF(COUNT(N396:W396)&gt;=8,AVERAGE(N396:W396),"")</x:f>
      </x:c>
      <x:c r="BT396" s="40" t="str">
        <x:f>IF(COUNT(X396:AE396)&gt;=7,AVERAGE(X396:AE396),"")</x:f>
      </x:c>
      <x:c r="BU396" s="40" t="str">
        <x:f>IF(COUNT(AF396:AM396)&gt;=7,AVERAGE(AF396:AM396),"")</x:f>
      </x:c>
      <x:c r="BV396" s="40" t="str">
        <x:f>IF(COUNT(AN396:AV396)&gt;=8,AVERAGE(AN396:AV396),"")</x:f>
      </x:c>
      <x:c r="BW396" s="40" t="str">
        <x:f>IF(COUNT(AW396:BD396)&gt;=7,AVERAGE(AW396:BD396),"")</x:f>
      </x:c>
      <x:c r="BX396" s="40" t="str">
        <x:f>IF(COUNT(BE396:BJ396)&gt;=5,AVERAGE(BE396:BJ396),"")</x:f>
      </x:c>
      <x:c r="BY396" s="40" t="str">
        <x:f>IF(COUNT(BK396:BR396)&gt;=7,AVERAGE(BK396:BR396),"")</x:f>
      </x:c>
    </x:row>
    <x:row r="397">
      <x:c r="A397" t="str">
        <x:v>R396</x:v>
      </x:c>
      <x:c r="BS397" s="40" t="str">
        <x:f>IF(COUNT(N397:W397)&gt;=8,AVERAGE(N397:W397),"")</x:f>
      </x:c>
      <x:c r="BT397" s="40" t="str">
        <x:f>IF(COUNT(X397:AE397)&gt;=7,AVERAGE(X397:AE397),"")</x:f>
      </x:c>
      <x:c r="BU397" s="40" t="str">
        <x:f>IF(COUNT(AF397:AM397)&gt;=7,AVERAGE(AF397:AM397),"")</x:f>
      </x:c>
      <x:c r="BV397" s="40" t="str">
        <x:f>IF(COUNT(AN397:AV397)&gt;=8,AVERAGE(AN397:AV397),"")</x:f>
      </x:c>
      <x:c r="BW397" s="40" t="str">
        <x:f>IF(COUNT(AW397:BD397)&gt;=7,AVERAGE(AW397:BD397),"")</x:f>
      </x:c>
      <x:c r="BX397" s="40" t="str">
        <x:f>IF(COUNT(BE397:BJ397)&gt;=5,AVERAGE(BE397:BJ397),"")</x:f>
      </x:c>
      <x:c r="BY397" s="40" t="str">
        <x:f>IF(COUNT(BK397:BR397)&gt;=7,AVERAGE(BK397:BR397),"")</x:f>
      </x:c>
    </x:row>
    <x:row r="398">
      <x:c r="A398" t="str">
        <x:v>R397</x:v>
      </x:c>
      <x:c r="BS398" s="40" t="str">
        <x:f>IF(COUNT(N398:W398)&gt;=8,AVERAGE(N398:W398),"")</x:f>
      </x:c>
      <x:c r="BT398" s="40" t="str">
        <x:f>IF(COUNT(X398:AE398)&gt;=7,AVERAGE(X398:AE398),"")</x:f>
      </x:c>
      <x:c r="BU398" s="40" t="str">
        <x:f>IF(COUNT(AF398:AM398)&gt;=7,AVERAGE(AF398:AM398),"")</x:f>
      </x:c>
      <x:c r="BV398" s="40" t="str">
        <x:f>IF(COUNT(AN398:AV398)&gt;=8,AVERAGE(AN398:AV398),"")</x:f>
      </x:c>
      <x:c r="BW398" s="40" t="str">
        <x:f>IF(COUNT(AW398:BD398)&gt;=7,AVERAGE(AW398:BD398),"")</x:f>
      </x:c>
      <x:c r="BX398" s="40" t="str">
        <x:f>IF(COUNT(BE398:BJ398)&gt;=5,AVERAGE(BE398:BJ398),"")</x:f>
      </x:c>
      <x:c r="BY398" s="40" t="str">
        <x:f>IF(COUNT(BK398:BR398)&gt;=7,AVERAGE(BK398:BR398),"")</x:f>
      </x:c>
    </x:row>
    <x:row r="399">
      <x:c r="A399" t="str">
        <x:v>R398</x:v>
      </x:c>
      <x:c r="BS399" s="40" t="str">
        <x:f>IF(COUNT(N399:W399)&gt;=8,AVERAGE(N399:W399),"")</x:f>
      </x:c>
      <x:c r="BT399" s="40" t="str">
        <x:f>IF(COUNT(X399:AE399)&gt;=7,AVERAGE(X399:AE399),"")</x:f>
      </x:c>
      <x:c r="BU399" s="40" t="str">
        <x:f>IF(COUNT(AF399:AM399)&gt;=7,AVERAGE(AF399:AM399),"")</x:f>
      </x:c>
      <x:c r="BV399" s="40" t="str">
        <x:f>IF(COUNT(AN399:AV399)&gt;=8,AVERAGE(AN399:AV399),"")</x:f>
      </x:c>
      <x:c r="BW399" s="40" t="str">
        <x:f>IF(COUNT(AW399:BD399)&gt;=7,AVERAGE(AW399:BD399),"")</x:f>
      </x:c>
      <x:c r="BX399" s="40" t="str">
        <x:f>IF(COUNT(BE399:BJ399)&gt;=5,AVERAGE(BE399:BJ399),"")</x:f>
      </x:c>
      <x:c r="BY399" s="40" t="str">
        <x:f>IF(COUNT(BK399:BR399)&gt;=7,AVERAGE(BK399:BR399),"")</x:f>
      </x:c>
    </x:row>
    <x:row r="400">
      <x:c r="A400" t="str">
        <x:v>R399</x:v>
      </x:c>
      <x:c r="BS400" s="40" t="str">
        <x:f>IF(COUNT(N400:W400)&gt;=8,AVERAGE(N400:W400),"")</x:f>
      </x:c>
      <x:c r="BT400" s="40" t="str">
        <x:f>IF(COUNT(X400:AE400)&gt;=7,AVERAGE(X400:AE400),"")</x:f>
      </x:c>
      <x:c r="BU400" s="40" t="str">
        <x:f>IF(COUNT(AF400:AM400)&gt;=7,AVERAGE(AF400:AM400),"")</x:f>
      </x:c>
      <x:c r="BV400" s="40" t="str">
        <x:f>IF(COUNT(AN400:AV400)&gt;=8,AVERAGE(AN400:AV400),"")</x:f>
      </x:c>
      <x:c r="BW400" s="40" t="str">
        <x:f>IF(COUNT(AW400:BD400)&gt;=7,AVERAGE(AW400:BD400),"")</x:f>
      </x:c>
      <x:c r="BX400" s="40" t="str">
        <x:f>IF(COUNT(BE400:BJ400)&gt;=5,AVERAGE(BE400:BJ400),"")</x:f>
      </x:c>
      <x:c r="BY400" s="40" t="str">
        <x:f>IF(COUNT(BK400:BR400)&gt;=7,AVERAGE(BK400:BR400),"")</x:f>
      </x:c>
    </x:row>
    <x:row r="401">
      <x:c r="A401" t="str">
        <x:v>R400</x:v>
      </x:c>
      <x:c r="BS401" s="40" t="str">
        <x:f>IF(COUNT(N401:W401)&gt;=8,AVERAGE(N401:W401),"")</x:f>
      </x:c>
      <x:c r="BT401" s="40" t="str">
        <x:f>IF(COUNT(X401:AE401)&gt;=7,AVERAGE(X401:AE401),"")</x:f>
      </x:c>
      <x:c r="BU401" s="40" t="str">
        <x:f>IF(COUNT(AF401:AM401)&gt;=7,AVERAGE(AF401:AM401),"")</x:f>
      </x:c>
      <x:c r="BV401" s="40" t="str">
        <x:f>IF(COUNT(AN401:AV401)&gt;=8,AVERAGE(AN401:AV401),"")</x:f>
      </x:c>
      <x:c r="BW401" s="40" t="str">
        <x:f>IF(COUNT(AW401:BD401)&gt;=7,AVERAGE(AW401:BD401),"")</x:f>
      </x:c>
      <x:c r="BX401" s="40" t="str">
        <x:f>IF(COUNT(BE401:BJ401)&gt;=5,AVERAGE(BE401:BJ401),"")</x:f>
      </x:c>
      <x:c r="BY401" s="40" t="str">
        <x:f>IF(COUNT(BK401:BR401)&gt;=7,AVERAGE(BK401:BR401),"")</x:f>
      </x:c>
    </x:row>
    <x:row r="402">
      <x:c r="A402" t="str">
        <x:v>R401</x:v>
      </x:c>
      <x:c r="BS402" s="40" t="str">
        <x:f>IF(COUNT(N402:W402)&gt;=8,AVERAGE(N402:W402),"")</x:f>
      </x:c>
      <x:c r="BT402" s="40" t="str">
        <x:f>IF(COUNT(X402:AE402)&gt;=7,AVERAGE(X402:AE402),"")</x:f>
      </x:c>
      <x:c r="BU402" s="40" t="str">
        <x:f>IF(COUNT(AF402:AM402)&gt;=7,AVERAGE(AF402:AM402),"")</x:f>
      </x:c>
      <x:c r="BV402" s="40" t="str">
        <x:f>IF(COUNT(AN402:AV402)&gt;=8,AVERAGE(AN402:AV402),"")</x:f>
      </x:c>
      <x:c r="BW402" s="40" t="str">
        <x:f>IF(COUNT(AW402:BD402)&gt;=7,AVERAGE(AW402:BD402),"")</x:f>
      </x:c>
      <x:c r="BX402" s="40" t="str">
        <x:f>IF(COUNT(BE402:BJ402)&gt;=5,AVERAGE(BE402:BJ402),"")</x:f>
      </x:c>
      <x:c r="BY402" s="40" t="str">
        <x:f>IF(COUNT(BK402:BR402)&gt;=7,AVERAGE(BK402:BR402),"")</x:f>
      </x:c>
    </x:row>
    <x:row r="403">
      <x:c r="A403" t="str">
        <x:v>R402</x:v>
      </x:c>
      <x:c r="BS403" s="40" t="str">
        <x:f>IF(COUNT(N403:W403)&gt;=8,AVERAGE(N403:W403),"")</x:f>
      </x:c>
      <x:c r="BT403" s="40" t="str">
        <x:f>IF(COUNT(X403:AE403)&gt;=7,AVERAGE(X403:AE403),"")</x:f>
      </x:c>
      <x:c r="BU403" s="40" t="str">
        <x:f>IF(COUNT(AF403:AM403)&gt;=7,AVERAGE(AF403:AM403),"")</x:f>
      </x:c>
      <x:c r="BV403" s="40" t="str">
        <x:f>IF(COUNT(AN403:AV403)&gt;=8,AVERAGE(AN403:AV403),"")</x:f>
      </x:c>
      <x:c r="BW403" s="40" t="str">
        <x:f>IF(COUNT(AW403:BD403)&gt;=7,AVERAGE(AW403:BD403),"")</x:f>
      </x:c>
      <x:c r="BX403" s="40" t="str">
        <x:f>IF(COUNT(BE403:BJ403)&gt;=5,AVERAGE(BE403:BJ403),"")</x:f>
      </x:c>
      <x:c r="BY403" s="40" t="str">
        <x:f>IF(COUNT(BK403:BR403)&gt;=7,AVERAGE(BK403:BR403),"")</x:f>
      </x:c>
    </x:row>
    <x:row r="404">
      <x:c r="A404" t="str">
        <x:v>R403</x:v>
      </x:c>
      <x:c r="BS404" s="40" t="str">
        <x:f>IF(COUNT(N404:W404)&gt;=8,AVERAGE(N404:W404),"")</x:f>
      </x:c>
      <x:c r="BT404" s="40" t="str">
        <x:f>IF(COUNT(X404:AE404)&gt;=7,AVERAGE(X404:AE404),"")</x:f>
      </x:c>
      <x:c r="BU404" s="40" t="str">
        <x:f>IF(COUNT(AF404:AM404)&gt;=7,AVERAGE(AF404:AM404),"")</x:f>
      </x:c>
      <x:c r="BV404" s="40" t="str">
        <x:f>IF(COUNT(AN404:AV404)&gt;=8,AVERAGE(AN404:AV404),"")</x:f>
      </x:c>
      <x:c r="BW404" s="40" t="str">
        <x:f>IF(COUNT(AW404:BD404)&gt;=7,AVERAGE(AW404:BD404),"")</x:f>
      </x:c>
      <x:c r="BX404" s="40" t="str">
        <x:f>IF(COUNT(BE404:BJ404)&gt;=5,AVERAGE(BE404:BJ404),"")</x:f>
      </x:c>
      <x:c r="BY404" s="40" t="str">
        <x:f>IF(COUNT(BK404:BR404)&gt;=7,AVERAGE(BK404:BR404),"")</x:f>
      </x:c>
    </x:row>
    <x:row r="405">
      <x:c r="A405" t="str">
        <x:v>R404</x:v>
      </x:c>
      <x:c r="BS405" s="40" t="str">
        <x:f>IF(COUNT(N405:W405)&gt;=8,AVERAGE(N405:W405),"")</x:f>
      </x:c>
      <x:c r="BT405" s="40" t="str">
        <x:f>IF(COUNT(X405:AE405)&gt;=7,AVERAGE(X405:AE405),"")</x:f>
      </x:c>
      <x:c r="BU405" s="40" t="str">
        <x:f>IF(COUNT(AF405:AM405)&gt;=7,AVERAGE(AF405:AM405),"")</x:f>
      </x:c>
      <x:c r="BV405" s="40" t="str">
        <x:f>IF(COUNT(AN405:AV405)&gt;=8,AVERAGE(AN405:AV405),"")</x:f>
      </x:c>
      <x:c r="BW405" s="40" t="str">
        <x:f>IF(COUNT(AW405:BD405)&gt;=7,AVERAGE(AW405:BD405),"")</x:f>
      </x:c>
      <x:c r="BX405" s="40" t="str">
        <x:f>IF(COUNT(BE405:BJ405)&gt;=5,AVERAGE(BE405:BJ405),"")</x:f>
      </x:c>
      <x:c r="BY405" s="40" t="str">
        <x:f>IF(COUNT(BK405:BR405)&gt;=7,AVERAGE(BK405:BR405),"")</x:f>
      </x:c>
    </x:row>
    <x:row r="406">
      <x:c r="A406" t="str">
        <x:v>R405</x:v>
      </x:c>
      <x:c r="BS406" s="40" t="str">
        <x:f>IF(COUNT(N406:W406)&gt;=8,AVERAGE(N406:W406),"")</x:f>
      </x:c>
      <x:c r="BT406" s="40" t="str">
        <x:f>IF(COUNT(X406:AE406)&gt;=7,AVERAGE(X406:AE406),"")</x:f>
      </x:c>
      <x:c r="BU406" s="40" t="str">
        <x:f>IF(COUNT(AF406:AM406)&gt;=7,AVERAGE(AF406:AM406),"")</x:f>
      </x:c>
      <x:c r="BV406" s="40" t="str">
        <x:f>IF(COUNT(AN406:AV406)&gt;=8,AVERAGE(AN406:AV406),"")</x:f>
      </x:c>
      <x:c r="BW406" s="40" t="str">
        <x:f>IF(COUNT(AW406:BD406)&gt;=7,AVERAGE(AW406:BD406),"")</x:f>
      </x:c>
      <x:c r="BX406" s="40" t="str">
        <x:f>IF(COUNT(BE406:BJ406)&gt;=5,AVERAGE(BE406:BJ406),"")</x:f>
      </x:c>
      <x:c r="BY406" s="40" t="str">
        <x:f>IF(COUNT(BK406:BR406)&gt;=7,AVERAGE(BK406:BR406),"")</x:f>
      </x:c>
    </x:row>
    <x:row r="407">
      <x:c r="A407" t="str">
        <x:v>R406</x:v>
      </x:c>
      <x:c r="BS407" s="40" t="str">
        <x:f>IF(COUNT(N407:W407)&gt;=8,AVERAGE(N407:W407),"")</x:f>
      </x:c>
      <x:c r="BT407" s="40" t="str">
        <x:f>IF(COUNT(X407:AE407)&gt;=7,AVERAGE(X407:AE407),"")</x:f>
      </x:c>
      <x:c r="BU407" s="40" t="str">
        <x:f>IF(COUNT(AF407:AM407)&gt;=7,AVERAGE(AF407:AM407),"")</x:f>
      </x:c>
      <x:c r="BV407" s="40" t="str">
        <x:f>IF(COUNT(AN407:AV407)&gt;=8,AVERAGE(AN407:AV407),"")</x:f>
      </x:c>
      <x:c r="BW407" s="40" t="str">
        <x:f>IF(COUNT(AW407:BD407)&gt;=7,AVERAGE(AW407:BD407),"")</x:f>
      </x:c>
      <x:c r="BX407" s="40" t="str">
        <x:f>IF(COUNT(BE407:BJ407)&gt;=5,AVERAGE(BE407:BJ407),"")</x:f>
      </x:c>
      <x:c r="BY407" s="40" t="str">
        <x:f>IF(COUNT(BK407:BR407)&gt;=7,AVERAGE(BK407:BR407),"")</x:f>
      </x:c>
    </x:row>
    <x:row r="408">
      <x:c r="A408" t="str">
        <x:v>R407</x:v>
      </x:c>
      <x:c r="BS408" s="40" t="str">
        <x:f>IF(COUNT(N408:W408)&gt;=8,AVERAGE(N408:W408),"")</x:f>
      </x:c>
      <x:c r="BT408" s="40" t="str">
        <x:f>IF(COUNT(X408:AE408)&gt;=7,AVERAGE(X408:AE408),"")</x:f>
      </x:c>
      <x:c r="BU408" s="40" t="str">
        <x:f>IF(COUNT(AF408:AM408)&gt;=7,AVERAGE(AF408:AM408),"")</x:f>
      </x:c>
      <x:c r="BV408" s="40" t="str">
        <x:f>IF(COUNT(AN408:AV408)&gt;=8,AVERAGE(AN408:AV408),"")</x:f>
      </x:c>
      <x:c r="BW408" s="40" t="str">
        <x:f>IF(COUNT(AW408:BD408)&gt;=7,AVERAGE(AW408:BD408),"")</x:f>
      </x:c>
      <x:c r="BX408" s="40" t="str">
        <x:f>IF(COUNT(BE408:BJ408)&gt;=5,AVERAGE(BE408:BJ408),"")</x:f>
      </x:c>
      <x:c r="BY408" s="40" t="str">
        <x:f>IF(COUNT(BK408:BR408)&gt;=7,AVERAGE(BK408:BR408),"")</x:f>
      </x:c>
    </x:row>
    <x:row r="409">
      <x:c r="A409" t="str">
        <x:v>R408</x:v>
      </x:c>
      <x:c r="BS409" s="40" t="str">
        <x:f>IF(COUNT(N409:W409)&gt;=8,AVERAGE(N409:W409),"")</x:f>
      </x:c>
      <x:c r="BT409" s="40" t="str">
        <x:f>IF(COUNT(X409:AE409)&gt;=7,AVERAGE(X409:AE409),"")</x:f>
      </x:c>
      <x:c r="BU409" s="40" t="str">
        <x:f>IF(COUNT(AF409:AM409)&gt;=7,AVERAGE(AF409:AM409),"")</x:f>
      </x:c>
      <x:c r="BV409" s="40" t="str">
        <x:f>IF(COUNT(AN409:AV409)&gt;=8,AVERAGE(AN409:AV409),"")</x:f>
      </x:c>
      <x:c r="BW409" s="40" t="str">
        <x:f>IF(COUNT(AW409:BD409)&gt;=7,AVERAGE(AW409:BD409),"")</x:f>
      </x:c>
      <x:c r="BX409" s="40" t="str">
        <x:f>IF(COUNT(BE409:BJ409)&gt;=5,AVERAGE(BE409:BJ409),"")</x:f>
      </x:c>
      <x:c r="BY409" s="40" t="str">
        <x:f>IF(COUNT(BK409:BR409)&gt;=7,AVERAGE(BK409:BR409),"")</x:f>
      </x:c>
    </x:row>
    <x:row r="410">
      <x:c r="A410" t="str">
        <x:v>R409</x:v>
      </x:c>
      <x:c r="BS410" s="40" t="str">
        <x:f>IF(COUNT(N410:W410)&gt;=8,AVERAGE(N410:W410),"")</x:f>
      </x:c>
      <x:c r="BT410" s="40" t="str">
        <x:f>IF(COUNT(X410:AE410)&gt;=7,AVERAGE(X410:AE410),"")</x:f>
      </x:c>
      <x:c r="BU410" s="40" t="str">
        <x:f>IF(COUNT(AF410:AM410)&gt;=7,AVERAGE(AF410:AM410),"")</x:f>
      </x:c>
      <x:c r="BV410" s="40" t="str">
        <x:f>IF(COUNT(AN410:AV410)&gt;=8,AVERAGE(AN410:AV410),"")</x:f>
      </x:c>
      <x:c r="BW410" s="40" t="str">
        <x:f>IF(COUNT(AW410:BD410)&gt;=7,AVERAGE(AW410:BD410),"")</x:f>
      </x:c>
      <x:c r="BX410" s="40" t="str">
        <x:f>IF(COUNT(BE410:BJ410)&gt;=5,AVERAGE(BE410:BJ410),"")</x:f>
      </x:c>
      <x:c r="BY410" s="40" t="str">
        <x:f>IF(COUNT(BK410:BR410)&gt;=7,AVERAGE(BK410:BR410),"")</x:f>
      </x:c>
    </x:row>
    <x:row r="411">
      <x:c r="A411" t="str">
        <x:v>R410</x:v>
      </x:c>
      <x:c r="BS411" s="40" t="str">
        <x:f>IF(COUNT(N411:W411)&gt;=8,AVERAGE(N411:W411),"")</x:f>
      </x:c>
      <x:c r="BT411" s="40" t="str">
        <x:f>IF(COUNT(X411:AE411)&gt;=7,AVERAGE(X411:AE411),"")</x:f>
      </x:c>
      <x:c r="BU411" s="40" t="str">
        <x:f>IF(COUNT(AF411:AM411)&gt;=7,AVERAGE(AF411:AM411),"")</x:f>
      </x:c>
      <x:c r="BV411" s="40" t="str">
        <x:f>IF(COUNT(AN411:AV411)&gt;=8,AVERAGE(AN411:AV411),"")</x:f>
      </x:c>
      <x:c r="BW411" s="40" t="str">
        <x:f>IF(COUNT(AW411:BD411)&gt;=7,AVERAGE(AW411:BD411),"")</x:f>
      </x:c>
      <x:c r="BX411" s="40" t="str">
        <x:f>IF(COUNT(BE411:BJ411)&gt;=5,AVERAGE(BE411:BJ411),"")</x:f>
      </x:c>
      <x:c r="BY411" s="40" t="str">
        <x:f>IF(COUNT(BK411:BR411)&gt;=7,AVERAGE(BK411:BR411),"")</x:f>
      </x:c>
    </x:row>
    <x:row r="412">
      <x:c r="A412" t="str">
        <x:v>R411</x:v>
      </x:c>
      <x:c r="BS412" s="40" t="str">
        <x:f>IF(COUNT(N412:W412)&gt;=8,AVERAGE(N412:W412),"")</x:f>
      </x:c>
      <x:c r="BT412" s="40" t="str">
        <x:f>IF(COUNT(X412:AE412)&gt;=7,AVERAGE(X412:AE412),"")</x:f>
      </x:c>
      <x:c r="BU412" s="40" t="str">
        <x:f>IF(COUNT(AF412:AM412)&gt;=7,AVERAGE(AF412:AM412),"")</x:f>
      </x:c>
      <x:c r="BV412" s="40" t="str">
        <x:f>IF(COUNT(AN412:AV412)&gt;=8,AVERAGE(AN412:AV412),"")</x:f>
      </x:c>
      <x:c r="BW412" s="40" t="str">
        <x:f>IF(COUNT(AW412:BD412)&gt;=7,AVERAGE(AW412:BD412),"")</x:f>
      </x:c>
      <x:c r="BX412" s="40" t="str">
        <x:f>IF(COUNT(BE412:BJ412)&gt;=5,AVERAGE(BE412:BJ412),"")</x:f>
      </x:c>
      <x:c r="BY412" s="40" t="str">
        <x:f>IF(COUNT(BK412:BR412)&gt;=7,AVERAGE(BK412:BR412),"")</x:f>
      </x:c>
    </x:row>
    <x:row r="413">
      <x:c r="A413" t="str">
        <x:v>R412</x:v>
      </x:c>
      <x:c r="BS413" s="40" t="str">
        <x:f>IF(COUNT(N413:W413)&gt;=8,AVERAGE(N413:W413),"")</x:f>
      </x:c>
      <x:c r="BT413" s="40" t="str">
        <x:f>IF(COUNT(X413:AE413)&gt;=7,AVERAGE(X413:AE413),"")</x:f>
      </x:c>
      <x:c r="BU413" s="40" t="str">
        <x:f>IF(COUNT(AF413:AM413)&gt;=7,AVERAGE(AF413:AM413),"")</x:f>
      </x:c>
      <x:c r="BV413" s="40" t="str">
        <x:f>IF(COUNT(AN413:AV413)&gt;=8,AVERAGE(AN413:AV413),"")</x:f>
      </x:c>
      <x:c r="BW413" s="40" t="str">
        <x:f>IF(COUNT(AW413:BD413)&gt;=7,AVERAGE(AW413:BD413),"")</x:f>
      </x:c>
      <x:c r="BX413" s="40" t="str">
        <x:f>IF(COUNT(BE413:BJ413)&gt;=5,AVERAGE(BE413:BJ413),"")</x:f>
      </x:c>
      <x:c r="BY413" s="40" t="str">
        <x:f>IF(COUNT(BK413:BR413)&gt;=7,AVERAGE(BK413:BR413),"")</x:f>
      </x:c>
    </x:row>
    <x:row r="414">
      <x:c r="A414" t="str">
        <x:v>R413</x:v>
      </x:c>
      <x:c r="BS414" s="40" t="str">
        <x:f>IF(COUNT(N414:W414)&gt;=8,AVERAGE(N414:W414),"")</x:f>
      </x:c>
      <x:c r="BT414" s="40" t="str">
        <x:f>IF(COUNT(X414:AE414)&gt;=7,AVERAGE(X414:AE414),"")</x:f>
      </x:c>
      <x:c r="BU414" s="40" t="str">
        <x:f>IF(COUNT(AF414:AM414)&gt;=7,AVERAGE(AF414:AM414),"")</x:f>
      </x:c>
      <x:c r="BV414" s="40" t="str">
        <x:f>IF(COUNT(AN414:AV414)&gt;=8,AVERAGE(AN414:AV414),"")</x:f>
      </x:c>
      <x:c r="BW414" s="40" t="str">
        <x:f>IF(COUNT(AW414:BD414)&gt;=7,AVERAGE(AW414:BD414),"")</x:f>
      </x:c>
      <x:c r="BX414" s="40" t="str">
        <x:f>IF(COUNT(BE414:BJ414)&gt;=5,AVERAGE(BE414:BJ414),"")</x:f>
      </x:c>
      <x:c r="BY414" s="40" t="str">
        <x:f>IF(COUNT(BK414:BR414)&gt;=7,AVERAGE(BK414:BR414),"")</x:f>
      </x:c>
    </x:row>
    <x:row r="415">
      <x:c r="A415" t="str">
        <x:v>R414</x:v>
      </x:c>
      <x:c r="BS415" s="40" t="str">
        <x:f>IF(COUNT(N415:W415)&gt;=8,AVERAGE(N415:W415),"")</x:f>
      </x:c>
      <x:c r="BT415" s="40" t="str">
        <x:f>IF(COUNT(X415:AE415)&gt;=7,AVERAGE(X415:AE415),"")</x:f>
      </x:c>
      <x:c r="BU415" s="40" t="str">
        <x:f>IF(COUNT(AF415:AM415)&gt;=7,AVERAGE(AF415:AM415),"")</x:f>
      </x:c>
      <x:c r="BV415" s="40" t="str">
        <x:f>IF(COUNT(AN415:AV415)&gt;=8,AVERAGE(AN415:AV415),"")</x:f>
      </x:c>
      <x:c r="BW415" s="40" t="str">
        <x:f>IF(COUNT(AW415:BD415)&gt;=7,AVERAGE(AW415:BD415),"")</x:f>
      </x:c>
      <x:c r="BX415" s="40" t="str">
        <x:f>IF(COUNT(BE415:BJ415)&gt;=5,AVERAGE(BE415:BJ415),"")</x:f>
      </x:c>
      <x:c r="BY415" s="40" t="str">
        <x:f>IF(COUNT(BK415:BR415)&gt;=7,AVERAGE(BK415:BR415),"")</x:f>
      </x:c>
    </x:row>
    <x:row r="416">
      <x:c r="A416" t="str">
        <x:v>R415</x:v>
      </x:c>
      <x:c r="BS416" s="40" t="str">
        <x:f>IF(COUNT(N416:W416)&gt;=8,AVERAGE(N416:W416),"")</x:f>
      </x:c>
      <x:c r="BT416" s="40" t="str">
        <x:f>IF(COUNT(X416:AE416)&gt;=7,AVERAGE(X416:AE416),"")</x:f>
      </x:c>
      <x:c r="BU416" s="40" t="str">
        <x:f>IF(COUNT(AF416:AM416)&gt;=7,AVERAGE(AF416:AM416),"")</x:f>
      </x:c>
      <x:c r="BV416" s="40" t="str">
        <x:f>IF(COUNT(AN416:AV416)&gt;=8,AVERAGE(AN416:AV416),"")</x:f>
      </x:c>
      <x:c r="BW416" s="40" t="str">
        <x:f>IF(COUNT(AW416:BD416)&gt;=7,AVERAGE(AW416:BD416),"")</x:f>
      </x:c>
      <x:c r="BX416" s="40" t="str">
        <x:f>IF(COUNT(BE416:BJ416)&gt;=5,AVERAGE(BE416:BJ416),"")</x:f>
      </x:c>
      <x:c r="BY416" s="40" t="str">
        <x:f>IF(COUNT(BK416:BR416)&gt;=7,AVERAGE(BK416:BR416),"")</x:f>
      </x:c>
    </x:row>
    <x:row r="417">
      <x:c r="A417" t="str">
        <x:v>R416</x:v>
      </x:c>
      <x:c r="BS417" s="40" t="str">
        <x:f>IF(COUNT(N417:W417)&gt;=8,AVERAGE(N417:W417),"")</x:f>
      </x:c>
      <x:c r="BT417" s="40" t="str">
        <x:f>IF(COUNT(X417:AE417)&gt;=7,AVERAGE(X417:AE417),"")</x:f>
      </x:c>
      <x:c r="BU417" s="40" t="str">
        <x:f>IF(COUNT(AF417:AM417)&gt;=7,AVERAGE(AF417:AM417),"")</x:f>
      </x:c>
      <x:c r="BV417" s="40" t="str">
        <x:f>IF(COUNT(AN417:AV417)&gt;=8,AVERAGE(AN417:AV417),"")</x:f>
      </x:c>
      <x:c r="BW417" s="40" t="str">
        <x:f>IF(COUNT(AW417:BD417)&gt;=7,AVERAGE(AW417:BD417),"")</x:f>
      </x:c>
      <x:c r="BX417" s="40" t="str">
        <x:f>IF(COUNT(BE417:BJ417)&gt;=5,AVERAGE(BE417:BJ417),"")</x:f>
      </x:c>
      <x:c r="BY417" s="40" t="str">
        <x:f>IF(COUNT(BK417:BR417)&gt;=7,AVERAGE(BK417:BR417),"")</x:f>
      </x:c>
    </x:row>
    <x:row r="418">
      <x:c r="A418" t="str">
        <x:v>R417</x:v>
      </x:c>
      <x:c r="BS418" s="40" t="str">
        <x:f>IF(COUNT(N418:W418)&gt;=8,AVERAGE(N418:W418),"")</x:f>
      </x:c>
      <x:c r="BT418" s="40" t="str">
        <x:f>IF(COUNT(X418:AE418)&gt;=7,AVERAGE(X418:AE418),"")</x:f>
      </x:c>
      <x:c r="BU418" s="40" t="str">
        <x:f>IF(COUNT(AF418:AM418)&gt;=7,AVERAGE(AF418:AM418),"")</x:f>
      </x:c>
      <x:c r="BV418" s="40" t="str">
        <x:f>IF(COUNT(AN418:AV418)&gt;=8,AVERAGE(AN418:AV418),"")</x:f>
      </x:c>
      <x:c r="BW418" s="40" t="str">
        <x:f>IF(COUNT(AW418:BD418)&gt;=7,AVERAGE(AW418:BD418),"")</x:f>
      </x:c>
      <x:c r="BX418" s="40" t="str">
        <x:f>IF(COUNT(BE418:BJ418)&gt;=5,AVERAGE(BE418:BJ418),"")</x:f>
      </x:c>
      <x:c r="BY418" s="40" t="str">
        <x:f>IF(COUNT(BK418:BR418)&gt;=7,AVERAGE(BK418:BR418),"")</x:f>
      </x:c>
    </x:row>
    <x:row r="419">
      <x:c r="A419" t="str">
        <x:v>R418</x:v>
      </x:c>
      <x:c r="BS419" s="40" t="str">
        <x:f>IF(COUNT(N419:W419)&gt;=8,AVERAGE(N419:W419),"")</x:f>
      </x:c>
      <x:c r="BT419" s="40" t="str">
        <x:f>IF(COUNT(X419:AE419)&gt;=7,AVERAGE(X419:AE419),"")</x:f>
      </x:c>
      <x:c r="BU419" s="40" t="str">
        <x:f>IF(COUNT(AF419:AM419)&gt;=7,AVERAGE(AF419:AM419),"")</x:f>
      </x:c>
      <x:c r="BV419" s="40" t="str">
        <x:f>IF(COUNT(AN419:AV419)&gt;=8,AVERAGE(AN419:AV419),"")</x:f>
      </x:c>
      <x:c r="BW419" s="40" t="str">
        <x:f>IF(COUNT(AW419:BD419)&gt;=7,AVERAGE(AW419:BD419),"")</x:f>
      </x:c>
      <x:c r="BX419" s="40" t="str">
        <x:f>IF(COUNT(BE419:BJ419)&gt;=5,AVERAGE(BE419:BJ419),"")</x:f>
      </x:c>
      <x:c r="BY419" s="40" t="str">
        <x:f>IF(COUNT(BK419:BR419)&gt;=7,AVERAGE(BK419:BR419),"")</x:f>
      </x:c>
    </x:row>
    <x:row r="420">
      <x:c r="A420" t="str">
        <x:v>R419</x:v>
      </x:c>
      <x:c r="BS420" s="40" t="str">
        <x:f>IF(COUNT(N420:W420)&gt;=8,AVERAGE(N420:W420),"")</x:f>
      </x:c>
      <x:c r="BT420" s="40" t="str">
        <x:f>IF(COUNT(X420:AE420)&gt;=7,AVERAGE(X420:AE420),"")</x:f>
      </x:c>
      <x:c r="BU420" s="40" t="str">
        <x:f>IF(COUNT(AF420:AM420)&gt;=7,AVERAGE(AF420:AM420),"")</x:f>
      </x:c>
      <x:c r="BV420" s="40" t="str">
        <x:f>IF(COUNT(AN420:AV420)&gt;=8,AVERAGE(AN420:AV420),"")</x:f>
      </x:c>
      <x:c r="BW420" s="40" t="str">
        <x:f>IF(COUNT(AW420:BD420)&gt;=7,AVERAGE(AW420:BD420),"")</x:f>
      </x:c>
      <x:c r="BX420" s="40" t="str">
        <x:f>IF(COUNT(BE420:BJ420)&gt;=5,AVERAGE(BE420:BJ420),"")</x:f>
      </x:c>
      <x:c r="BY420" s="40" t="str">
        <x:f>IF(COUNT(BK420:BR420)&gt;=7,AVERAGE(BK420:BR420),"")</x:f>
      </x:c>
    </x:row>
    <x:row r="421">
      <x:c r="A421" t="str">
        <x:v>R420</x:v>
      </x:c>
      <x:c r="BS421" s="40" t="str">
        <x:f>IF(COUNT(N421:W421)&gt;=8,AVERAGE(N421:W421),"")</x:f>
      </x:c>
      <x:c r="BT421" s="40" t="str">
        <x:f>IF(COUNT(X421:AE421)&gt;=7,AVERAGE(X421:AE421),"")</x:f>
      </x:c>
      <x:c r="BU421" s="40" t="str">
        <x:f>IF(COUNT(AF421:AM421)&gt;=7,AVERAGE(AF421:AM421),"")</x:f>
      </x:c>
      <x:c r="BV421" s="40" t="str">
        <x:f>IF(COUNT(AN421:AV421)&gt;=8,AVERAGE(AN421:AV421),"")</x:f>
      </x:c>
      <x:c r="BW421" s="40" t="str">
        <x:f>IF(COUNT(AW421:BD421)&gt;=7,AVERAGE(AW421:BD421),"")</x:f>
      </x:c>
      <x:c r="BX421" s="40" t="str">
        <x:f>IF(COUNT(BE421:BJ421)&gt;=5,AVERAGE(BE421:BJ421),"")</x:f>
      </x:c>
      <x:c r="BY421" s="40" t="str">
        <x:f>IF(COUNT(BK421:BR421)&gt;=7,AVERAGE(BK421:BR421),"")</x:f>
      </x:c>
    </x:row>
    <x:row r="422">
      <x:c r="A422" t="str">
        <x:v>R421</x:v>
      </x:c>
      <x:c r="BS422" s="40" t="str">
        <x:f>IF(COUNT(N422:W422)&gt;=8,AVERAGE(N422:W422),"")</x:f>
      </x:c>
      <x:c r="BT422" s="40" t="str">
        <x:f>IF(COUNT(X422:AE422)&gt;=7,AVERAGE(X422:AE422),"")</x:f>
      </x:c>
      <x:c r="BU422" s="40" t="str">
        <x:f>IF(COUNT(AF422:AM422)&gt;=7,AVERAGE(AF422:AM422),"")</x:f>
      </x:c>
      <x:c r="BV422" s="40" t="str">
        <x:f>IF(COUNT(AN422:AV422)&gt;=8,AVERAGE(AN422:AV422),"")</x:f>
      </x:c>
      <x:c r="BW422" s="40" t="str">
        <x:f>IF(COUNT(AW422:BD422)&gt;=7,AVERAGE(AW422:BD422),"")</x:f>
      </x:c>
      <x:c r="BX422" s="40" t="str">
        <x:f>IF(COUNT(BE422:BJ422)&gt;=5,AVERAGE(BE422:BJ422),"")</x:f>
      </x:c>
      <x:c r="BY422" s="40" t="str">
        <x:f>IF(COUNT(BK422:BR422)&gt;=7,AVERAGE(BK422:BR422),"")</x:f>
      </x:c>
    </x:row>
    <x:row r="423">
      <x:c r="A423" t="str">
        <x:v>R422</x:v>
      </x:c>
      <x:c r="BS423" s="40" t="str">
        <x:f>IF(COUNT(N423:W423)&gt;=8,AVERAGE(N423:W423),"")</x:f>
      </x:c>
      <x:c r="BT423" s="40" t="str">
        <x:f>IF(COUNT(X423:AE423)&gt;=7,AVERAGE(X423:AE423),"")</x:f>
      </x:c>
      <x:c r="BU423" s="40" t="str">
        <x:f>IF(COUNT(AF423:AM423)&gt;=7,AVERAGE(AF423:AM423),"")</x:f>
      </x:c>
      <x:c r="BV423" s="40" t="str">
        <x:f>IF(COUNT(AN423:AV423)&gt;=8,AVERAGE(AN423:AV423),"")</x:f>
      </x:c>
      <x:c r="BW423" s="40" t="str">
        <x:f>IF(COUNT(AW423:BD423)&gt;=7,AVERAGE(AW423:BD423),"")</x:f>
      </x:c>
      <x:c r="BX423" s="40" t="str">
        <x:f>IF(COUNT(BE423:BJ423)&gt;=5,AVERAGE(BE423:BJ423),"")</x:f>
      </x:c>
      <x:c r="BY423" s="40" t="str">
        <x:f>IF(COUNT(BK423:BR423)&gt;=7,AVERAGE(BK423:BR423),"")</x:f>
      </x:c>
    </x:row>
    <x:row r="424">
      <x:c r="A424" t="str">
        <x:v>R423</x:v>
      </x:c>
      <x:c r="BS424" s="40" t="str">
        <x:f>IF(COUNT(N424:W424)&gt;=8,AVERAGE(N424:W424),"")</x:f>
      </x:c>
      <x:c r="BT424" s="40" t="str">
        <x:f>IF(COUNT(X424:AE424)&gt;=7,AVERAGE(X424:AE424),"")</x:f>
      </x:c>
      <x:c r="BU424" s="40" t="str">
        <x:f>IF(COUNT(AF424:AM424)&gt;=7,AVERAGE(AF424:AM424),"")</x:f>
      </x:c>
      <x:c r="BV424" s="40" t="str">
        <x:f>IF(COUNT(AN424:AV424)&gt;=8,AVERAGE(AN424:AV424),"")</x:f>
      </x:c>
      <x:c r="BW424" s="40" t="str">
        <x:f>IF(COUNT(AW424:BD424)&gt;=7,AVERAGE(AW424:BD424),"")</x:f>
      </x:c>
      <x:c r="BX424" s="40" t="str">
        <x:f>IF(COUNT(BE424:BJ424)&gt;=5,AVERAGE(BE424:BJ424),"")</x:f>
      </x:c>
      <x:c r="BY424" s="40" t="str">
        <x:f>IF(COUNT(BK424:BR424)&gt;=7,AVERAGE(BK424:BR424),"")</x:f>
      </x:c>
    </x:row>
    <x:row r="425">
      <x:c r="A425" t="str">
        <x:v>R424</x:v>
      </x:c>
      <x:c r="BS425" s="40" t="str">
        <x:f>IF(COUNT(N425:W425)&gt;=8,AVERAGE(N425:W425),"")</x:f>
      </x:c>
      <x:c r="BT425" s="40" t="str">
        <x:f>IF(COUNT(X425:AE425)&gt;=7,AVERAGE(X425:AE425),"")</x:f>
      </x:c>
      <x:c r="BU425" s="40" t="str">
        <x:f>IF(COUNT(AF425:AM425)&gt;=7,AVERAGE(AF425:AM425),"")</x:f>
      </x:c>
      <x:c r="BV425" s="40" t="str">
        <x:f>IF(COUNT(AN425:AV425)&gt;=8,AVERAGE(AN425:AV425),"")</x:f>
      </x:c>
      <x:c r="BW425" s="40" t="str">
        <x:f>IF(COUNT(AW425:BD425)&gt;=7,AVERAGE(AW425:BD425),"")</x:f>
      </x:c>
      <x:c r="BX425" s="40" t="str">
        <x:f>IF(COUNT(BE425:BJ425)&gt;=5,AVERAGE(BE425:BJ425),"")</x:f>
      </x:c>
      <x:c r="BY425" s="40" t="str">
        <x:f>IF(COUNT(BK425:BR425)&gt;=7,AVERAGE(BK425:BR425),"")</x:f>
      </x:c>
    </x:row>
    <x:row r="426">
      <x:c r="A426" t="str">
        <x:v>R425</x:v>
      </x:c>
      <x:c r="BS426" s="40" t="str">
        <x:f>IF(COUNT(N426:W426)&gt;=8,AVERAGE(N426:W426),"")</x:f>
      </x:c>
      <x:c r="BT426" s="40" t="str">
        <x:f>IF(COUNT(X426:AE426)&gt;=7,AVERAGE(X426:AE426),"")</x:f>
      </x:c>
      <x:c r="BU426" s="40" t="str">
        <x:f>IF(COUNT(AF426:AM426)&gt;=7,AVERAGE(AF426:AM426),"")</x:f>
      </x:c>
      <x:c r="BV426" s="40" t="str">
        <x:f>IF(COUNT(AN426:AV426)&gt;=8,AVERAGE(AN426:AV426),"")</x:f>
      </x:c>
      <x:c r="BW426" s="40" t="str">
        <x:f>IF(COUNT(AW426:BD426)&gt;=7,AVERAGE(AW426:BD426),"")</x:f>
      </x:c>
      <x:c r="BX426" s="40" t="str">
        <x:f>IF(COUNT(BE426:BJ426)&gt;=5,AVERAGE(BE426:BJ426),"")</x:f>
      </x:c>
      <x:c r="BY426" s="40" t="str">
        <x:f>IF(COUNT(BK426:BR426)&gt;=7,AVERAGE(BK426:BR426),"")</x:f>
      </x:c>
    </x:row>
    <x:row r="427">
      <x:c r="A427" t="str">
        <x:v>R426</x:v>
      </x:c>
      <x:c r="BS427" s="40" t="str">
        <x:f>IF(COUNT(N427:W427)&gt;=8,AVERAGE(N427:W427),"")</x:f>
      </x:c>
      <x:c r="BT427" s="40" t="str">
        <x:f>IF(COUNT(X427:AE427)&gt;=7,AVERAGE(X427:AE427),"")</x:f>
      </x:c>
      <x:c r="BU427" s="40" t="str">
        <x:f>IF(COUNT(AF427:AM427)&gt;=7,AVERAGE(AF427:AM427),"")</x:f>
      </x:c>
      <x:c r="BV427" s="40" t="str">
        <x:f>IF(COUNT(AN427:AV427)&gt;=8,AVERAGE(AN427:AV427),"")</x:f>
      </x:c>
      <x:c r="BW427" s="40" t="str">
        <x:f>IF(COUNT(AW427:BD427)&gt;=7,AVERAGE(AW427:BD427),"")</x:f>
      </x:c>
      <x:c r="BX427" s="40" t="str">
        <x:f>IF(COUNT(BE427:BJ427)&gt;=5,AVERAGE(BE427:BJ427),"")</x:f>
      </x:c>
      <x:c r="BY427" s="40" t="str">
        <x:f>IF(COUNT(BK427:BR427)&gt;=7,AVERAGE(BK427:BR427),"")</x:f>
      </x:c>
    </x:row>
    <x:row r="428">
      <x:c r="A428" t="str">
        <x:v>R427</x:v>
      </x:c>
      <x:c r="BS428" s="40" t="str">
        <x:f>IF(COUNT(N428:W428)&gt;=8,AVERAGE(N428:W428),"")</x:f>
      </x:c>
      <x:c r="BT428" s="40" t="str">
        <x:f>IF(COUNT(X428:AE428)&gt;=7,AVERAGE(X428:AE428),"")</x:f>
      </x:c>
      <x:c r="BU428" s="40" t="str">
        <x:f>IF(COUNT(AF428:AM428)&gt;=7,AVERAGE(AF428:AM428),"")</x:f>
      </x:c>
      <x:c r="BV428" s="40" t="str">
        <x:f>IF(COUNT(AN428:AV428)&gt;=8,AVERAGE(AN428:AV428),"")</x:f>
      </x:c>
      <x:c r="BW428" s="40" t="str">
        <x:f>IF(COUNT(AW428:BD428)&gt;=7,AVERAGE(AW428:BD428),"")</x:f>
      </x:c>
      <x:c r="BX428" s="40" t="str">
        <x:f>IF(COUNT(BE428:BJ428)&gt;=5,AVERAGE(BE428:BJ428),"")</x:f>
      </x:c>
      <x:c r="BY428" s="40" t="str">
        <x:f>IF(COUNT(BK428:BR428)&gt;=7,AVERAGE(BK428:BR428),"")</x:f>
      </x:c>
    </x:row>
    <x:row r="429">
      <x:c r="A429" t="str">
        <x:v>R428</x:v>
      </x:c>
      <x:c r="BS429" s="40" t="str">
        <x:f>IF(COUNT(N429:W429)&gt;=8,AVERAGE(N429:W429),"")</x:f>
      </x:c>
      <x:c r="BT429" s="40" t="str">
        <x:f>IF(COUNT(X429:AE429)&gt;=7,AVERAGE(X429:AE429),"")</x:f>
      </x:c>
      <x:c r="BU429" s="40" t="str">
        <x:f>IF(COUNT(AF429:AM429)&gt;=7,AVERAGE(AF429:AM429),"")</x:f>
      </x:c>
      <x:c r="BV429" s="40" t="str">
        <x:f>IF(COUNT(AN429:AV429)&gt;=8,AVERAGE(AN429:AV429),"")</x:f>
      </x:c>
      <x:c r="BW429" s="40" t="str">
        <x:f>IF(COUNT(AW429:BD429)&gt;=7,AVERAGE(AW429:BD429),"")</x:f>
      </x:c>
      <x:c r="BX429" s="40" t="str">
        <x:f>IF(COUNT(BE429:BJ429)&gt;=5,AVERAGE(BE429:BJ429),"")</x:f>
      </x:c>
      <x:c r="BY429" s="40" t="str">
        <x:f>IF(COUNT(BK429:BR429)&gt;=7,AVERAGE(BK429:BR429),"")</x:f>
      </x:c>
    </x:row>
    <x:row r="430">
      <x:c r="A430" t="str">
        <x:v>R429</x:v>
      </x:c>
      <x:c r="BS430" s="40" t="str">
        <x:f>IF(COUNT(N430:W430)&gt;=8,AVERAGE(N430:W430),"")</x:f>
      </x:c>
      <x:c r="BT430" s="40" t="str">
        <x:f>IF(COUNT(X430:AE430)&gt;=7,AVERAGE(X430:AE430),"")</x:f>
      </x:c>
      <x:c r="BU430" s="40" t="str">
        <x:f>IF(COUNT(AF430:AM430)&gt;=7,AVERAGE(AF430:AM430),"")</x:f>
      </x:c>
      <x:c r="BV430" s="40" t="str">
        <x:f>IF(COUNT(AN430:AV430)&gt;=8,AVERAGE(AN430:AV430),"")</x:f>
      </x:c>
      <x:c r="BW430" s="40" t="str">
        <x:f>IF(COUNT(AW430:BD430)&gt;=7,AVERAGE(AW430:BD430),"")</x:f>
      </x:c>
      <x:c r="BX430" s="40" t="str">
        <x:f>IF(COUNT(BE430:BJ430)&gt;=5,AVERAGE(BE430:BJ430),"")</x:f>
      </x:c>
      <x:c r="BY430" s="40" t="str">
        <x:f>IF(COUNT(BK430:BR430)&gt;=7,AVERAGE(BK430:BR430),"")</x:f>
      </x:c>
    </x:row>
    <x:row r="431">
      <x:c r="A431" t="str">
        <x:v>R430</x:v>
      </x:c>
      <x:c r="BS431" s="40" t="str">
        <x:f>IF(COUNT(N431:W431)&gt;=8,AVERAGE(N431:W431),"")</x:f>
      </x:c>
      <x:c r="BT431" s="40" t="str">
        <x:f>IF(COUNT(X431:AE431)&gt;=7,AVERAGE(X431:AE431),"")</x:f>
      </x:c>
      <x:c r="BU431" s="40" t="str">
        <x:f>IF(COUNT(AF431:AM431)&gt;=7,AVERAGE(AF431:AM431),"")</x:f>
      </x:c>
      <x:c r="BV431" s="40" t="str">
        <x:f>IF(COUNT(AN431:AV431)&gt;=8,AVERAGE(AN431:AV431),"")</x:f>
      </x:c>
      <x:c r="BW431" s="40" t="str">
        <x:f>IF(COUNT(AW431:BD431)&gt;=7,AVERAGE(AW431:BD431),"")</x:f>
      </x:c>
      <x:c r="BX431" s="40" t="str">
        <x:f>IF(COUNT(BE431:BJ431)&gt;=5,AVERAGE(BE431:BJ431),"")</x:f>
      </x:c>
      <x:c r="BY431" s="40" t="str">
        <x:f>IF(COUNT(BK431:BR431)&gt;=7,AVERAGE(BK431:BR431),"")</x:f>
      </x:c>
    </x:row>
    <x:row r="432">
      <x:c r="A432" t="str">
        <x:v>R431</x:v>
      </x:c>
      <x:c r="BS432" s="40" t="str">
        <x:f>IF(COUNT(N432:W432)&gt;=8,AVERAGE(N432:W432),"")</x:f>
      </x:c>
      <x:c r="BT432" s="40" t="str">
        <x:f>IF(COUNT(X432:AE432)&gt;=7,AVERAGE(X432:AE432),"")</x:f>
      </x:c>
      <x:c r="BU432" s="40" t="str">
        <x:f>IF(COUNT(AF432:AM432)&gt;=7,AVERAGE(AF432:AM432),"")</x:f>
      </x:c>
      <x:c r="BV432" s="40" t="str">
        <x:f>IF(COUNT(AN432:AV432)&gt;=8,AVERAGE(AN432:AV432),"")</x:f>
      </x:c>
      <x:c r="BW432" s="40" t="str">
        <x:f>IF(COUNT(AW432:BD432)&gt;=7,AVERAGE(AW432:BD432),"")</x:f>
      </x:c>
      <x:c r="BX432" s="40" t="str">
        <x:f>IF(COUNT(BE432:BJ432)&gt;=5,AVERAGE(BE432:BJ432),"")</x:f>
      </x:c>
      <x:c r="BY432" s="40" t="str">
        <x:f>IF(COUNT(BK432:BR432)&gt;=7,AVERAGE(BK432:BR432),"")</x:f>
      </x:c>
    </x:row>
    <x:row r="433">
      <x:c r="A433" t="str">
        <x:v>R432</x:v>
      </x:c>
      <x:c r="BS433" s="40" t="str">
        <x:f>IF(COUNT(N433:W433)&gt;=8,AVERAGE(N433:W433),"")</x:f>
      </x:c>
      <x:c r="BT433" s="40" t="str">
        <x:f>IF(COUNT(X433:AE433)&gt;=7,AVERAGE(X433:AE433),"")</x:f>
      </x:c>
      <x:c r="BU433" s="40" t="str">
        <x:f>IF(COUNT(AF433:AM433)&gt;=7,AVERAGE(AF433:AM433),"")</x:f>
      </x:c>
      <x:c r="BV433" s="40" t="str">
        <x:f>IF(COUNT(AN433:AV433)&gt;=8,AVERAGE(AN433:AV433),"")</x:f>
      </x:c>
      <x:c r="BW433" s="40" t="str">
        <x:f>IF(COUNT(AW433:BD433)&gt;=7,AVERAGE(AW433:BD433),"")</x:f>
      </x:c>
      <x:c r="BX433" s="40" t="str">
        <x:f>IF(COUNT(BE433:BJ433)&gt;=5,AVERAGE(BE433:BJ433),"")</x:f>
      </x:c>
      <x:c r="BY433" s="40" t="str">
        <x:f>IF(COUNT(BK433:BR433)&gt;=7,AVERAGE(BK433:BR433),"")</x:f>
      </x:c>
    </x:row>
    <x:row r="434">
      <x:c r="A434" t="str">
        <x:v>R433</x:v>
      </x:c>
      <x:c r="BS434" s="40" t="str">
        <x:f>IF(COUNT(N434:W434)&gt;=8,AVERAGE(N434:W434),"")</x:f>
      </x:c>
      <x:c r="BT434" s="40" t="str">
        <x:f>IF(COUNT(X434:AE434)&gt;=7,AVERAGE(X434:AE434),"")</x:f>
      </x:c>
      <x:c r="BU434" s="40" t="str">
        <x:f>IF(COUNT(AF434:AM434)&gt;=7,AVERAGE(AF434:AM434),"")</x:f>
      </x:c>
      <x:c r="BV434" s="40" t="str">
        <x:f>IF(COUNT(AN434:AV434)&gt;=8,AVERAGE(AN434:AV434),"")</x:f>
      </x:c>
      <x:c r="BW434" s="40" t="str">
        <x:f>IF(COUNT(AW434:BD434)&gt;=7,AVERAGE(AW434:BD434),"")</x:f>
      </x:c>
      <x:c r="BX434" s="40" t="str">
        <x:f>IF(COUNT(BE434:BJ434)&gt;=5,AVERAGE(BE434:BJ434),"")</x:f>
      </x:c>
      <x:c r="BY434" s="40" t="str">
        <x:f>IF(COUNT(BK434:BR434)&gt;=7,AVERAGE(BK434:BR434),"")</x:f>
      </x:c>
    </x:row>
    <x:row r="435">
      <x:c r="A435" t="str">
        <x:v>R434</x:v>
      </x:c>
      <x:c r="BS435" s="40" t="str">
        <x:f>IF(COUNT(N435:W435)&gt;=8,AVERAGE(N435:W435),"")</x:f>
      </x:c>
      <x:c r="BT435" s="40" t="str">
        <x:f>IF(COUNT(X435:AE435)&gt;=7,AVERAGE(X435:AE435),"")</x:f>
      </x:c>
      <x:c r="BU435" s="40" t="str">
        <x:f>IF(COUNT(AF435:AM435)&gt;=7,AVERAGE(AF435:AM435),"")</x:f>
      </x:c>
      <x:c r="BV435" s="40" t="str">
        <x:f>IF(COUNT(AN435:AV435)&gt;=8,AVERAGE(AN435:AV435),"")</x:f>
      </x:c>
      <x:c r="BW435" s="40" t="str">
        <x:f>IF(COUNT(AW435:BD435)&gt;=7,AVERAGE(AW435:BD435),"")</x:f>
      </x:c>
      <x:c r="BX435" s="40" t="str">
        <x:f>IF(COUNT(BE435:BJ435)&gt;=5,AVERAGE(BE435:BJ435),"")</x:f>
      </x:c>
      <x:c r="BY435" s="40" t="str">
        <x:f>IF(COUNT(BK435:BR435)&gt;=7,AVERAGE(BK435:BR435),"")</x:f>
      </x:c>
    </x:row>
    <x:row r="436">
      <x:c r="A436" t="str">
        <x:v>R435</x:v>
      </x:c>
      <x:c r="BS436" s="40" t="str">
        <x:f>IF(COUNT(N436:W436)&gt;=8,AVERAGE(N436:W436),"")</x:f>
      </x:c>
      <x:c r="BT436" s="40" t="str">
        <x:f>IF(COUNT(X436:AE436)&gt;=7,AVERAGE(X436:AE436),"")</x:f>
      </x:c>
      <x:c r="BU436" s="40" t="str">
        <x:f>IF(COUNT(AF436:AM436)&gt;=7,AVERAGE(AF436:AM436),"")</x:f>
      </x:c>
      <x:c r="BV436" s="40" t="str">
        <x:f>IF(COUNT(AN436:AV436)&gt;=8,AVERAGE(AN436:AV436),"")</x:f>
      </x:c>
      <x:c r="BW436" s="40" t="str">
        <x:f>IF(COUNT(AW436:BD436)&gt;=7,AVERAGE(AW436:BD436),"")</x:f>
      </x:c>
      <x:c r="BX436" s="40" t="str">
        <x:f>IF(COUNT(BE436:BJ436)&gt;=5,AVERAGE(BE436:BJ436),"")</x:f>
      </x:c>
      <x:c r="BY436" s="40" t="str">
        <x:f>IF(COUNT(BK436:BR436)&gt;=7,AVERAGE(BK436:BR436),"")</x:f>
      </x:c>
    </x:row>
    <x:row r="437">
      <x:c r="A437" t="str">
        <x:v>R436</x:v>
      </x:c>
      <x:c r="BS437" s="40" t="str">
        <x:f>IF(COUNT(N437:W437)&gt;=8,AVERAGE(N437:W437),"")</x:f>
      </x:c>
      <x:c r="BT437" s="40" t="str">
        <x:f>IF(COUNT(X437:AE437)&gt;=7,AVERAGE(X437:AE437),"")</x:f>
      </x:c>
      <x:c r="BU437" s="40" t="str">
        <x:f>IF(COUNT(AF437:AM437)&gt;=7,AVERAGE(AF437:AM437),"")</x:f>
      </x:c>
      <x:c r="BV437" s="40" t="str">
        <x:f>IF(COUNT(AN437:AV437)&gt;=8,AVERAGE(AN437:AV437),"")</x:f>
      </x:c>
      <x:c r="BW437" s="40" t="str">
        <x:f>IF(COUNT(AW437:BD437)&gt;=7,AVERAGE(AW437:BD437),"")</x:f>
      </x:c>
      <x:c r="BX437" s="40" t="str">
        <x:f>IF(COUNT(BE437:BJ437)&gt;=5,AVERAGE(BE437:BJ437),"")</x:f>
      </x:c>
      <x:c r="BY437" s="40" t="str">
        <x:f>IF(COUNT(BK437:BR437)&gt;=7,AVERAGE(BK437:BR437),"")</x:f>
      </x:c>
    </x:row>
    <x:row r="438">
      <x:c r="A438" t="str">
        <x:v>R437</x:v>
      </x:c>
      <x:c r="BS438" s="40" t="str">
        <x:f>IF(COUNT(N438:W438)&gt;=8,AVERAGE(N438:W438),"")</x:f>
      </x:c>
      <x:c r="BT438" s="40" t="str">
        <x:f>IF(COUNT(X438:AE438)&gt;=7,AVERAGE(X438:AE438),"")</x:f>
      </x:c>
      <x:c r="BU438" s="40" t="str">
        <x:f>IF(COUNT(AF438:AM438)&gt;=7,AVERAGE(AF438:AM438),"")</x:f>
      </x:c>
      <x:c r="BV438" s="40" t="str">
        <x:f>IF(COUNT(AN438:AV438)&gt;=8,AVERAGE(AN438:AV438),"")</x:f>
      </x:c>
      <x:c r="BW438" s="40" t="str">
        <x:f>IF(COUNT(AW438:BD438)&gt;=7,AVERAGE(AW438:BD438),"")</x:f>
      </x:c>
      <x:c r="BX438" s="40" t="str">
        <x:f>IF(COUNT(BE438:BJ438)&gt;=5,AVERAGE(BE438:BJ438),"")</x:f>
      </x:c>
      <x:c r="BY438" s="40" t="str">
        <x:f>IF(COUNT(BK438:BR438)&gt;=7,AVERAGE(BK438:BR438),"")</x:f>
      </x:c>
    </x:row>
    <x:row r="439">
      <x:c r="A439" t="str">
        <x:v>R438</x:v>
      </x:c>
      <x:c r="BS439" s="40" t="str">
        <x:f>IF(COUNT(N439:W439)&gt;=8,AVERAGE(N439:W439),"")</x:f>
      </x:c>
      <x:c r="BT439" s="40" t="str">
        <x:f>IF(COUNT(X439:AE439)&gt;=7,AVERAGE(X439:AE439),"")</x:f>
      </x:c>
      <x:c r="BU439" s="40" t="str">
        <x:f>IF(COUNT(AF439:AM439)&gt;=7,AVERAGE(AF439:AM439),"")</x:f>
      </x:c>
      <x:c r="BV439" s="40" t="str">
        <x:f>IF(COUNT(AN439:AV439)&gt;=8,AVERAGE(AN439:AV439),"")</x:f>
      </x:c>
      <x:c r="BW439" s="40" t="str">
        <x:f>IF(COUNT(AW439:BD439)&gt;=7,AVERAGE(AW439:BD439),"")</x:f>
      </x:c>
      <x:c r="BX439" s="40" t="str">
        <x:f>IF(COUNT(BE439:BJ439)&gt;=5,AVERAGE(BE439:BJ439),"")</x:f>
      </x:c>
      <x:c r="BY439" s="40" t="str">
        <x:f>IF(COUNT(BK439:BR439)&gt;=7,AVERAGE(BK439:BR439),"")</x:f>
      </x:c>
    </x:row>
    <x:row r="440">
      <x:c r="A440" t="str">
        <x:v>R439</x:v>
      </x:c>
      <x:c r="BS440" s="40" t="str">
        <x:f>IF(COUNT(N440:W440)&gt;=8,AVERAGE(N440:W440),"")</x:f>
      </x:c>
      <x:c r="BT440" s="40" t="str">
        <x:f>IF(COUNT(X440:AE440)&gt;=7,AVERAGE(X440:AE440),"")</x:f>
      </x:c>
      <x:c r="BU440" s="40" t="str">
        <x:f>IF(COUNT(AF440:AM440)&gt;=7,AVERAGE(AF440:AM440),"")</x:f>
      </x:c>
      <x:c r="BV440" s="40" t="str">
        <x:f>IF(COUNT(AN440:AV440)&gt;=8,AVERAGE(AN440:AV440),"")</x:f>
      </x:c>
      <x:c r="BW440" s="40" t="str">
        <x:f>IF(COUNT(AW440:BD440)&gt;=7,AVERAGE(AW440:BD440),"")</x:f>
      </x:c>
      <x:c r="BX440" s="40" t="str">
        <x:f>IF(COUNT(BE440:BJ440)&gt;=5,AVERAGE(BE440:BJ440),"")</x:f>
      </x:c>
      <x:c r="BY440" s="40" t="str">
        <x:f>IF(COUNT(BK440:BR440)&gt;=7,AVERAGE(BK440:BR440),"")</x:f>
      </x:c>
    </x:row>
    <x:row r="441">
      <x:c r="A441" t="str">
        <x:v>R440</x:v>
      </x:c>
      <x:c r="BS441" s="40" t="str">
        <x:f>IF(COUNT(N441:W441)&gt;=8,AVERAGE(N441:W441),"")</x:f>
      </x:c>
      <x:c r="BT441" s="40" t="str">
        <x:f>IF(COUNT(X441:AE441)&gt;=7,AVERAGE(X441:AE441),"")</x:f>
      </x:c>
      <x:c r="BU441" s="40" t="str">
        <x:f>IF(COUNT(AF441:AM441)&gt;=7,AVERAGE(AF441:AM441),"")</x:f>
      </x:c>
      <x:c r="BV441" s="40" t="str">
        <x:f>IF(COUNT(AN441:AV441)&gt;=8,AVERAGE(AN441:AV441),"")</x:f>
      </x:c>
      <x:c r="BW441" s="40" t="str">
        <x:f>IF(COUNT(AW441:BD441)&gt;=7,AVERAGE(AW441:BD441),"")</x:f>
      </x:c>
      <x:c r="BX441" s="40" t="str">
        <x:f>IF(COUNT(BE441:BJ441)&gt;=5,AVERAGE(BE441:BJ441),"")</x:f>
      </x:c>
      <x:c r="BY441" s="40" t="str">
        <x:f>IF(COUNT(BK441:BR441)&gt;=7,AVERAGE(BK441:BR441),"")</x:f>
      </x:c>
    </x:row>
    <x:row r="442">
      <x:c r="A442" t="str">
        <x:v>R441</x:v>
      </x:c>
      <x:c r="BS442" s="40" t="str">
        <x:f>IF(COUNT(N442:W442)&gt;=8,AVERAGE(N442:W442),"")</x:f>
      </x:c>
      <x:c r="BT442" s="40" t="str">
        <x:f>IF(COUNT(X442:AE442)&gt;=7,AVERAGE(X442:AE442),"")</x:f>
      </x:c>
      <x:c r="BU442" s="40" t="str">
        <x:f>IF(COUNT(AF442:AM442)&gt;=7,AVERAGE(AF442:AM442),"")</x:f>
      </x:c>
      <x:c r="BV442" s="40" t="str">
        <x:f>IF(COUNT(AN442:AV442)&gt;=8,AVERAGE(AN442:AV442),"")</x:f>
      </x:c>
      <x:c r="BW442" s="40" t="str">
        <x:f>IF(COUNT(AW442:BD442)&gt;=7,AVERAGE(AW442:BD442),"")</x:f>
      </x:c>
      <x:c r="BX442" s="40" t="str">
        <x:f>IF(COUNT(BE442:BJ442)&gt;=5,AVERAGE(BE442:BJ442),"")</x:f>
      </x:c>
      <x:c r="BY442" s="40" t="str">
        <x:f>IF(COUNT(BK442:BR442)&gt;=7,AVERAGE(BK442:BR442),"")</x:f>
      </x:c>
    </x:row>
    <x:row r="443">
      <x:c r="A443" t="str">
        <x:v>R442</x:v>
      </x:c>
      <x:c r="BS443" s="40" t="str">
        <x:f>IF(COUNT(N443:W443)&gt;=8,AVERAGE(N443:W443),"")</x:f>
      </x:c>
      <x:c r="BT443" s="40" t="str">
        <x:f>IF(COUNT(X443:AE443)&gt;=7,AVERAGE(X443:AE443),"")</x:f>
      </x:c>
      <x:c r="BU443" s="40" t="str">
        <x:f>IF(COUNT(AF443:AM443)&gt;=7,AVERAGE(AF443:AM443),"")</x:f>
      </x:c>
      <x:c r="BV443" s="40" t="str">
        <x:f>IF(COUNT(AN443:AV443)&gt;=8,AVERAGE(AN443:AV443),"")</x:f>
      </x:c>
      <x:c r="BW443" s="40" t="str">
        <x:f>IF(COUNT(AW443:BD443)&gt;=7,AVERAGE(AW443:BD443),"")</x:f>
      </x:c>
      <x:c r="BX443" s="40" t="str">
        <x:f>IF(COUNT(BE443:BJ443)&gt;=5,AVERAGE(BE443:BJ443),"")</x:f>
      </x:c>
      <x:c r="BY443" s="40" t="str">
        <x:f>IF(COUNT(BK443:BR443)&gt;=7,AVERAGE(BK443:BR443),"")</x:f>
      </x:c>
    </x:row>
    <x:row r="444">
      <x:c r="A444" t="str">
        <x:v>R443</x:v>
      </x:c>
      <x:c r="BS444" s="40" t="str">
        <x:f>IF(COUNT(N444:W444)&gt;=8,AVERAGE(N444:W444),"")</x:f>
      </x:c>
      <x:c r="BT444" s="40" t="str">
        <x:f>IF(COUNT(X444:AE444)&gt;=7,AVERAGE(X444:AE444),"")</x:f>
      </x:c>
      <x:c r="BU444" s="40" t="str">
        <x:f>IF(COUNT(AF444:AM444)&gt;=7,AVERAGE(AF444:AM444),"")</x:f>
      </x:c>
      <x:c r="BV444" s="40" t="str">
        <x:f>IF(COUNT(AN444:AV444)&gt;=8,AVERAGE(AN444:AV444),"")</x:f>
      </x:c>
      <x:c r="BW444" s="40" t="str">
        <x:f>IF(COUNT(AW444:BD444)&gt;=7,AVERAGE(AW444:BD444),"")</x:f>
      </x:c>
      <x:c r="BX444" s="40" t="str">
        <x:f>IF(COUNT(BE444:BJ444)&gt;=5,AVERAGE(BE444:BJ444),"")</x:f>
      </x:c>
      <x:c r="BY444" s="40" t="str">
        <x:f>IF(COUNT(BK444:BR444)&gt;=7,AVERAGE(BK444:BR444),"")</x:f>
      </x:c>
    </x:row>
    <x:row r="445">
      <x:c r="A445" t="str">
        <x:v>R444</x:v>
      </x:c>
      <x:c r="BS445" s="40" t="str">
        <x:f>IF(COUNT(N445:W445)&gt;=8,AVERAGE(N445:W445),"")</x:f>
      </x:c>
      <x:c r="BT445" s="40" t="str">
        <x:f>IF(COUNT(X445:AE445)&gt;=7,AVERAGE(X445:AE445),"")</x:f>
      </x:c>
      <x:c r="BU445" s="40" t="str">
        <x:f>IF(COUNT(AF445:AM445)&gt;=7,AVERAGE(AF445:AM445),"")</x:f>
      </x:c>
      <x:c r="BV445" s="40" t="str">
        <x:f>IF(COUNT(AN445:AV445)&gt;=8,AVERAGE(AN445:AV445),"")</x:f>
      </x:c>
      <x:c r="BW445" s="40" t="str">
        <x:f>IF(COUNT(AW445:BD445)&gt;=7,AVERAGE(AW445:BD445),"")</x:f>
      </x:c>
      <x:c r="BX445" s="40" t="str">
        <x:f>IF(COUNT(BE445:BJ445)&gt;=5,AVERAGE(BE445:BJ445),"")</x:f>
      </x:c>
      <x:c r="BY445" s="40" t="str">
        <x:f>IF(COUNT(BK445:BR445)&gt;=7,AVERAGE(BK445:BR445),"")</x:f>
      </x:c>
    </x:row>
    <x:row r="446">
      <x:c r="A446" t="str">
        <x:v>R445</x:v>
      </x:c>
      <x:c r="BS446" s="40" t="str">
        <x:f>IF(COUNT(N446:W446)&gt;=8,AVERAGE(N446:W446),"")</x:f>
      </x:c>
      <x:c r="BT446" s="40" t="str">
        <x:f>IF(COUNT(X446:AE446)&gt;=7,AVERAGE(X446:AE446),"")</x:f>
      </x:c>
      <x:c r="BU446" s="40" t="str">
        <x:f>IF(COUNT(AF446:AM446)&gt;=7,AVERAGE(AF446:AM446),"")</x:f>
      </x:c>
      <x:c r="BV446" s="40" t="str">
        <x:f>IF(COUNT(AN446:AV446)&gt;=8,AVERAGE(AN446:AV446),"")</x:f>
      </x:c>
      <x:c r="BW446" s="40" t="str">
        <x:f>IF(COUNT(AW446:BD446)&gt;=7,AVERAGE(AW446:BD446),"")</x:f>
      </x:c>
      <x:c r="BX446" s="40" t="str">
        <x:f>IF(COUNT(BE446:BJ446)&gt;=5,AVERAGE(BE446:BJ446),"")</x:f>
      </x:c>
      <x:c r="BY446" s="40" t="str">
        <x:f>IF(COUNT(BK446:BR446)&gt;=7,AVERAGE(BK446:BR446),"")</x:f>
      </x:c>
    </x:row>
    <x:row r="447">
      <x:c r="A447" t="str">
        <x:v>R446</x:v>
      </x:c>
      <x:c r="BS447" s="40" t="str">
        <x:f>IF(COUNT(N447:W447)&gt;=8,AVERAGE(N447:W447),"")</x:f>
      </x:c>
      <x:c r="BT447" s="40" t="str">
        <x:f>IF(COUNT(X447:AE447)&gt;=7,AVERAGE(X447:AE447),"")</x:f>
      </x:c>
      <x:c r="BU447" s="40" t="str">
        <x:f>IF(COUNT(AF447:AM447)&gt;=7,AVERAGE(AF447:AM447),"")</x:f>
      </x:c>
      <x:c r="BV447" s="40" t="str">
        <x:f>IF(COUNT(AN447:AV447)&gt;=8,AVERAGE(AN447:AV447),"")</x:f>
      </x:c>
      <x:c r="BW447" s="40" t="str">
        <x:f>IF(COUNT(AW447:BD447)&gt;=7,AVERAGE(AW447:BD447),"")</x:f>
      </x:c>
      <x:c r="BX447" s="40" t="str">
        <x:f>IF(COUNT(BE447:BJ447)&gt;=5,AVERAGE(BE447:BJ447),"")</x:f>
      </x:c>
      <x:c r="BY447" s="40" t="str">
        <x:f>IF(COUNT(BK447:BR447)&gt;=7,AVERAGE(BK447:BR447),"")</x:f>
      </x:c>
    </x:row>
    <x:row r="448">
      <x:c r="A448" t="str">
        <x:v>R447</x:v>
      </x:c>
      <x:c r="BS448" s="40" t="str">
        <x:f>IF(COUNT(N448:W448)&gt;=8,AVERAGE(N448:W448),"")</x:f>
      </x:c>
      <x:c r="BT448" s="40" t="str">
        <x:f>IF(COUNT(X448:AE448)&gt;=7,AVERAGE(X448:AE448),"")</x:f>
      </x:c>
      <x:c r="BU448" s="40" t="str">
        <x:f>IF(COUNT(AF448:AM448)&gt;=7,AVERAGE(AF448:AM448),"")</x:f>
      </x:c>
      <x:c r="BV448" s="40" t="str">
        <x:f>IF(COUNT(AN448:AV448)&gt;=8,AVERAGE(AN448:AV448),"")</x:f>
      </x:c>
      <x:c r="BW448" s="40" t="str">
        <x:f>IF(COUNT(AW448:BD448)&gt;=7,AVERAGE(AW448:BD448),"")</x:f>
      </x:c>
      <x:c r="BX448" s="40" t="str">
        <x:f>IF(COUNT(BE448:BJ448)&gt;=5,AVERAGE(BE448:BJ448),"")</x:f>
      </x:c>
      <x:c r="BY448" s="40" t="str">
        <x:f>IF(COUNT(BK448:BR448)&gt;=7,AVERAGE(BK448:BR448),"")</x:f>
      </x:c>
    </x:row>
    <x:row r="449">
      <x:c r="A449" t="str">
        <x:v>R448</x:v>
      </x:c>
      <x:c r="BS449" s="40" t="str">
        <x:f>IF(COUNT(N449:W449)&gt;=8,AVERAGE(N449:W449),"")</x:f>
      </x:c>
      <x:c r="BT449" s="40" t="str">
        <x:f>IF(COUNT(X449:AE449)&gt;=7,AVERAGE(X449:AE449),"")</x:f>
      </x:c>
      <x:c r="BU449" s="40" t="str">
        <x:f>IF(COUNT(AF449:AM449)&gt;=7,AVERAGE(AF449:AM449),"")</x:f>
      </x:c>
      <x:c r="BV449" s="40" t="str">
        <x:f>IF(COUNT(AN449:AV449)&gt;=8,AVERAGE(AN449:AV449),"")</x:f>
      </x:c>
      <x:c r="BW449" s="40" t="str">
        <x:f>IF(COUNT(AW449:BD449)&gt;=7,AVERAGE(AW449:BD449),"")</x:f>
      </x:c>
      <x:c r="BX449" s="40" t="str">
        <x:f>IF(COUNT(BE449:BJ449)&gt;=5,AVERAGE(BE449:BJ449),"")</x:f>
      </x:c>
      <x:c r="BY449" s="40" t="str">
        <x:f>IF(COUNT(BK449:BR449)&gt;=7,AVERAGE(BK449:BR449),"")</x:f>
      </x:c>
    </x:row>
    <x:row r="450">
      <x:c r="A450" t="str">
        <x:v>R449</x:v>
      </x:c>
      <x:c r="BS450" s="40" t="str">
        <x:f>IF(COUNT(N450:W450)&gt;=8,AVERAGE(N450:W450),"")</x:f>
      </x:c>
      <x:c r="BT450" s="40" t="str">
        <x:f>IF(COUNT(X450:AE450)&gt;=7,AVERAGE(X450:AE450),"")</x:f>
      </x:c>
      <x:c r="BU450" s="40" t="str">
        <x:f>IF(COUNT(AF450:AM450)&gt;=7,AVERAGE(AF450:AM450),"")</x:f>
      </x:c>
      <x:c r="BV450" s="40" t="str">
        <x:f>IF(COUNT(AN450:AV450)&gt;=8,AVERAGE(AN450:AV450),"")</x:f>
      </x:c>
      <x:c r="BW450" s="40" t="str">
        <x:f>IF(COUNT(AW450:BD450)&gt;=7,AVERAGE(AW450:BD450),"")</x:f>
      </x:c>
      <x:c r="BX450" s="40" t="str">
        <x:f>IF(COUNT(BE450:BJ450)&gt;=5,AVERAGE(BE450:BJ450),"")</x:f>
      </x:c>
      <x:c r="BY450" s="40" t="str">
        <x:f>IF(COUNT(BK450:BR450)&gt;=7,AVERAGE(BK450:BR450),"")</x:f>
      </x:c>
    </x:row>
    <x:row r="451">
      <x:c r="A451" t="str">
        <x:v>R450</x:v>
      </x:c>
      <x:c r="BS451" s="40" t="str">
        <x:f>IF(COUNT(N451:W451)&gt;=8,AVERAGE(N451:W451),"")</x:f>
      </x:c>
      <x:c r="BT451" s="40" t="str">
        <x:f>IF(COUNT(X451:AE451)&gt;=7,AVERAGE(X451:AE451),"")</x:f>
      </x:c>
      <x:c r="BU451" s="40" t="str">
        <x:f>IF(COUNT(AF451:AM451)&gt;=7,AVERAGE(AF451:AM451),"")</x:f>
      </x:c>
      <x:c r="BV451" s="40" t="str">
        <x:f>IF(COUNT(AN451:AV451)&gt;=8,AVERAGE(AN451:AV451),"")</x:f>
      </x:c>
      <x:c r="BW451" s="40" t="str">
        <x:f>IF(COUNT(AW451:BD451)&gt;=7,AVERAGE(AW451:BD451),"")</x:f>
      </x:c>
      <x:c r="BX451" s="40" t="str">
        <x:f>IF(COUNT(BE451:BJ451)&gt;=5,AVERAGE(BE451:BJ451),"")</x:f>
      </x:c>
      <x:c r="BY451" s="40" t="str">
        <x:f>IF(COUNT(BK451:BR451)&gt;=7,AVERAGE(BK451:BR451),"")</x:f>
      </x:c>
    </x:row>
    <x:row r="452">
      <x:c r="A452" t="str">
        <x:v>R451</x:v>
      </x:c>
      <x:c r="BS452" s="40" t="str">
        <x:f>IF(COUNT(N452:W452)&gt;=8,AVERAGE(N452:W452),"")</x:f>
      </x:c>
      <x:c r="BT452" s="40" t="str">
        <x:f>IF(COUNT(X452:AE452)&gt;=7,AVERAGE(X452:AE452),"")</x:f>
      </x:c>
      <x:c r="BU452" s="40" t="str">
        <x:f>IF(COUNT(AF452:AM452)&gt;=7,AVERAGE(AF452:AM452),"")</x:f>
      </x:c>
      <x:c r="BV452" s="40" t="str">
        <x:f>IF(COUNT(AN452:AV452)&gt;=8,AVERAGE(AN452:AV452),"")</x:f>
      </x:c>
      <x:c r="BW452" s="40" t="str">
        <x:f>IF(COUNT(AW452:BD452)&gt;=7,AVERAGE(AW452:BD452),"")</x:f>
      </x:c>
      <x:c r="BX452" s="40" t="str">
        <x:f>IF(COUNT(BE452:BJ452)&gt;=5,AVERAGE(BE452:BJ452),"")</x:f>
      </x:c>
      <x:c r="BY452" s="40" t="str">
        <x:f>IF(COUNT(BK452:BR452)&gt;=7,AVERAGE(BK452:BR452),"")</x:f>
      </x:c>
    </x:row>
    <x:row r="453">
      <x:c r="A453" t="str">
        <x:v>R452</x:v>
      </x:c>
      <x:c r="BS453" s="40" t="str">
        <x:f>IF(COUNT(N453:W453)&gt;=8,AVERAGE(N453:W453),"")</x:f>
      </x:c>
      <x:c r="BT453" s="40" t="str">
        <x:f>IF(COUNT(X453:AE453)&gt;=7,AVERAGE(X453:AE453),"")</x:f>
      </x:c>
      <x:c r="BU453" s="40" t="str">
        <x:f>IF(COUNT(AF453:AM453)&gt;=7,AVERAGE(AF453:AM453),"")</x:f>
      </x:c>
      <x:c r="BV453" s="40" t="str">
        <x:f>IF(COUNT(AN453:AV453)&gt;=8,AVERAGE(AN453:AV453),"")</x:f>
      </x:c>
      <x:c r="BW453" s="40" t="str">
        <x:f>IF(COUNT(AW453:BD453)&gt;=7,AVERAGE(AW453:BD453),"")</x:f>
      </x:c>
      <x:c r="BX453" s="40" t="str">
        <x:f>IF(COUNT(BE453:BJ453)&gt;=5,AVERAGE(BE453:BJ453),"")</x:f>
      </x:c>
      <x:c r="BY453" s="40" t="str">
        <x:f>IF(COUNT(BK453:BR453)&gt;=7,AVERAGE(BK453:BR453),"")</x:f>
      </x:c>
    </x:row>
    <x:row r="454">
      <x:c r="A454" t="str">
        <x:v>R453</x:v>
      </x:c>
      <x:c r="BS454" s="40" t="str">
        <x:f>IF(COUNT(N454:W454)&gt;=8,AVERAGE(N454:W454),"")</x:f>
      </x:c>
      <x:c r="BT454" s="40" t="str">
        <x:f>IF(COUNT(X454:AE454)&gt;=7,AVERAGE(X454:AE454),"")</x:f>
      </x:c>
      <x:c r="BU454" s="40" t="str">
        <x:f>IF(COUNT(AF454:AM454)&gt;=7,AVERAGE(AF454:AM454),"")</x:f>
      </x:c>
      <x:c r="BV454" s="40" t="str">
        <x:f>IF(COUNT(AN454:AV454)&gt;=8,AVERAGE(AN454:AV454),"")</x:f>
      </x:c>
      <x:c r="BW454" s="40" t="str">
        <x:f>IF(COUNT(AW454:BD454)&gt;=7,AVERAGE(AW454:BD454),"")</x:f>
      </x:c>
      <x:c r="BX454" s="40" t="str">
        <x:f>IF(COUNT(BE454:BJ454)&gt;=5,AVERAGE(BE454:BJ454),"")</x:f>
      </x:c>
      <x:c r="BY454" s="40" t="str">
        <x:f>IF(COUNT(BK454:BR454)&gt;=7,AVERAGE(BK454:BR454),"")</x:f>
      </x:c>
    </x:row>
    <x:row r="455">
      <x:c r="A455" t="str">
        <x:v>R454</x:v>
      </x:c>
      <x:c r="BS455" s="40" t="str">
        <x:f>IF(COUNT(N455:W455)&gt;=8,AVERAGE(N455:W455),"")</x:f>
      </x:c>
      <x:c r="BT455" s="40" t="str">
        <x:f>IF(COUNT(X455:AE455)&gt;=7,AVERAGE(X455:AE455),"")</x:f>
      </x:c>
      <x:c r="BU455" s="40" t="str">
        <x:f>IF(COUNT(AF455:AM455)&gt;=7,AVERAGE(AF455:AM455),"")</x:f>
      </x:c>
      <x:c r="BV455" s="40" t="str">
        <x:f>IF(COUNT(AN455:AV455)&gt;=8,AVERAGE(AN455:AV455),"")</x:f>
      </x:c>
      <x:c r="BW455" s="40" t="str">
        <x:f>IF(COUNT(AW455:BD455)&gt;=7,AVERAGE(AW455:BD455),"")</x:f>
      </x:c>
      <x:c r="BX455" s="40" t="str">
        <x:f>IF(COUNT(BE455:BJ455)&gt;=5,AVERAGE(BE455:BJ455),"")</x:f>
      </x:c>
      <x:c r="BY455" s="40" t="str">
        <x:f>IF(COUNT(BK455:BR455)&gt;=7,AVERAGE(BK455:BR455),"")</x:f>
      </x:c>
    </x:row>
    <x:row r="456">
      <x:c r="A456" t="str">
        <x:v>R455</x:v>
      </x:c>
      <x:c r="BS456" s="40" t="str">
        <x:f>IF(COUNT(N456:W456)&gt;=8,AVERAGE(N456:W456),"")</x:f>
      </x:c>
      <x:c r="BT456" s="40" t="str">
        <x:f>IF(COUNT(X456:AE456)&gt;=7,AVERAGE(X456:AE456),"")</x:f>
      </x:c>
      <x:c r="BU456" s="40" t="str">
        <x:f>IF(COUNT(AF456:AM456)&gt;=7,AVERAGE(AF456:AM456),"")</x:f>
      </x:c>
      <x:c r="BV456" s="40" t="str">
        <x:f>IF(COUNT(AN456:AV456)&gt;=8,AVERAGE(AN456:AV456),"")</x:f>
      </x:c>
      <x:c r="BW456" s="40" t="str">
        <x:f>IF(COUNT(AW456:BD456)&gt;=7,AVERAGE(AW456:BD456),"")</x:f>
      </x:c>
      <x:c r="BX456" s="40" t="str">
        <x:f>IF(COUNT(BE456:BJ456)&gt;=5,AVERAGE(BE456:BJ456),"")</x:f>
      </x:c>
      <x:c r="BY456" s="40" t="str">
        <x:f>IF(COUNT(BK456:BR456)&gt;=7,AVERAGE(BK456:BR456),"")</x:f>
      </x:c>
    </x:row>
    <x:row r="457">
      <x:c r="A457" t="str">
        <x:v>R456</x:v>
      </x:c>
      <x:c r="BS457" s="40" t="str">
        <x:f>IF(COUNT(N457:W457)&gt;=8,AVERAGE(N457:W457),"")</x:f>
      </x:c>
      <x:c r="BT457" s="40" t="str">
        <x:f>IF(COUNT(X457:AE457)&gt;=7,AVERAGE(X457:AE457),"")</x:f>
      </x:c>
      <x:c r="BU457" s="40" t="str">
        <x:f>IF(COUNT(AF457:AM457)&gt;=7,AVERAGE(AF457:AM457),"")</x:f>
      </x:c>
      <x:c r="BV457" s="40" t="str">
        <x:f>IF(COUNT(AN457:AV457)&gt;=8,AVERAGE(AN457:AV457),"")</x:f>
      </x:c>
      <x:c r="BW457" s="40" t="str">
        <x:f>IF(COUNT(AW457:BD457)&gt;=7,AVERAGE(AW457:BD457),"")</x:f>
      </x:c>
      <x:c r="BX457" s="40" t="str">
        <x:f>IF(COUNT(BE457:BJ457)&gt;=5,AVERAGE(BE457:BJ457),"")</x:f>
      </x:c>
      <x:c r="BY457" s="40" t="str">
        <x:f>IF(COUNT(BK457:BR457)&gt;=7,AVERAGE(BK457:BR457),"")</x:f>
      </x:c>
    </x:row>
    <x:row r="458">
      <x:c r="A458" t="str">
        <x:v>R457</x:v>
      </x:c>
      <x:c r="BS458" s="40" t="str">
        <x:f>IF(COUNT(N458:W458)&gt;=8,AVERAGE(N458:W458),"")</x:f>
      </x:c>
      <x:c r="BT458" s="40" t="str">
        <x:f>IF(COUNT(X458:AE458)&gt;=7,AVERAGE(X458:AE458),"")</x:f>
      </x:c>
      <x:c r="BU458" s="40" t="str">
        <x:f>IF(COUNT(AF458:AM458)&gt;=7,AVERAGE(AF458:AM458),"")</x:f>
      </x:c>
      <x:c r="BV458" s="40" t="str">
        <x:f>IF(COUNT(AN458:AV458)&gt;=8,AVERAGE(AN458:AV458),"")</x:f>
      </x:c>
      <x:c r="BW458" s="40" t="str">
        <x:f>IF(COUNT(AW458:BD458)&gt;=7,AVERAGE(AW458:BD458),"")</x:f>
      </x:c>
      <x:c r="BX458" s="40" t="str">
        <x:f>IF(COUNT(BE458:BJ458)&gt;=5,AVERAGE(BE458:BJ458),"")</x:f>
      </x:c>
      <x:c r="BY458" s="40" t="str">
        <x:f>IF(COUNT(BK458:BR458)&gt;=7,AVERAGE(BK458:BR458),"")</x:f>
      </x:c>
    </x:row>
    <x:row r="459">
      <x:c r="A459" t="str">
        <x:v>R458</x:v>
      </x:c>
      <x:c r="BS459" s="40" t="str">
        <x:f>IF(COUNT(N459:W459)&gt;=8,AVERAGE(N459:W459),"")</x:f>
      </x:c>
      <x:c r="BT459" s="40" t="str">
        <x:f>IF(COUNT(X459:AE459)&gt;=7,AVERAGE(X459:AE459),"")</x:f>
      </x:c>
      <x:c r="BU459" s="40" t="str">
        <x:f>IF(COUNT(AF459:AM459)&gt;=7,AVERAGE(AF459:AM459),"")</x:f>
      </x:c>
      <x:c r="BV459" s="40" t="str">
        <x:f>IF(COUNT(AN459:AV459)&gt;=8,AVERAGE(AN459:AV459),"")</x:f>
      </x:c>
      <x:c r="BW459" s="40" t="str">
        <x:f>IF(COUNT(AW459:BD459)&gt;=7,AVERAGE(AW459:BD459),"")</x:f>
      </x:c>
      <x:c r="BX459" s="40" t="str">
        <x:f>IF(COUNT(BE459:BJ459)&gt;=5,AVERAGE(BE459:BJ459),"")</x:f>
      </x:c>
      <x:c r="BY459" s="40" t="str">
        <x:f>IF(COUNT(BK459:BR459)&gt;=7,AVERAGE(BK459:BR459),"")</x:f>
      </x:c>
    </x:row>
    <x:row r="460">
      <x:c r="A460" t="str">
        <x:v>R459</x:v>
      </x:c>
      <x:c r="BS460" s="40" t="str">
        <x:f>IF(COUNT(N460:W460)&gt;=8,AVERAGE(N460:W460),"")</x:f>
      </x:c>
      <x:c r="BT460" s="40" t="str">
        <x:f>IF(COUNT(X460:AE460)&gt;=7,AVERAGE(X460:AE460),"")</x:f>
      </x:c>
      <x:c r="BU460" s="40" t="str">
        <x:f>IF(COUNT(AF460:AM460)&gt;=7,AVERAGE(AF460:AM460),"")</x:f>
      </x:c>
      <x:c r="BV460" s="40" t="str">
        <x:f>IF(COUNT(AN460:AV460)&gt;=8,AVERAGE(AN460:AV460),"")</x:f>
      </x:c>
      <x:c r="BW460" s="40" t="str">
        <x:f>IF(COUNT(AW460:BD460)&gt;=7,AVERAGE(AW460:BD460),"")</x:f>
      </x:c>
      <x:c r="BX460" s="40" t="str">
        <x:f>IF(COUNT(BE460:BJ460)&gt;=5,AVERAGE(BE460:BJ460),"")</x:f>
      </x:c>
      <x:c r="BY460" s="40" t="str">
        <x:f>IF(COUNT(BK460:BR460)&gt;=7,AVERAGE(BK460:BR460),"")</x:f>
      </x:c>
    </x:row>
    <x:row r="461">
      <x:c r="A461" t="str">
        <x:v>R460</x:v>
      </x:c>
      <x:c r="BS461" s="40" t="str">
        <x:f>IF(COUNT(N461:W461)&gt;=8,AVERAGE(N461:W461),"")</x:f>
      </x:c>
      <x:c r="BT461" s="40" t="str">
        <x:f>IF(COUNT(X461:AE461)&gt;=7,AVERAGE(X461:AE461),"")</x:f>
      </x:c>
      <x:c r="BU461" s="40" t="str">
        <x:f>IF(COUNT(AF461:AM461)&gt;=7,AVERAGE(AF461:AM461),"")</x:f>
      </x:c>
      <x:c r="BV461" s="40" t="str">
        <x:f>IF(COUNT(AN461:AV461)&gt;=8,AVERAGE(AN461:AV461),"")</x:f>
      </x:c>
      <x:c r="BW461" s="40" t="str">
        <x:f>IF(COUNT(AW461:BD461)&gt;=7,AVERAGE(AW461:BD461),"")</x:f>
      </x:c>
      <x:c r="BX461" s="40" t="str">
        <x:f>IF(COUNT(BE461:BJ461)&gt;=5,AVERAGE(BE461:BJ461),"")</x:f>
      </x:c>
      <x:c r="BY461" s="40" t="str">
        <x:f>IF(COUNT(BK461:BR461)&gt;=7,AVERAGE(BK461:BR461),"")</x:f>
      </x:c>
    </x:row>
    <x:row r="462">
      <x:c r="A462" t="str">
        <x:v>R461</x:v>
      </x:c>
      <x:c r="BS462" s="40" t="str">
        <x:f>IF(COUNT(N462:W462)&gt;=8,AVERAGE(N462:W462),"")</x:f>
      </x:c>
      <x:c r="BT462" s="40" t="str">
        <x:f>IF(COUNT(X462:AE462)&gt;=7,AVERAGE(X462:AE462),"")</x:f>
      </x:c>
      <x:c r="BU462" s="40" t="str">
        <x:f>IF(COUNT(AF462:AM462)&gt;=7,AVERAGE(AF462:AM462),"")</x:f>
      </x:c>
      <x:c r="BV462" s="40" t="str">
        <x:f>IF(COUNT(AN462:AV462)&gt;=8,AVERAGE(AN462:AV462),"")</x:f>
      </x:c>
      <x:c r="BW462" s="40" t="str">
        <x:f>IF(COUNT(AW462:BD462)&gt;=7,AVERAGE(AW462:BD462),"")</x:f>
      </x:c>
      <x:c r="BX462" s="40" t="str">
        <x:f>IF(COUNT(BE462:BJ462)&gt;=5,AVERAGE(BE462:BJ462),"")</x:f>
      </x:c>
      <x:c r="BY462" s="40" t="str">
        <x:f>IF(COUNT(BK462:BR462)&gt;=7,AVERAGE(BK462:BR462),"")</x:f>
      </x:c>
    </x:row>
    <x:row r="463">
      <x:c r="A463" t="str">
        <x:v>R462</x:v>
      </x:c>
      <x:c r="BS463" s="40" t="str">
        <x:f>IF(COUNT(N463:W463)&gt;=8,AVERAGE(N463:W463),"")</x:f>
      </x:c>
      <x:c r="BT463" s="40" t="str">
        <x:f>IF(COUNT(X463:AE463)&gt;=7,AVERAGE(X463:AE463),"")</x:f>
      </x:c>
      <x:c r="BU463" s="40" t="str">
        <x:f>IF(COUNT(AF463:AM463)&gt;=7,AVERAGE(AF463:AM463),"")</x:f>
      </x:c>
      <x:c r="BV463" s="40" t="str">
        <x:f>IF(COUNT(AN463:AV463)&gt;=8,AVERAGE(AN463:AV463),"")</x:f>
      </x:c>
      <x:c r="BW463" s="40" t="str">
        <x:f>IF(COUNT(AW463:BD463)&gt;=7,AVERAGE(AW463:BD463),"")</x:f>
      </x:c>
      <x:c r="BX463" s="40" t="str">
        <x:f>IF(COUNT(BE463:BJ463)&gt;=5,AVERAGE(BE463:BJ463),"")</x:f>
      </x:c>
      <x:c r="BY463" s="40" t="str">
        <x:f>IF(COUNT(BK463:BR463)&gt;=7,AVERAGE(BK463:BR463),"")</x:f>
      </x:c>
    </x:row>
    <x:row r="464">
      <x:c r="A464" t="str">
        <x:v>R463</x:v>
      </x:c>
      <x:c r="BS464" s="40" t="str">
        <x:f>IF(COUNT(N464:W464)&gt;=8,AVERAGE(N464:W464),"")</x:f>
      </x:c>
      <x:c r="BT464" s="40" t="str">
        <x:f>IF(COUNT(X464:AE464)&gt;=7,AVERAGE(X464:AE464),"")</x:f>
      </x:c>
      <x:c r="BU464" s="40" t="str">
        <x:f>IF(COUNT(AF464:AM464)&gt;=7,AVERAGE(AF464:AM464),"")</x:f>
      </x:c>
      <x:c r="BV464" s="40" t="str">
        <x:f>IF(COUNT(AN464:AV464)&gt;=8,AVERAGE(AN464:AV464),"")</x:f>
      </x:c>
      <x:c r="BW464" s="40" t="str">
        <x:f>IF(COUNT(AW464:BD464)&gt;=7,AVERAGE(AW464:BD464),"")</x:f>
      </x:c>
      <x:c r="BX464" s="40" t="str">
        <x:f>IF(COUNT(BE464:BJ464)&gt;=5,AVERAGE(BE464:BJ464),"")</x:f>
      </x:c>
      <x:c r="BY464" s="40" t="str">
        <x:f>IF(COUNT(BK464:BR464)&gt;=7,AVERAGE(BK464:BR464),"")</x:f>
      </x:c>
    </x:row>
    <x:row r="465">
      <x:c r="A465" t="str">
        <x:v>R464</x:v>
      </x:c>
      <x:c r="BS465" s="40" t="str">
        <x:f>IF(COUNT(N465:W465)&gt;=8,AVERAGE(N465:W465),"")</x:f>
      </x:c>
      <x:c r="BT465" s="40" t="str">
        <x:f>IF(COUNT(X465:AE465)&gt;=7,AVERAGE(X465:AE465),"")</x:f>
      </x:c>
      <x:c r="BU465" s="40" t="str">
        <x:f>IF(COUNT(AF465:AM465)&gt;=7,AVERAGE(AF465:AM465),"")</x:f>
      </x:c>
      <x:c r="BV465" s="40" t="str">
        <x:f>IF(COUNT(AN465:AV465)&gt;=8,AVERAGE(AN465:AV465),"")</x:f>
      </x:c>
      <x:c r="BW465" s="40" t="str">
        <x:f>IF(COUNT(AW465:BD465)&gt;=7,AVERAGE(AW465:BD465),"")</x:f>
      </x:c>
      <x:c r="BX465" s="40" t="str">
        <x:f>IF(COUNT(BE465:BJ465)&gt;=5,AVERAGE(BE465:BJ465),"")</x:f>
      </x:c>
      <x:c r="BY465" s="40" t="str">
        <x:f>IF(COUNT(BK465:BR465)&gt;=7,AVERAGE(BK465:BR465),"")</x:f>
      </x:c>
    </x:row>
    <x:row r="466">
      <x:c r="A466" t="str">
        <x:v>R465</x:v>
      </x:c>
      <x:c r="BS466" s="40" t="str">
        <x:f>IF(COUNT(N466:W466)&gt;=8,AVERAGE(N466:W466),"")</x:f>
      </x:c>
      <x:c r="BT466" s="40" t="str">
        <x:f>IF(COUNT(X466:AE466)&gt;=7,AVERAGE(X466:AE466),"")</x:f>
      </x:c>
      <x:c r="BU466" s="40" t="str">
        <x:f>IF(COUNT(AF466:AM466)&gt;=7,AVERAGE(AF466:AM466),"")</x:f>
      </x:c>
      <x:c r="BV466" s="40" t="str">
        <x:f>IF(COUNT(AN466:AV466)&gt;=8,AVERAGE(AN466:AV466),"")</x:f>
      </x:c>
      <x:c r="BW466" s="40" t="str">
        <x:f>IF(COUNT(AW466:BD466)&gt;=7,AVERAGE(AW466:BD466),"")</x:f>
      </x:c>
      <x:c r="BX466" s="40" t="str">
        <x:f>IF(COUNT(BE466:BJ466)&gt;=5,AVERAGE(BE466:BJ466),"")</x:f>
      </x:c>
      <x:c r="BY466" s="40" t="str">
        <x:f>IF(COUNT(BK466:BR466)&gt;=7,AVERAGE(BK466:BR466),"")</x:f>
      </x:c>
    </x:row>
    <x:row r="467">
      <x:c r="A467" t="str">
        <x:v>R466</x:v>
      </x:c>
      <x:c r="BS467" s="40" t="str">
        <x:f>IF(COUNT(N467:W467)&gt;=8,AVERAGE(N467:W467),"")</x:f>
      </x:c>
      <x:c r="BT467" s="40" t="str">
        <x:f>IF(COUNT(X467:AE467)&gt;=7,AVERAGE(X467:AE467),"")</x:f>
      </x:c>
      <x:c r="BU467" s="40" t="str">
        <x:f>IF(COUNT(AF467:AM467)&gt;=7,AVERAGE(AF467:AM467),"")</x:f>
      </x:c>
      <x:c r="BV467" s="40" t="str">
        <x:f>IF(COUNT(AN467:AV467)&gt;=8,AVERAGE(AN467:AV467),"")</x:f>
      </x:c>
      <x:c r="BW467" s="40" t="str">
        <x:f>IF(COUNT(AW467:BD467)&gt;=7,AVERAGE(AW467:BD467),"")</x:f>
      </x:c>
      <x:c r="BX467" s="40" t="str">
        <x:f>IF(COUNT(BE467:BJ467)&gt;=5,AVERAGE(BE467:BJ467),"")</x:f>
      </x:c>
      <x:c r="BY467" s="40" t="str">
        <x:f>IF(COUNT(BK467:BR467)&gt;=7,AVERAGE(BK467:BR467),"")</x:f>
      </x:c>
    </x:row>
    <x:row r="468">
      <x:c r="A468" t="str">
        <x:v>R467</x:v>
      </x:c>
      <x:c r="BS468" s="40" t="str">
        <x:f>IF(COUNT(N468:W468)&gt;=8,AVERAGE(N468:W468),"")</x:f>
      </x:c>
      <x:c r="BT468" s="40" t="str">
        <x:f>IF(COUNT(X468:AE468)&gt;=7,AVERAGE(X468:AE468),"")</x:f>
      </x:c>
      <x:c r="BU468" s="40" t="str">
        <x:f>IF(COUNT(AF468:AM468)&gt;=7,AVERAGE(AF468:AM468),"")</x:f>
      </x:c>
      <x:c r="BV468" s="40" t="str">
        <x:f>IF(COUNT(AN468:AV468)&gt;=8,AVERAGE(AN468:AV468),"")</x:f>
      </x:c>
      <x:c r="BW468" s="40" t="str">
        <x:f>IF(COUNT(AW468:BD468)&gt;=7,AVERAGE(AW468:BD468),"")</x:f>
      </x:c>
      <x:c r="BX468" s="40" t="str">
        <x:f>IF(COUNT(BE468:BJ468)&gt;=5,AVERAGE(BE468:BJ468),"")</x:f>
      </x:c>
      <x:c r="BY468" s="40" t="str">
        <x:f>IF(COUNT(BK468:BR468)&gt;=7,AVERAGE(BK468:BR468),"")</x:f>
      </x:c>
    </x:row>
    <x:row r="469">
      <x:c r="A469" t="str">
        <x:v>R468</x:v>
      </x:c>
      <x:c r="BS469" s="40" t="str">
        <x:f>IF(COUNT(N469:W469)&gt;=8,AVERAGE(N469:W469),"")</x:f>
      </x:c>
      <x:c r="BT469" s="40" t="str">
        <x:f>IF(COUNT(X469:AE469)&gt;=7,AVERAGE(X469:AE469),"")</x:f>
      </x:c>
      <x:c r="BU469" s="40" t="str">
        <x:f>IF(COUNT(AF469:AM469)&gt;=7,AVERAGE(AF469:AM469),"")</x:f>
      </x:c>
      <x:c r="BV469" s="40" t="str">
        <x:f>IF(COUNT(AN469:AV469)&gt;=8,AVERAGE(AN469:AV469),"")</x:f>
      </x:c>
      <x:c r="BW469" s="40" t="str">
        <x:f>IF(COUNT(AW469:BD469)&gt;=7,AVERAGE(AW469:BD469),"")</x:f>
      </x:c>
      <x:c r="BX469" s="40" t="str">
        <x:f>IF(COUNT(BE469:BJ469)&gt;=5,AVERAGE(BE469:BJ469),"")</x:f>
      </x:c>
      <x:c r="BY469" s="40" t="str">
        <x:f>IF(COUNT(BK469:BR469)&gt;=7,AVERAGE(BK469:BR469),"")</x:f>
      </x:c>
    </x:row>
    <x:row r="470">
      <x:c r="A470" t="str">
        <x:v>R469</x:v>
      </x:c>
      <x:c r="BS470" s="40" t="str">
        <x:f>IF(COUNT(N470:W470)&gt;=8,AVERAGE(N470:W470),"")</x:f>
      </x:c>
      <x:c r="BT470" s="40" t="str">
        <x:f>IF(COUNT(X470:AE470)&gt;=7,AVERAGE(X470:AE470),"")</x:f>
      </x:c>
      <x:c r="BU470" s="40" t="str">
        <x:f>IF(COUNT(AF470:AM470)&gt;=7,AVERAGE(AF470:AM470),"")</x:f>
      </x:c>
      <x:c r="BV470" s="40" t="str">
        <x:f>IF(COUNT(AN470:AV470)&gt;=8,AVERAGE(AN470:AV470),"")</x:f>
      </x:c>
      <x:c r="BW470" s="40" t="str">
        <x:f>IF(COUNT(AW470:BD470)&gt;=7,AVERAGE(AW470:BD470),"")</x:f>
      </x:c>
      <x:c r="BX470" s="40" t="str">
        <x:f>IF(COUNT(BE470:BJ470)&gt;=5,AVERAGE(BE470:BJ470),"")</x:f>
      </x:c>
      <x:c r="BY470" s="40" t="str">
        <x:f>IF(COUNT(BK470:BR470)&gt;=7,AVERAGE(BK470:BR470),"")</x:f>
      </x:c>
    </x:row>
    <x:row r="471">
      <x:c r="A471" t="str">
        <x:v>R470</x:v>
      </x:c>
      <x:c r="BS471" s="40" t="str">
        <x:f>IF(COUNT(N471:W471)&gt;=8,AVERAGE(N471:W471),"")</x:f>
      </x:c>
      <x:c r="BT471" s="40" t="str">
        <x:f>IF(COUNT(X471:AE471)&gt;=7,AVERAGE(X471:AE471),"")</x:f>
      </x:c>
      <x:c r="BU471" s="40" t="str">
        <x:f>IF(COUNT(AF471:AM471)&gt;=7,AVERAGE(AF471:AM471),"")</x:f>
      </x:c>
      <x:c r="BV471" s="40" t="str">
        <x:f>IF(COUNT(AN471:AV471)&gt;=8,AVERAGE(AN471:AV471),"")</x:f>
      </x:c>
      <x:c r="BW471" s="40" t="str">
        <x:f>IF(COUNT(AW471:BD471)&gt;=7,AVERAGE(AW471:BD471),"")</x:f>
      </x:c>
      <x:c r="BX471" s="40" t="str">
        <x:f>IF(COUNT(BE471:BJ471)&gt;=5,AVERAGE(BE471:BJ471),"")</x:f>
      </x:c>
      <x:c r="BY471" s="40" t="str">
        <x:f>IF(COUNT(BK471:BR471)&gt;=7,AVERAGE(BK471:BR471),"")</x:f>
      </x:c>
    </x:row>
    <x:row r="472">
      <x:c r="A472" t="str">
        <x:v>R471</x:v>
      </x:c>
      <x:c r="BS472" s="40" t="str">
        <x:f>IF(COUNT(N472:W472)&gt;=8,AVERAGE(N472:W472),"")</x:f>
      </x:c>
      <x:c r="BT472" s="40" t="str">
        <x:f>IF(COUNT(X472:AE472)&gt;=7,AVERAGE(X472:AE472),"")</x:f>
      </x:c>
      <x:c r="BU472" s="40" t="str">
        <x:f>IF(COUNT(AF472:AM472)&gt;=7,AVERAGE(AF472:AM472),"")</x:f>
      </x:c>
      <x:c r="BV472" s="40" t="str">
        <x:f>IF(COUNT(AN472:AV472)&gt;=8,AVERAGE(AN472:AV472),"")</x:f>
      </x:c>
      <x:c r="BW472" s="40" t="str">
        <x:f>IF(COUNT(AW472:BD472)&gt;=7,AVERAGE(AW472:BD472),"")</x:f>
      </x:c>
      <x:c r="BX472" s="40" t="str">
        <x:f>IF(COUNT(BE472:BJ472)&gt;=5,AVERAGE(BE472:BJ472),"")</x:f>
      </x:c>
      <x:c r="BY472" s="40" t="str">
        <x:f>IF(COUNT(BK472:BR472)&gt;=7,AVERAGE(BK472:BR472),"")</x:f>
      </x:c>
    </x:row>
    <x:row r="473">
      <x:c r="A473" t="str">
        <x:v>R472</x:v>
      </x:c>
      <x:c r="BS473" s="40" t="str">
        <x:f>IF(COUNT(N473:W473)&gt;=8,AVERAGE(N473:W473),"")</x:f>
      </x:c>
      <x:c r="BT473" s="40" t="str">
        <x:f>IF(COUNT(X473:AE473)&gt;=7,AVERAGE(X473:AE473),"")</x:f>
      </x:c>
      <x:c r="BU473" s="40" t="str">
        <x:f>IF(COUNT(AF473:AM473)&gt;=7,AVERAGE(AF473:AM473),"")</x:f>
      </x:c>
      <x:c r="BV473" s="40" t="str">
        <x:f>IF(COUNT(AN473:AV473)&gt;=8,AVERAGE(AN473:AV473),"")</x:f>
      </x:c>
      <x:c r="BW473" s="40" t="str">
        <x:f>IF(COUNT(AW473:BD473)&gt;=7,AVERAGE(AW473:BD473),"")</x:f>
      </x:c>
      <x:c r="BX473" s="40" t="str">
        <x:f>IF(COUNT(BE473:BJ473)&gt;=5,AVERAGE(BE473:BJ473),"")</x:f>
      </x:c>
      <x:c r="BY473" s="40" t="str">
        <x:f>IF(COUNT(BK473:BR473)&gt;=7,AVERAGE(BK473:BR473),"")</x:f>
      </x:c>
    </x:row>
    <x:row r="474">
      <x:c r="A474" t="str">
        <x:v>R473</x:v>
      </x:c>
      <x:c r="BS474" s="40" t="str">
        <x:f>IF(COUNT(N474:W474)&gt;=8,AVERAGE(N474:W474),"")</x:f>
      </x:c>
      <x:c r="BT474" s="40" t="str">
        <x:f>IF(COUNT(X474:AE474)&gt;=7,AVERAGE(X474:AE474),"")</x:f>
      </x:c>
      <x:c r="BU474" s="40" t="str">
        <x:f>IF(COUNT(AF474:AM474)&gt;=7,AVERAGE(AF474:AM474),"")</x:f>
      </x:c>
      <x:c r="BV474" s="40" t="str">
        <x:f>IF(COUNT(AN474:AV474)&gt;=8,AVERAGE(AN474:AV474),"")</x:f>
      </x:c>
      <x:c r="BW474" s="40" t="str">
        <x:f>IF(COUNT(AW474:BD474)&gt;=7,AVERAGE(AW474:BD474),"")</x:f>
      </x:c>
      <x:c r="BX474" s="40" t="str">
        <x:f>IF(COUNT(BE474:BJ474)&gt;=5,AVERAGE(BE474:BJ474),"")</x:f>
      </x:c>
      <x:c r="BY474" s="40" t="str">
        <x:f>IF(COUNT(BK474:BR474)&gt;=7,AVERAGE(BK474:BR474),"")</x:f>
      </x:c>
    </x:row>
    <x:row r="475">
      <x:c r="A475" t="str">
        <x:v>R474</x:v>
      </x:c>
      <x:c r="BS475" s="40" t="str">
        <x:f>IF(COUNT(N475:W475)&gt;=8,AVERAGE(N475:W475),"")</x:f>
      </x:c>
      <x:c r="BT475" s="40" t="str">
        <x:f>IF(COUNT(X475:AE475)&gt;=7,AVERAGE(X475:AE475),"")</x:f>
      </x:c>
      <x:c r="BU475" s="40" t="str">
        <x:f>IF(COUNT(AF475:AM475)&gt;=7,AVERAGE(AF475:AM475),"")</x:f>
      </x:c>
      <x:c r="BV475" s="40" t="str">
        <x:f>IF(COUNT(AN475:AV475)&gt;=8,AVERAGE(AN475:AV475),"")</x:f>
      </x:c>
      <x:c r="BW475" s="40" t="str">
        <x:f>IF(COUNT(AW475:BD475)&gt;=7,AVERAGE(AW475:BD475),"")</x:f>
      </x:c>
      <x:c r="BX475" s="40" t="str">
        <x:f>IF(COUNT(BE475:BJ475)&gt;=5,AVERAGE(BE475:BJ475),"")</x:f>
      </x:c>
      <x:c r="BY475" s="40" t="str">
        <x:f>IF(COUNT(BK475:BR475)&gt;=7,AVERAGE(BK475:BR475),"")</x:f>
      </x:c>
    </x:row>
    <x:row r="476">
      <x:c r="A476" t="str">
        <x:v>R475</x:v>
      </x:c>
      <x:c r="BS476" s="40" t="str">
        <x:f>IF(COUNT(N476:W476)&gt;=8,AVERAGE(N476:W476),"")</x:f>
      </x:c>
      <x:c r="BT476" s="40" t="str">
        <x:f>IF(COUNT(X476:AE476)&gt;=7,AVERAGE(X476:AE476),"")</x:f>
      </x:c>
      <x:c r="BU476" s="40" t="str">
        <x:f>IF(COUNT(AF476:AM476)&gt;=7,AVERAGE(AF476:AM476),"")</x:f>
      </x:c>
      <x:c r="BV476" s="40" t="str">
        <x:f>IF(COUNT(AN476:AV476)&gt;=8,AVERAGE(AN476:AV476),"")</x:f>
      </x:c>
      <x:c r="BW476" s="40" t="str">
        <x:f>IF(COUNT(AW476:BD476)&gt;=7,AVERAGE(AW476:BD476),"")</x:f>
      </x:c>
      <x:c r="BX476" s="40" t="str">
        <x:f>IF(COUNT(BE476:BJ476)&gt;=5,AVERAGE(BE476:BJ476),"")</x:f>
      </x:c>
      <x:c r="BY476" s="40" t="str">
        <x:f>IF(COUNT(BK476:BR476)&gt;=7,AVERAGE(BK476:BR476),"")</x:f>
      </x:c>
    </x:row>
    <x:row r="477">
      <x:c r="A477" t="str">
        <x:v>R476</x:v>
      </x:c>
      <x:c r="BS477" s="40" t="str">
        <x:f>IF(COUNT(N477:W477)&gt;=8,AVERAGE(N477:W477),"")</x:f>
      </x:c>
      <x:c r="BT477" s="40" t="str">
        <x:f>IF(COUNT(X477:AE477)&gt;=7,AVERAGE(X477:AE477),"")</x:f>
      </x:c>
      <x:c r="BU477" s="40" t="str">
        <x:f>IF(COUNT(AF477:AM477)&gt;=7,AVERAGE(AF477:AM477),"")</x:f>
      </x:c>
      <x:c r="BV477" s="40" t="str">
        <x:f>IF(COUNT(AN477:AV477)&gt;=8,AVERAGE(AN477:AV477),"")</x:f>
      </x:c>
      <x:c r="BW477" s="40" t="str">
        <x:f>IF(COUNT(AW477:BD477)&gt;=7,AVERAGE(AW477:BD477),"")</x:f>
      </x:c>
      <x:c r="BX477" s="40" t="str">
        <x:f>IF(COUNT(BE477:BJ477)&gt;=5,AVERAGE(BE477:BJ477),"")</x:f>
      </x:c>
      <x:c r="BY477" s="40" t="str">
        <x:f>IF(COUNT(BK477:BR477)&gt;=7,AVERAGE(BK477:BR477),"")</x:f>
      </x:c>
    </x:row>
    <x:row r="478">
      <x:c r="A478" t="str">
        <x:v>R477</x:v>
      </x:c>
      <x:c r="BS478" s="40" t="str">
        <x:f>IF(COUNT(N478:W478)&gt;=8,AVERAGE(N478:W478),"")</x:f>
      </x:c>
      <x:c r="BT478" s="40" t="str">
        <x:f>IF(COUNT(X478:AE478)&gt;=7,AVERAGE(X478:AE478),"")</x:f>
      </x:c>
      <x:c r="BU478" s="40" t="str">
        <x:f>IF(COUNT(AF478:AM478)&gt;=7,AVERAGE(AF478:AM478),"")</x:f>
      </x:c>
      <x:c r="BV478" s="40" t="str">
        <x:f>IF(COUNT(AN478:AV478)&gt;=8,AVERAGE(AN478:AV478),"")</x:f>
      </x:c>
      <x:c r="BW478" s="40" t="str">
        <x:f>IF(COUNT(AW478:BD478)&gt;=7,AVERAGE(AW478:BD478),"")</x:f>
      </x:c>
      <x:c r="BX478" s="40" t="str">
        <x:f>IF(COUNT(BE478:BJ478)&gt;=5,AVERAGE(BE478:BJ478),"")</x:f>
      </x:c>
      <x:c r="BY478" s="40" t="str">
        <x:f>IF(COUNT(BK478:BR478)&gt;=7,AVERAGE(BK478:BR478),"")</x:f>
      </x:c>
    </x:row>
    <x:row r="479">
      <x:c r="A479" t="str">
        <x:v>R478</x:v>
      </x:c>
      <x:c r="BS479" s="40" t="str">
        <x:f>IF(COUNT(N479:W479)&gt;=8,AVERAGE(N479:W479),"")</x:f>
      </x:c>
      <x:c r="BT479" s="40" t="str">
        <x:f>IF(COUNT(X479:AE479)&gt;=7,AVERAGE(X479:AE479),"")</x:f>
      </x:c>
      <x:c r="BU479" s="40" t="str">
        <x:f>IF(COUNT(AF479:AM479)&gt;=7,AVERAGE(AF479:AM479),"")</x:f>
      </x:c>
      <x:c r="BV479" s="40" t="str">
        <x:f>IF(COUNT(AN479:AV479)&gt;=8,AVERAGE(AN479:AV479),"")</x:f>
      </x:c>
      <x:c r="BW479" s="40" t="str">
        <x:f>IF(COUNT(AW479:BD479)&gt;=7,AVERAGE(AW479:BD479),"")</x:f>
      </x:c>
      <x:c r="BX479" s="40" t="str">
        <x:f>IF(COUNT(BE479:BJ479)&gt;=5,AVERAGE(BE479:BJ479),"")</x:f>
      </x:c>
      <x:c r="BY479" s="40" t="str">
        <x:f>IF(COUNT(BK479:BR479)&gt;=7,AVERAGE(BK479:BR479),"")</x:f>
      </x:c>
    </x:row>
    <x:row r="480">
      <x:c r="A480" t="str">
        <x:v>R479</x:v>
      </x:c>
      <x:c r="BS480" s="40" t="str">
        <x:f>IF(COUNT(N480:W480)&gt;=8,AVERAGE(N480:W480),"")</x:f>
      </x:c>
      <x:c r="BT480" s="40" t="str">
        <x:f>IF(COUNT(X480:AE480)&gt;=7,AVERAGE(X480:AE480),"")</x:f>
      </x:c>
      <x:c r="BU480" s="40" t="str">
        <x:f>IF(COUNT(AF480:AM480)&gt;=7,AVERAGE(AF480:AM480),"")</x:f>
      </x:c>
      <x:c r="BV480" s="40" t="str">
        <x:f>IF(COUNT(AN480:AV480)&gt;=8,AVERAGE(AN480:AV480),"")</x:f>
      </x:c>
      <x:c r="BW480" s="40" t="str">
        <x:f>IF(COUNT(AW480:BD480)&gt;=7,AVERAGE(AW480:BD480),"")</x:f>
      </x:c>
      <x:c r="BX480" s="40" t="str">
        <x:f>IF(COUNT(BE480:BJ480)&gt;=5,AVERAGE(BE480:BJ480),"")</x:f>
      </x:c>
      <x:c r="BY480" s="40" t="str">
        <x:f>IF(COUNT(BK480:BR480)&gt;=7,AVERAGE(BK480:BR480),"")</x:f>
      </x:c>
    </x:row>
    <x:row r="481">
      <x:c r="A481" t="str">
        <x:v>R480</x:v>
      </x:c>
      <x:c r="BS481" s="40" t="str">
        <x:f>IF(COUNT(N481:W481)&gt;=8,AVERAGE(N481:W481),"")</x:f>
      </x:c>
      <x:c r="BT481" s="40" t="str">
        <x:f>IF(COUNT(X481:AE481)&gt;=7,AVERAGE(X481:AE481),"")</x:f>
      </x:c>
      <x:c r="BU481" s="40" t="str">
        <x:f>IF(COUNT(AF481:AM481)&gt;=7,AVERAGE(AF481:AM481),"")</x:f>
      </x:c>
      <x:c r="BV481" s="40" t="str">
        <x:f>IF(COUNT(AN481:AV481)&gt;=8,AVERAGE(AN481:AV481),"")</x:f>
      </x:c>
      <x:c r="BW481" s="40" t="str">
        <x:f>IF(COUNT(AW481:BD481)&gt;=7,AVERAGE(AW481:BD481),"")</x:f>
      </x:c>
      <x:c r="BX481" s="40" t="str">
        <x:f>IF(COUNT(BE481:BJ481)&gt;=5,AVERAGE(BE481:BJ481),"")</x:f>
      </x:c>
      <x:c r="BY481" s="40" t="str">
        <x:f>IF(COUNT(BK481:BR481)&gt;=7,AVERAGE(BK481:BR481),"")</x:f>
      </x:c>
    </x:row>
    <x:row r="482">
      <x:c r="A482" t="str">
        <x:v>R481</x:v>
      </x:c>
      <x:c r="BS482" s="40" t="str">
        <x:f>IF(COUNT(N482:W482)&gt;=8,AVERAGE(N482:W482),"")</x:f>
      </x:c>
      <x:c r="BT482" s="40" t="str">
        <x:f>IF(COUNT(X482:AE482)&gt;=7,AVERAGE(X482:AE482),"")</x:f>
      </x:c>
      <x:c r="BU482" s="40" t="str">
        <x:f>IF(COUNT(AF482:AM482)&gt;=7,AVERAGE(AF482:AM482),"")</x:f>
      </x:c>
      <x:c r="BV482" s="40" t="str">
        <x:f>IF(COUNT(AN482:AV482)&gt;=8,AVERAGE(AN482:AV482),"")</x:f>
      </x:c>
      <x:c r="BW482" s="40" t="str">
        <x:f>IF(COUNT(AW482:BD482)&gt;=7,AVERAGE(AW482:BD482),"")</x:f>
      </x:c>
      <x:c r="BX482" s="40" t="str">
        <x:f>IF(COUNT(BE482:BJ482)&gt;=5,AVERAGE(BE482:BJ482),"")</x:f>
      </x:c>
      <x:c r="BY482" s="40" t="str">
        <x:f>IF(COUNT(BK482:BR482)&gt;=7,AVERAGE(BK482:BR482),"")</x:f>
      </x:c>
    </x:row>
    <x:row r="483">
      <x:c r="A483" t="str">
        <x:v>R482</x:v>
      </x:c>
      <x:c r="BS483" s="40" t="str">
        <x:f>IF(COUNT(N483:W483)&gt;=8,AVERAGE(N483:W483),"")</x:f>
      </x:c>
      <x:c r="BT483" s="40" t="str">
        <x:f>IF(COUNT(X483:AE483)&gt;=7,AVERAGE(X483:AE483),"")</x:f>
      </x:c>
      <x:c r="BU483" s="40" t="str">
        <x:f>IF(COUNT(AF483:AM483)&gt;=7,AVERAGE(AF483:AM483),"")</x:f>
      </x:c>
      <x:c r="BV483" s="40" t="str">
        <x:f>IF(COUNT(AN483:AV483)&gt;=8,AVERAGE(AN483:AV483),"")</x:f>
      </x:c>
      <x:c r="BW483" s="40" t="str">
        <x:f>IF(COUNT(AW483:BD483)&gt;=7,AVERAGE(AW483:BD483),"")</x:f>
      </x:c>
      <x:c r="BX483" s="40" t="str">
        <x:f>IF(COUNT(BE483:BJ483)&gt;=5,AVERAGE(BE483:BJ483),"")</x:f>
      </x:c>
      <x:c r="BY483" s="40" t="str">
        <x:f>IF(COUNT(BK483:BR483)&gt;=7,AVERAGE(BK483:BR483),"")</x:f>
      </x:c>
    </x:row>
    <x:row r="484">
      <x:c r="A484" t="str">
        <x:v>R483</x:v>
      </x:c>
      <x:c r="BS484" s="40" t="str">
        <x:f>IF(COUNT(N484:W484)&gt;=8,AVERAGE(N484:W484),"")</x:f>
      </x:c>
      <x:c r="BT484" s="40" t="str">
        <x:f>IF(COUNT(X484:AE484)&gt;=7,AVERAGE(X484:AE484),"")</x:f>
      </x:c>
      <x:c r="BU484" s="40" t="str">
        <x:f>IF(COUNT(AF484:AM484)&gt;=7,AVERAGE(AF484:AM484),"")</x:f>
      </x:c>
      <x:c r="BV484" s="40" t="str">
        <x:f>IF(COUNT(AN484:AV484)&gt;=8,AVERAGE(AN484:AV484),"")</x:f>
      </x:c>
      <x:c r="BW484" s="40" t="str">
        <x:f>IF(COUNT(AW484:BD484)&gt;=7,AVERAGE(AW484:BD484),"")</x:f>
      </x:c>
      <x:c r="BX484" s="40" t="str">
        <x:f>IF(COUNT(BE484:BJ484)&gt;=5,AVERAGE(BE484:BJ484),"")</x:f>
      </x:c>
      <x:c r="BY484" s="40" t="str">
        <x:f>IF(COUNT(BK484:BR484)&gt;=7,AVERAGE(BK484:BR484),"")</x:f>
      </x:c>
    </x:row>
    <x:row r="485">
      <x:c r="A485" t="str">
        <x:v>R484</x:v>
      </x:c>
      <x:c r="BS485" s="40" t="str">
        <x:f>IF(COUNT(N485:W485)&gt;=8,AVERAGE(N485:W485),"")</x:f>
      </x:c>
      <x:c r="BT485" s="40" t="str">
        <x:f>IF(COUNT(X485:AE485)&gt;=7,AVERAGE(X485:AE485),"")</x:f>
      </x:c>
      <x:c r="BU485" s="40" t="str">
        <x:f>IF(COUNT(AF485:AM485)&gt;=7,AVERAGE(AF485:AM485),"")</x:f>
      </x:c>
      <x:c r="BV485" s="40" t="str">
        <x:f>IF(COUNT(AN485:AV485)&gt;=8,AVERAGE(AN485:AV485),"")</x:f>
      </x:c>
      <x:c r="BW485" s="40" t="str">
        <x:f>IF(COUNT(AW485:BD485)&gt;=7,AVERAGE(AW485:BD485),"")</x:f>
      </x:c>
      <x:c r="BX485" s="40" t="str">
        <x:f>IF(COUNT(BE485:BJ485)&gt;=5,AVERAGE(BE485:BJ485),"")</x:f>
      </x:c>
      <x:c r="BY485" s="40" t="str">
        <x:f>IF(COUNT(BK485:BR485)&gt;=7,AVERAGE(BK485:BR485),"")</x:f>
      </x:c>
    </x:row>
    <x:row r="486">
      <x:c r="A486" t="str">
        <x:v>R485</x:v>
      </x:c>
      <x:c r="BS486" s="40" t="str">
        <x:f>IF(COUNT(N486:W486)&gt;=8,AVERAGE(N486:W486),"")</x:f>
      </x:c>
      <x:c r="BT486" s="40" t="str">
        <x:f>IF(COUNT(X486:AE486)&gt;=7,AVERAGE(X486:AE486),"")</x:f>
      </x:c>
      <x:c r="BU486" s="40" t="str">
        <x:f>IF(COUNT(AF486:AM486)&gt;=7,AVERAGE(AF486:AM486),"")</x:f>
      </x:c>
      <x:c r="BV486" s="40" t="str">
        <x:f>IF(COUNT(AN486:AV486)&gt;=8,AVERAGE(AN486:AV486),"")</x:f>
      </x:c>
      <x:c r="BW486" s="40" t="str">
        <x:f>IF(COUNT(AW486:BD486)&gt;=7,AVERAGE(AW486:BD486),"")</x:f>
      </x:c>
      <x:c r="BX486" s="40" t="str">
        <x:f>IF(COUNT(BE486:BJ486)&gt;=5,AVERAGE(BE486:BJ486),"")</x:f>
      </x:c>
      <x:c r="BY486" s="40" t="str">
        <x:f>IF(COUNT(BK486:BR486)&gt;=7,AVERAGE(BK486:BR486),"")</x:f>
      </x:c>
    </x:row>
    <x:row r="487">
      <x:c r="A487" t="str">
        <x:v>R486</x:v>
      </x:c>
      <x:c r="BS487" s="40" t="str">
        <x:f>IF(COUNT(N487:W487)&gt;=8,AVERAGE(N487:W487),"")</x:f>
      </x:c>
      <x:c r="BT487" s="40" t="str">
        <x:f>IF(COUNT(X487:AE487)&gt;=7,AVERAGE(X487:AE487),"")</x:f>
      </x:c>
      <x:c r="BU487" s="40" t="str">
        <x:f>IF(COUNT(AF487:AM487)&gt;=7,AVERAGE(AF487:AM487),"")</x:f>
      </x:c>
      <x:c r="BV487" s="40" t="str">
        <x:f>IF(COUNT(AN487:AV487)&gt;=8,AVERAGE(AN487:AV487),"")</x:f>
      </x:c>
      <x:c r="BW487" s="40" t="str">
        <x:f>IF(COUNT(AW487:BD487)&gt;=7,AVERAGE(AW487:BD487),"")</x:f>
      </x:c>
      <x:c r="BX487" s="40" t="str">
        <x:f>IF(COUNT(BE487:BJ487)&gt;=5,AVERAGE(BE487:BJ487),"")</x:f>
      </x:c>
      <x:c r="BY487" s="40" t="str">
        <x:f>IF(COUNT(BK487:BR487)&gt;=7,AVERAGE(BK487:BR487),"")</x:f>
      </x:c>
    </x:row>
    <x:row r="488">
      <x:c r="A488" t="str">
        <x:v>R487</x:v>
      </x:c>
      <x:c r="BS488" s="40" t="str">
        <x:f>IF(COUNT(N488:W488)&gt;=8,AVERAGE(N488:W488),"")</x:f>
      </x:c>
      <x:c r="BT488" s="40" t="str">
        <x:f>IF(COUNT(X488:AE488)&gt;=7,AVERAGE(X488:AE488),"")</x:f>
      </x:c>
      <x:c r="BU488" s="40" t="str">
        <x:f>IF(COUNT(AF488:AM488)&gt;=7,AVERAGE(AF488:AM488),"")</x:f>
      </x:c>
      <x:c r="BV488" s="40" t="str">
        <x:f>IF(COUNT(AN488:AV488)&gt;=8,AVERAGE(AN488:AV488),"")</x:f>
      </x:c>
      <x:c r="BW488" s="40" t="str">
        <x:f>IF(COUNT(AW488:BD488)&gt;=7,AVERAGE(AW488:BD488),"")</x:f>
      </x:c>
      <x:c r="BX488" s="40" t="str">
        <x:f>IF(COUNT(BE488:BJ488)&gt;=5,AVERAGE(BE488:BJ488),"")</x:f>
      </x:c>
      <x:c r="BY488" s="40" t="str">
        <x:f>IF(COUNT(BK488:BR488)&gt;=7,AVERAGE(BK488:BR488),"")</x:f>
      </x:c>
    </x:row>
    <x:row r="489">
      <x:c r="A489" t="str">
        <x:v>R488</x:v>
      </x:c>
      <x:c r="BS489" s="40" t="str">
        <x:f>IF(COUNT(N489:W489)&gt;=8,AVERAGE(N489:W489),"")</x:f>
      </x:c>
      <x:c r="BT489" s="40" t="str">
        <x:f>IF(COUNT(X489:AE489)&gt;=7,AVERAGE(X489:AE489),"")</x:f>
      </x:c>
      <x:c r="BU489" s="40" t="str">
        <x:f>IF(COUNT(AF489:AM489)&gt;=7,AVERAGE(AF489:AM489),"")</x:f>
      </x:c>
      <x:c r="BV489" s="40" t="str">
        <x:f>IF(COUNT(AN489:AV489)&gt;=8,AVERAGE(AN489:AV489),"")</x:f>
      </x:c>
      <x:c r="BW489" s="40" t="str">
        <x:f>IF(COUNT(AW489:BD489)&gt;=7,AVERAGE(AW489:BD489),"")</x:f>
      </x:c>
      <x:c r="BX489" s="40" t="str">
        <x:f>IF(COUNT(BE489:BJ489)&gt;=5,AVERAGE(BE489:BJ489),"")</x:f>
      </x:c>
      <x:c r="BY489" s="40" t="str">
        <x:f>IF(COUNT(BK489:BR489)&gt;=7,AVERAGE(BK489:BR489),"")</x:f>
      </x:c>
    </x:row>
    <x:row r="490">
      <x:c r="A490" t="str">
        <x:v>R489</x:v>
      </x:c>
      <x:c r="BS490" s="40" t="str">
        <x:f>IF(COUNT(N490:W490)&gt;=8,AVERAGE(N490:W490),"")</x:f>
      </x:c>
      <x:c r="BT490" s="40" t="str">
        <x:f>IF(COUNT(X490:AE490)&gt;=7,AVERAGE(X490:AE490),"")</x:f>
      </x:c>
      <x:c r="BU490" s="40" t="str">
        <x:f>IF(COUNT(AF490:AM490)&gt;=7,AVERAGE(AF490:AM490),"")</x:f>
      </x:c>
      <x:c r="BV490" s="40" t="str">
        <x:f>IF(COUNT(AN490:AV490)&gt;=8,AVERAGE(AN490:AV490),"")</x:f>
      </x:c>
      <x:c r="BW490" s="40" t="str">
        <x:f>IF(COUNT(AW490:BD490)&gt;=7,AVERAGE(AW490:BD490),"")</x:f>
      </x:c>
      <x:c r="BX490" s="40" t="str">
        <x:f>IF(COUNT(BE490:BJ490)&gt;=5,AVERAGE(BE490:BJ490),"")</x:f>
      </x:c>
      <x:c r="BY490" s="40" t="str">
        <x:f>IF(COUNT(BK490:BR490)&gt;=7,AVERAGE(BK490:BR490),"")</x:f>
      </x:c>
    </x:row>
    <x:row r="491">
      <x:c r="A491" t="str">
        <x:v>R490</x:v>
      </x:c>
      <x:c r="BS491" s="40" t="str">
        <x:f>IF(COUNT(N491:W491)&gt;=8,AVERAGE(N491:W491),"")</x:f>
      </x:c>
      <x:c r="BT491" s="40" t="str">
        <x:f>IF(COUNT(X491:AE491)&gt;=7,AVERAGE(X491:AE491),"")</x:f>
      </x:c>
      <x:c r="BU491" s="40" t="str">
        <x:f>IF(COUNT(AF491:AM491)&gt;=7,AVERAGE(AF491:AM491),"")</x:f>
      </x:c>
      <x:c r="BV491" s="40" t="str">
        <x:f>IF(COUNT(AN491:AV491)&gt;=8,AVERAGE(AN491:AV491),"")</x:f>
      </x:c>
      <x:c r="BW491" s="40" t="str">
        <x:f>IF(COUNT(AW491:BD491)&gt;=7,AVERAGE(AW491:BD491),"")</x:f>
      </x:c>
      <x:c r="BX491" s="40" t="str">
        <x:f>IF(COUNT(BE491:BJ491)&gt;=5,AVERAGE(BE491:BJ491),"")</x:f>
      </x:c>
      <x:c r="BY491" s="40" t="str">
        <x:f>IF(COUNT(BK491:BR491)&gt;=7,AVERAGE(BK491:BR491),"")</x:f>
      </x:c>
    </x:row>
    <x:row r="492">
      <x:c r="A492" t="str">
        <x:v>R491</x:v>
      </x:c>
      <x:c r="BS492" s="40" t="str">
        <x:f>IF(COUNT(N492:W492)&gt;=8,AVERAGE(N492:W492),"")</x:f>
      </x:c>
      <x:c r="BT492" s="40" t="str">
        <x:f>IF(COUNT(X492:AE492)&gt;=7,AVERAGE(X492:AE492),"")</x:f>
      </x:c>
      <x:c r="BU492" s="40" t="str">
        <x:f>IF(COUNT(AF492:AM492)&gt;=7,AVERAGE(AF492:AM492),"")</x:f>
      </x:c>
      <x:c r="BV492" s="40" t="str">
        <x:f>IF(COUNT(AN492:AV492)&gt;=8,AVERAGE(AN492:AV492),"")</x:f>
      </x:c>
      <x:c r="BW492" s="40" t="str">
        <x:f>IF(COUNT(AW492:BD492)&gt;=7,AVERAGE(AW492:BD492),"")</x:f>
      </x:c>
      <x:c r="BX492" s="40" t="str">
        <x:f>IF(COUNT(BE492:BJ492)&gt;=5,AVERAGE(BE492:BJ492),"")</x:f>
      </x:c>
      <x:c r="BY492" s="40" t="str">
        <x:f>IF(COUNT(BK492:BR492)&gt;=7,AVERAGE(BK492:BR492),"")</x:f>
      </x:c>
    </x:row>
    <x:row r="493">
      <x:c r="A493" t="str">
        <x:v>R492</x:v>
      </x:c>
      <x:c r="BS493" s="40" t="str">
        <x:f>IF(COUNT(N493:W493)&gt;=8,AVERAGE(N493:W493),"")</x:f>
      </x:c>
      <x:c r="BT493" s="40" t="str">
        <x:f>IF(COUNT(X493:AE493)&gt;=7,AVERAGE(X493:AE493),"")</x:f>
      </x:c>
      <x:c r="BU493" s="40" t="str">
        <x:f>IF(COUNT(AF493:AM493)&gt;=7,AVERAGE(AF493:AM493),"")</x:f>
      </x:c>
      <x:c r="BV493" s="40" t="str">
        <x:f>IF(COUNT(AN493:AV493)&gt;=8,AVERAGE(AN493:AV493),"")</x:f>
      </x:c>
      <x:c r="BW493" s="40" t="str">
        <x:f>IF(COUNT(AW493:BD493)&gt;=7,AVERAGE(AW493:BD493),"")</x:f>
      </x:c>
      <x:c r="BX493" s="40" t="str">
        <x:f>IF(COUNT(BE493:BJ493)&gt;=5,AVERAGE(BE493:BJ493),"")</x:f>
      </x:c>
      <x:c r="BY493" s="40" t="str">
        <x:f>IF(COUNT(BK493:BR493)&gt;=7,AVERAGE(BK493:BR493),"")</x:f>
      </x:c>
    </x:row>
    <x:row r="494">
      <x:c r="A494" t="str">
        <x:v>R493</x:v>
      </x:c>
      <x:c r="BS494" s="40" t="str">
        <x:f>IF(COUNT(N494:W494)&gt;=8,AVERAGE(N494:W494),"")</x:f>
      </x:c>
      <x:c r="BT494" s="40" t="str">
        <x:f>IF(COUNT(X494:AE494)&gt;=7,AVERAGE(X494:AE494),"")</x:f>
      </x:c>
      <x:c r="BU494" s="40" t="str">
        <x:f>IF(COUNT(AF494:AM494)&gt;=7,AVERAGE(AF494:AM494),"")</x:f>
      </x:c>
      <x:c r="BV494" s="40" t="str">
        <x:f>IF(COUNT(AN494:AV494)&gt;=8,AVERAGE(AN494:AV494),"")</x:f>
      </x:c>
      <x:c r="BW494" s="40" t="str">
        <x:f>IF(COUNT(AW494:BD494)&gt;=7,AVERAGE(AW494:BD494),"")</x:f>
      </x:c>
      <x:c r="BX494" s="40" t="str">
        <x:f>IF(COUNT(BE494:BJ494)&gt;=5,AVERAGE(BE494:BJ494),"")</x:f>
      </x:c>
      <x:c r="BY494" s="40" t="str">
        <x:f>IF(COUNT(BK494:BR494)&gt;=7,AVERAGE(BK494:BR494),"")</x:f>
      </x:c>
    </x:row>
    <x:row r="495">
      <x:c r="A495" t="str">
        <x:v>R494</x:v>
      </x:c>
      <x:c r="BS495" s="40" t="str">
        <x:f>IF(COUNT(N495:W495)&gt;=8,AVERAGE(N495:W495),"")</x:f>
      </x:c>
      <x:c r="BT495" s="40" t="str">
        <x:f>IF(COUNT(X495:AE495)&gt;=7,AVERAGE(X495:AE495),"")</x:f>
      </x:c>
      <x:c r="BU495" s="40" t="str">
        <x:f>IF(COUNT(AF495:AM495)&gt;=7,AVERAGE(AF495:AM495),"")</x:f>
      </x:c>
      <x:c r="BV495" s="40" t="str">
        <x:f>IF(COUNT(AN495:AV495)&gt;=8,AVERAGE(AN495:AV495),"")</x:f>
      </x:c>
      <x:c r="BW495" s="40" t="str">
        <x:f>IF(COUNT(AW495:BD495)&gt;=7,AVERAGE(AW495:BD495),"")</x:f>
      </x:c>
      <x:c r="BX495" s="40" t="str">
        <x:f>IF(COUNT(BE495:BJ495)&gt;=5,AVERAGE(BE495:BJ495),"")</x:f>
      </x:c>
      <x:c r="BY495" s="40" t="str">
        <x:f>IF(COUNT(BK495:BR495)&gt;=7,AVERAGE(BK495:BR495),"")</x:f>
      </x:c>
    </x:row>
    <x:row r="496">
      <x:c r="A496" t="str">
        <x:v>R495</x:v>
      </x:c>
      <x:c r="BS496" s="40" t="str">
        <x:f>IF(COUNT(N496:W496)&gt;=8,AVERAGE(N496:W496),"")</x:f>
      </x:c>
      <x:c r="BT496" s="40" t="str">
        <x:f>IF(COUNT(X496:AE496)&gt;=7,AVERAGE(X496:AE496),"")</x:f>
      </x:c>
      <x:c r="BU496" s="40" t="str">
        <x:f>IF(COUNT(AF496:AM496)&gt;=7,AVERAGE(AF496:AM496),"")</x:f>
      </x:c>
      <x:c r="BV496" s="40" t="str">
        <x:f>IF(COUNT(AN496:AV496)&gt;=8,AVERAGE(AN496:AV496),"")</x:f>
      </x:c>
      <x:c r="BW496" s="40" t="str">
        <x:f>IF(COUNT(AW496:BD496)&gt;=7,AVERAGE(AW496:BD496),"")</x:f>
      </x:c>
      <x:c r="BX496" s="40" t="str">
        <x:f>IF(COUNT(BE496:BJ496)&gt;=5,AVERAGE(BE496:BJ496),"")</x:f>
      </x:c>
      <x:c r="BY496" s="40" t="str">
        <x:f>IF(COUNT(BK496:BR496)&gt;=7,AVERAGE(BK496:BR496),"")</x:f>
      </x:c>
    </x:row>
    <x:row r="497">
      <x:c r="A497" t="str">
        <x:v>R496</x:v>
      </x:c>
      <x:c r="BS497" s="40" t="str">
        <x:f>IF(COUNT(N497:W497)&gt;=8,AVERAGE(N497:W497),"")</x:f>
      </x:c>
      <x:c r="BT497" s="40" t="str">
        <x:f>IF(COUNT(X497:AE497)&gt;=7,AVERAGE(X497:AE497),"")</x:f>
      </x:c>
      <x:c r="BU497" s="40" t="str">
        <x:f>IF(COUNT(AF497:AM497)&gt;=7,AVERAGE(AF497:AM497),"")</x:f>
      </x:c>
      <x:c r="BV497" s="40" t="str">
        <x:f>IF(COUNT(AN497:AV497)&gt;=8,AVERAGE(AN497:AV497),"")</x:f>
      </x:c>
      <x:c r="BW497" s="40" t="str">
        <x:f>IF(COUNT(AW497:BD497)&gt;=7,AVERAGE(AW497:BD497),"")</x:f>
      </x:c>
      <x:c r="BX497" s="40" t="str">
        <x:f>IF(COUNT(BE497:BJ497)&gt;=5,AVERAGE(BE497:BJ497),"")</x:f>
      </x:c>
      <x:c r="BY497" s="40" t="str">
        <x:f>IF(COUNT(BK497:BR497)&gt;=7,AVERAGE(BK497:BR497),"")</x:f>
      </x:c>
    </x:row>
    <x:row r="498">
      <x:c r="A498" t="str">
        <x:v>R497</x:v>
      </x:c>
      <x:c r="BS498" s="40" t="str">
        <x:f>IF(COUNT(N498:W498)&gt;=8,AVERAGE(N498:W498),"")</x:f>
      </x:c>
      <x:c r="BT498" s="40" t="str">
        <x:f>IF(COUNT(X498:AE498)&gt;=7,AVERAGE(X498:AE498),"")</x:f>
      </x:c>
      <x:c r="BU498" s="40" t="str">
        <x:f>IF(COUNT(AF498:AM498)&gt;=7,AVERAGE(AF498:AM498),"")</x:f>
      </x:c>
      <x:c r="BV498" s="40" t="str">
        <x:f>IF(COUNT(AN498:AV498)&gt;=8,AVERAGE(AN498:AV498),"")</x:f>
      </x:c>
      <x:c r="BW498" s="40" t="str">
        <x:f>IF(COUNT(AW498:BD498)&gt;=7,AVERAGE(AW498:BD498),"")</x:f>
      </x:c>
      <x:c r="BX498" s="40" t="str">
        <x:f>IF(COUNT(BE498:BJ498)&gt;=5,AVERAGE(BE498:BJ498),"")</x:f>
      </x:c>
      <x:c r="BY498" s="40" t="str">
        <x:f>IF(COUNT(BK498:BR498)&gt;=7,AVERAGE(BK498:BR498),"")</x:f>
      </x:c>
    </x:row>
    <x:row r="499">
      <x:c r="A499" t="str">
        <x:v>R498</x:v>
      </x:c>
      <x:c r="BS499" s="40" t="str">
        <x:f>IF(COUNT(N499:W499)&gt;=8,AVERAGE(N499:W499),"")</x:f>
      </x:c>
      <x:c r="BT499" s="40" t="str">
        <x:f>IF(COUNT(X499:AE499)&gt;=7,AVERAGE(X499:AE499),"")</x:f>
      </x:c>
      <x:c r="BU499" s="40" t="str">
        <x:f>IF(COUNT(AF499:AM499)&gt;=7,AVERAGE(AF499:AM499),"")</x:f>
      </x:c>
      <x:c r="BV499" s="40" t="str">
        <x:f>IF(COUNT(AN499:AV499)&gt;=8,AVERAGE(AN499:AV499),"")</x:f>
      </x:c>
      <x:c r="BW499" s="40" t="str">
        <x:f>IF(COUNT(AW499:BD499)&gt;=7,AVERAGE(AW499:BD499),"")</x:f>
      </x:c>
      <x:c r="BX499" s="40" t="str">
        <x:f>IF(COUNT(BE499:BJ499)&gt;=5,AVERAGE(BE499:BJ499),"")</x:f>
      </x:c>
      <x:c r="BY499" s="40" t="str">
        <x:f>IF(COUNT(BK499:BR499)&gt;=7,AVERAGE(BK499:BR499),"")</x:f>
      </x:c>
    </x:row>
    <x:row r="500">
      <x:c r="A500" t="str">
        <x:v>R499</x:v>
      </x:c>
      <x:c r="BS500" s="40" t="str">
        <x:f>IF(COUNT(N500:W500)&gt;=8,AVERAGE(N500:W500),"")</x:f>
      </x:c>
      <x:c r="BT500" s="40" t="str">
        <x:f>IF(COUNT(X500:AE500)&gt;=7,AVERAGE(X500:AE500),"")</x:f>
      </x:c>
      <x:c r="BU500" s="40" t="str">
        <x:f>IF(COUNT(AF500:AM500)&gt;=7,AVERAGE(AF500:AM500),"")</x:f>
      </x:c>
      <x:c r="BV500" s="40" t="str">
        <x:f>IF(COUNT(AN500:AV500)&gt;=8,AVERAGE(AN500:AV500),"")</x:f>
      </x:c>
      <x:c r="BW500" s="40" t="str">
        <x:f>IF(COUNT(AW500:BD500)&gt;=7,AVERAGE(AW500:BD500),"")</x:f>
      </x:c>
      <x:c r="BX500" s="40" t="str">
        <x:f>IF(COUNT(BE500:BJ500)&gt;=5,AVERAGE(BE500:BJ500),"")</x:f>
      </x:c>
      <x:c r="BY500" s="40" t="str">
        <x:f>IF(COUNT(BK500:BR500)&gt;=7,AVERAGE(BK500:BR500),"")</x:f>
      </x:c>
    </x:row>
    <x:row r="501">
      <x:c r="A501" t="str">
        <x:v>R500</x:v>
      </x:c>
      <x:c r="BS501" s="40" t="str">
        <x:f>IF(COUNT(N501:W501)&gt;=8,AVERAGE(N501:W501),"")</x:f>
      </x:c>
      <x:c r="BT501" s="40" t="str">
        <x:f>IF(COUNT(X501:AE501)&gt;=7,AVERAGE(X501:AE501),"")</x:f>
      </x:c>
      <x:c r="BU501" s="40" t="str">
        <x:f>IF(COUNT(AF501:AM501)&gt;=7,AVERAGE(AF501:AM501),"")</x:f>
      </x:c>
      <x:c r="BV501" s="40" t="str">
        <x:f>IF(COUNT(AN501:AV501)&gt;=8,AVERAGE(AN501:AV501),"")</x:f>
      </x:c>
      <x:c r="BW501" s="40" t="str">
        <x:f>IF(COUNT(AW501:BD501)&gt;=7,AVERAGE(AW501:BD501),"")</x:f>
      </x:c>
      <x:c r="BX501" s="40" t="str">
        <x:f>IF(COUNT(BE501:BJ501)&gt;=5,AVERAGE(BE501:BJ501),"")</x:f>
      </x:c>
      <x:c r="BY501" s="40" t="str">
        <x:f>IF(COUNT(BK501:BR501)&gt;=7,AVERAGE(BK501:BR501),"")</x:f>
      </x:c>
    </x:row>
  </x:sheetData>
  <x:conditionalFormatting sqref="B2:B501">
    <x:cfRule type="expression" dxfId="0" priority="1">
      <x:formula>B2="No"</x:formula>
    </x:cfRule>
    <x:cfRule type="expression" dxfId="1" priority="2">
      <x:formula>B2="Yes"</x:formula>
    </x:cfRule>
  </x:conditionalFormatting>
  <x:dataValidations count="69">
    <x:dataValidation type="list" sqref="B2:B501">
      <x:formula1>"Yes,No"</x:formula1>
    </x:dataValidation>
    <x:dataValidation type="list" sqref="C2:C501">
      <x:formula1>"Yes,No"</x:formula1>
    </x:dataValidation>
    <x:dataValidation type="list" sqref="D2:D501">
      <x:formula1>"Male,Female,Prefer not to say,Other"</x:formula1>
    </x:dataValidation>
    <x:dataValidation type="list" sqref="E2:E501">
      <x:formula1>"18-24,25-34,35-44,45-54,55 or above"</x:formula1>
    </x:dataValidation>
    <x:dataValidation type="list" sqref="F2:F501">
      <x:formula1>"Diploma/OND/NCE,Bachelor/HND,Postgraduate Diploma,Master's,Doctorate,Other"</x:formula1>
    </x:dataValidation>
    <x:dataValidation type="list" sqref="G2:G501">
      <x:formula1>"Commercial bank,Digital bank/neobank,Merchant bank,Microfinance bank,Fintech/payment provider,Insurance/investment/other licensed financial institution"</x:formula1>
    </x:dataValidation>
    <x:dataValidation type="list" sqref="H2:H501">
      <x:formula1>"Digital Banking/Product,Data/Analytics/AI,IT/Technology,Customer Experience/Service,Relationship/Marketing,Risk/Compliance,Management/Strategy,Other"</x:formula1>
    </x:dataValidation>
    <x:dataValidation type="list" sqref="I2:I501">
      <x:formula1>"Less than 2,2-5,6-10,11-15,16 or more"</x:formula1>
    </x:dataValidation>
    <x:dataValidation type="list" sqref="J2:J501">
      <x:formula1>"Yes,No"</x:formula1>
    </x:dataValidation>
    <x:dataValidation type="list" sqref="K2:K501">
      <x:formula1>"0,1,2,3,4"</x:formula1>
    </x:dataValidation>
    <x:dataValidation type="list" sqref="L2:L501">
      <x:formula1>"Yes,No,Do not know"</x:formula1>
    </x:dataValidation>
    <x:dataValidation type="list" sqref="M2:M501">
      <x:formula1>"Yes,No"</x:formula1>
    </x:dataValidation>
    <x:dataValidation type="list" sqref="N2:N501">
      <x:formula1>"1,2,3,4,5"</x:formula1>
    </x:dataValidation>
    <x:dataValidation type="list" sqref="O2:O501">
      <x:formula1>"1,2,3,4,5"</x:formula1>
    </x:dataValidation>
    <x:dataValidation type="list" sqref="P2:P501">
      <x:formula1>"1,2,3,4,5"</x:formula1>
    </x:dataValidation>
    <x:dataValidation type="list" sqref="Q2:Q501">
      <x:formula1>"1,2,3,4,5"</x:formula1>
    </x:dataValidation>
    <x:dataValidation type="list" sqref="R2:R501">
      <x:formula1>"1,2,3,4,5"</x:formula1>
    </x:dataValidation>
    <x:dataValidation type="list" sqref="S2:S501">
      <x:formula1>"1,2,3,4,5"</x:formula1>
    </x:dataValidation>
    <x:dataValidation type="list" sqref="T2:T501">
      <x:formula1>"1,2,3,4,5"</x:formula1>
    </x:dataValidation>
    <x:dataValidation type="list" sqref="U2:U501">
      <x:formula1>"1,2,3,4,5"</x:formula1>
    </x:dataValidation>
    <x:dataValidation type="list" sqref="V2:V501">
      <x:formula1>"1,2,3,4,5"</x:formula1>
    </x:dataValidation>
    <x:dataValidation type="list" sqref="W2:W501">
      <x:formula1>"1,2,3,4,5"</x:formula1>
    </x:dataValidation>
    <x:dataValidation type="list" sqref="X2:X501">
      <x:formula1>"1,2,3,4,5"</x:formula1>
    </x:dataValidation>
    <x:dataValidation type="list" sqref="Y2:Y501">
      <x:formula1>"1,2,3,4,5"</x:formula1>
    </x:dataValidation>
    <x:dataValidation type="list" sqref="Z2:Z501">
      <x:formula1>"1,2,3,4,5"</x:formula1>
    </x:dataValidation>
    <x:dataValidation type="list" sqref="AA2:AA501">
      <x:formula1>"1,2,3,4,5"</x:formula1>
    </x:dataValidation>
    <x:dataValidation type="list" sqref="AB2:AB501">
      <x:formula1>"1,2,3,4,5"</x:formula1>
    </x:dataValidation>
    <x:dataValidation type="list" sqref="AC2:AC501">
      <x:formula1>"1,2,3,4,5"</x:formula1>
    </x:dataValidation>
    <x:dataValidation type="list" sqref="AD2:AD501">
      <x:formula1>"1,2,3,4,5"</x:formula1>
    </x:dataValidation>
    <x:dataValidation type="list" sqref="AE2:AE501">
      <x:formula1>"1,2,3,4,5"</x:formula1>
    </x:dataValidation>
    <x:dataValidation type="list" sqref="AF2:AF501">
      <x:formula1>"1,2,3,4,5"</x:formula1>
    </x:dataValidation>
    <x:dataValidation type="list" sqref="AG2:AG501">
      <x:formula1>"1,2,3,4,5"</x:formula1>
    </x:dataValidation>
    <x:dataValidation type="list" sqref="AH2:AH501">
      <x:formula1>"1,2,3,4,5"</x:formula1>
    </x:dataValidation>
    <x:dataValidation type="list" sqref="AI2:AI501">
      <x:formula1>"1,2,3,4,5"</x:formula1>
    </x:dataValidation>
    <x:dataValidation type="list" sqref="AJ2:AJ501">
      <x:formula1>"1,2,3,4,5"</x:formula1>
    </x:dataValidation>
    <x:dataValidation type="list" sqref="AK2:AK501">
      <x:formula1>"1,2,3,4,5"</x:formula1>
    </x:dataValidation>
    <x:dataValidation type="list" sqref="AL2:AL501">
      <x:formula1>"1,2,3,4,5"</x:formula1>
    </x:dataValidation>
    <x:dataValidation type="list" sqref="AM2:AM501">
      <x:formula1>"1,2,3,4,5"</x:formula1>
    </x:dataValidation>
    <x:dataValidation type="list" sqref="AN2:AN501">
      <x:formula1>"1,2,3,4,5"</x:formula1>
    </x:dataValidation>
    <x:dataValidation type="list" sqref="AO2:AO501">
      <x:formula1>"1,2,3,4,5"</x:formula1>
    </x:dataValidation>
    <x:dataValidation type="list" sqref="AP2:AP501">
      <x:formula1>"1,2,3,4,5"</x:formula1>
    </x:dataValidation>
    <x:dataValidation type="list" sqref="AQ2:AQ501">
      <x:formula1>"1,2,3,4,5"</x:formula1>
    </x:dataValidation>
    <x:dataValidation type="list" sqref="AR2:AR501">
      <x:formula1>"1,2,3,4,5"</x:formula1>
    </x:dataValidation>
    <x:dataValidation type="list" sqref="AS2:AS501">
      <x:formula1>"1,2,3,4,5"</x:formula1>
    </x:dataValidation>
    <x:dataValidation type="list" sqref="AT2:AT501">
      <x:formula1>"1,2,3,4,5"</x:formula1>
    </x:dataValidation>
    <x:dataValidation type="list" sqref="AU2:AU501">
      <x:formula1>"1,2,3,4,5"</x:formula1>
    </x:dataValidation>
    <x:dataValidation type="list" sqref="AV2:AV501">
      <x:formula1>"1,2,3,4,5"</x:formula1>
    </x:dataValidation>
    <x:dataValidation type="list" sqref="AW2:AW501">
      <x:formula1>"1,2,3,4,5"</x:formula1>
    </x:dataValidation>
    <x:dataValidation type="list" sqref="AX2:AX501">
      <x:formula1>"1,2,3,4,5"</x:formula1>
    </x:dataValidation>
    <x:dataValidation type="list" sqref="AY2:AY501">
      <x:formula1>"1,2,3,4,5"</x:formula1>
    </x:dataValidation>
    <x:dataValidation type="list" sqref="AZ2:AZ501">
      <x:formula1>"1,2,3,4,5"</x:formula1>
    </x:dataValidation>
    <x:dataValidation type="list" sqref="BA2:BA501">
      <x:formula1>"1,2,3,4,5"</x:formula1>
    </x:dataValidation>
    <x:dataValidation type="list" sqref="BB2:BB501">
      <x:formula1>"1,2,3,4,5"</x:formula1>
    </x:dataValidation>
    <x:dataValidation type="list" sqref="BC2:BC501">
      <x:formula1>"1,2,3,4,5"</x:formula1>
    </x:dataValidation>
    <x:dataValidation type="list" sqref="BD2:BD501">
      <x:formula1>"1,2,3,4,5"</x:formula1>
    </x:dataValidation>
    <x:dataValidation type="list" sqref="BE2:BE501">
      <x:formula1>"1,2,3,4,5"</x:formula1>
    </x:dataValidation>
    <x:dataValidation type="list" sqref="BF2:BF501">
      <x:formula1>"1,2,3,4,5"</x:formula1>
    </x:dataValidation>
    <x:dataValidation type="list" sqref="BG2:BG501">
      <x:formula1>"1,2,3,4,5"</x:formula1>
    </x:dataValidation>
    <x:dataValidation type="list" sqref="BH2:BH501">
      <x:formula1>"1,2,3,4,5"</x:formula1>
    </x:dataValidation>
    <x:dataValidation type="list" sqref="BI2:BI501">
      <x:formula1>"1,2,3,4,5"</x:formula1>
    </x:dataValidation>
    <x:dataValidation type="list" sqref="BJ2:BJ501">
      <x:formula1>"1,2,3,4,5"</x:formula1>
    </x:dataValidation>
    <x:dataValidation type="list" sqref="BK2:BK501">
      <x:formula1>"1,2,3,4,5"</x:formula1>
    </x:dataValidation>
    <x:dataValidation type="list" sqref="BL2:BL501">
      <x:formula1>"1,2,3,4,5"</x:formula1>
    </x:dataValidation>
    <x:dataValidation type="list" sqref="BM2:BM501">
      <x:formula1>"1,2,3,4,5"</x:formula1>
    </x:dataValidation>
    <x:dataValidation type="list" sqref="BN2:BN501">
      <x:formula1>"1,2,3,4,5"</x:formula1>
    </x:dataValidation>
    <x:dataValidation type="list" sqref="BO2:BO501">
      <x:formula1>"1,2,3,4,5"</x:formula1>
    </x:dataValidation>
    <x:dataValidation type="list" sqref="BP2:BP501">
      <x:formula1>"1,2,3,4,5"</x:formula1>
    </x:dataValidation>
    <x:dataValidation type="list" sqref="BQ2:BQ501">
      <x:formula1>"1,2,3,4,5"</x:formula1>
    </x:dataValidation>
    <x:dataValidation type="list" sqref="BR2:BR501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43" t="str">
        <x:v>RESPONSE COLLECTION TRACKER</x:v>
      </x:c>
      <x:c r="B1" s="43"/>
      <x:c r="C1" s="43"/>
      <x:c r="D1" s="43"/>
      <x:c r="E1" s="43"/>
      <x:c r="F1" s="43"/>
    </x:row>
    <x:row r="3">
      <x:c r="A3" s="24" t="str">
        <x:v>Metric</x:v>
      </x:c>
      <x:c r="B3" s="24" t="str">
        <x:v>Value</x:v>
      </x:c>
      <x:c r="D3" s="24" t="str">
        <x:v>AI Maturity Group</x:v>
      </x:c>
      <x:c r="E3" s="24" t="str">
        <x:v>Code</x:v>
      </x:c>
      <x:c r="F3" s="24" t="str">
        <x:v>Valid N</x:v>
      </x:c>
    </x:row>
    <x:row r="4">
      <x:c r="A4" s="11" t="str">
        <x:v>Main sample target</x:v>
      </x:c>
      <x:c r="B4" t="n">
        <x:v>420</x:v>
      </x:c>
      <x:c r="D4" t="str">
        <x:v>None</x:v>
      </x:c>
      <x:c r="E4" t="n">
        <x:v>0</x:v>
      </x:c>
      <x:c r="F4" t="n">
        <x:f>COUNTIFS(Raw_Data!$B$2:$B$501,"Yes",Raw_Data!$K$2:$K$501,E4)</x:f>
        <x:v>0</x:v>
      </x:c>
    </x:row>
    <x:row r="5">
      <x:c r="A5" s="11" t="str">
        <x:v>Pilot target</x:v>
      </x:c>
      <x:c r="B5" t="n">
        <x:v>30</x:v>
      </x:c>
      <x:c r="D5" t="str">
        <x:v>Exploratory/pilot</x:v>
      </x:c>
      <x:c r="E5" t="n">
        <x:v>1</x:v>
      </x:c>
      <x:c r="F5" t="n">
        <x:f>COUNTIFS(Raw_Data!$B$2:$B$501,"Yes",Raw_Data!$K$2:$K$501,E5)</x:f>
        <x:v>0</x:v>
      </x:c>
    </x:row>
    <x:row r="6">
      <x:c r="A6" s="11" t="str">
        <x:v>Records entered</x:v>
      </x:c>
      <x:c r="B6" t="n">
        <x:f>COUNTIF(Raw_Data!C2:C501,"&lt;&gt;")</x:f>
        <x:v>0</x:v>
      </x:c>
      <x:c r="D6" t="str">
        <x:v>Limited deployment</x:v>
      </x:c>
      <x:c r="E6" t="n">
        <x:v>2</x:v>
      </x:c>
      <x:c r="F6" t="n">
        <x:f>COUNTIFS(Raw_Data!$B$2:$B$501,"Yes",Raw_Data!$K$2:$K$501,E6)</x:f>
        <x:v>0</x:v>
      </x:c>
    </x:row>
    <x:row r="7">
      <x:c r="A7" s="11" t="str">
        <x:v>Marked valid</x:v>
      </x:c>
      <x:c r="B7" t="n">
        <x:f>COUNTIF(Raw_Data!B2:B501,"Yes")</x:f>
        <x:v>0</x:v>
      </x:c>
      <x:c r="D7" t="str">
        <x:v>Established multi-use-case</x:v>
      </x:c>
      <x:c r="E7" t="n">
        <x:v>3</x:v>
      </x:c>
      <x:c r="F7" t="n">
        <x:f>COUNTIFS(Raw_Data!$B$2:$B$501,"Yes",Raw_Data!$K$2:$K$501,E7)</x:f>
        <x:v>0</x:v>
      </x:c>
    </x:row>
    <x:row r="8">
      <x:c r="A8" s="11" t="str">
        <x:v>Remaining to target</x:v>
      </x:c>
      <x:c r="B8" t="n">
        <x:f>MAX(B4-B7,0)</x:f>
        <x:v>420</x:v>
      </x:c>
      <x:c r="D8" t="str">
        <x:v>Advanced/enterprise-wide</x:v>
      </x:c>
      <x:c r="E8" t="n">
        <x:v>4</x:v>
      </x:c>
      <x:c r="F8" t="n">
        <x:f>COUNTIFS(Raw_Data!$B$2:$B$501,"Yes",Raw_Data!$K$2:$K$501,E8)</x:f>
        <x:v>0</x:v>
      </x:c>
    </x:row>
    <x:row r="9">
      <x:c r="A9" s="11" t="str">
        <x:v>Completion %</x:v>
      </x:c>
      <x:c r="B9" s="46" t="n">
        <x:f>IF(B4=0,0,B7/B4)</x:f>
        <x:v>0</x:v>
      </x:c>
    </x:row>
    <x:row r="10">
      <x:c r="A10" s="11" t="str">
        <x:v>Last updated</x:v>
      </x:c>
      <x:c r="B10" s="48" t="n">
        <x:v>46244.803201041665</x:v>
      </x:c>
    </x:row>
  </x:sheetData>
  <x:mergeCells>
    <x:mergeCell ref="A1:F1"/>
  </x:mergeCells>
  <x:conditionalFormatting sqref="B9:B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{75F151DE-FF80-6E5D-711F-C00025D0C95B}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5F151DE-FF80-6E5D-711F-C00025D0C95B}">
            <x14:dataBar gradient="1">
              <x14:cfvo type="min"/>
              <x14:cfvo type="max"/>
              <x14:fillColor rgb="FFA02B93"/>
            </x14:dataBar>
          </x14:cfRule>
          <xm:sqref>B9:B9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35" hidden="0" customWidth="1"/>
    <x:col min="5" max="5" width="22" hidden="0" customWidth="1"/>
    <x:col min="6" max="6" width="36" hidden="0" customWidth="1"/>
  </x:cols>
  <x:sheetData>
    <x:row r="1" ht="28" customHeight="1">
      <x:c r="A1" s="25" t="str">
        <x:v>Objective</x:v>
      </x:c>
      <x:c r="B1" s="25" t="str">
        <x:v>Research Question</x:v>
      </x:c>
      <x:c r="C1" s="25" t="str">
        <x:v>Variables</x:v>
      </x:c>
      <x:c r="D1" s="25" t="str">
        <x:v>Analysis</x:v>
      </x:c>
      <x:c r="E1" s="25" t="str">
        <x:v>Hypothesis</x:v>
      </x:c>
      <x:c r="F1" s="25" t="str">
        <x:v>Expected Output</x:v>
      </x:c>
    </x:row>
    <x:row r="2">
      <x:c r="A2" s="15" t="str">
        <x:v>1</x:v>
      </x:c>
      <x:c r="B2" s="15" t="str">
        <x:v>What factors influence customer churn?</x:v>
      </x:c>
      <x:c r="C2" s="15" t="str">
        <x:v>CHD1-CHD10; CHD_Mean</x:v>
      </x:c>
      <x:c r="D2" s="15" t="str">
        <x:v>Frequencies, %, mean, SD; rank items by mean</x:v>
      </x:c>
      <x:c r="E2" s="15" t="str">
        <x:v>No formal hypothesis</x:v>
      </x:c>
      <x:c r="F2" s="15" t="str">
        <x:v>Ranked churn determinants</x:v>
      </x:c>
    </x:row>
    <x:row r="3">
      <x:c r="A3" s="15" t="str">
        <x:v>2</x:v>
      </x:c>
      <x:c r="B3" s="15" t="str">
        <x:v>How can AI be applied to churn prediction?</x:v>
      </x:c>
      <x:c r="C3" s="15" t="str">
        <x:v>AIA1-AIA8; PAC1-PAC8</x:v>
      </x:c>
      <x:c r="D3" s="15" t="str">
        <x:v>Descriptives + Pearson AIA_Mean vs PAC_Mean</x:v>
      </x:c>
      <x:c r="E3" s="15" t="str">
        <x:v>H01</x:v>
      </x:c>
      <x:c r="F3" s="15" t="str">
        <x:v>Correlation table + interpretation</x:v>
      </x:c>
    </x:row>
    <x:row r="4">
      <x:c r="A4" s="15" t="str">
        <x:v>3</x:v>
      </x:c>
      <x:c r="B4" s="15" t="str">
        <x:v>Which AI techniques are most suitable?</x:v>
      </x:c>
      <x:c r="C4" s="15" t="str">
        <x:v>MLU1-MLU9</x:v>
      </x:c>
      <x:c r="D4" s="15" t="str">
        <x:v>Descriptives; rank by mean</x:v>
      </x:c>
      <x:c r="E4" s="15" t="str">
        <x:v>No formal hypothesis</x:v>
      </x:c>
      <x:c r="F4" s="15" t="str">
        <x:v>Technique suitability table</x:v>
      </x:c>
    </x:row>
    <x:row r="5">
      <x:c r="A5" s="15" t="str">
        <x:v>4</x:v>
      </x:c>
      <x:c r="B5" s="15" t="str">
        <x:v>How effective are AI-driven models in reducing attrition?</x:v>
      </x:c>
      <x:c r="C5" s="15" t="str">
        <x:v>PAC; CRE; A8</x:v>
      </x:c>
      <x:c r="D5" s="15" t="str">
        <x:v>Descriptives + one-way ANOVA</x:v>
      </x:c>
      <x:c r="E5" s="15" t="str">
        <x:v>H03</x:v>
      </x:c>
      <x:c r="F5" s="15" t="str">
        <x:v>Group means, Levene, ANOVA, effect size/post-hoc</x:v>
      </x:c>
    </x:row>
    <x:row r="6">
      <x:c r="A6" s="15" t="str">
        <x:v>5</x:v>
      </x:c>
      <x:c r="B6" s="15" t="str">
        <x:v>How do AI insights contribute to retention optimization?</x:v>
      </x:c>
      <x:c r="C6" s="15" t="str">
        <x:v>AIA; PAC; MLU; RSO</x:v>
      </x:c>
      <x:c r="D6" s="15" t="str">
        <x:v>Multiple regression</x:v>
      </x:c>
      <x:c r="E6" s="15" t="str">
        <x:v>H02</x:v>
      </x:c>
      <x:c r="F6" s="15" t="str">
        <x:v>Model summary, ANOVA, coefficient table</x:v>
      </x:c>
    </x:row>
    <x:row r="7">
      <x:c r="A7" s="15" t="str">
        <x:v>6</x:v>
      </x:c>
      <x:c r="B7" s="15" t="str">
        <x:v>What framework supports implementation?</x:v>
      </x:c>
      <x:c r="C7" s="15" t="str">
        <x:v>IMP1-IMP8 + interview themes</x:v>
      </x:c>
      <x:c r="D7" s="15" t="str">
        <x:v>Descriptive + thematic + mixed-method synthesis</x:v>
      </x:c>
      <x:c r="E7" s="15" t="str">
        <x:v>Framework objective</x:v>
      </x:c>
      <x:c r="F7" s="15" t="str">
        <x:v>Implementation framework / joint display</x:v>
      </x:c>
    </x:row>
  </x:sheetData>
  <x:pageMargins left="0.7" right="0.7" top="0.75" bottom="0.75" header="0.3" footer="0.3"/>
  <x:tableParts count="1">
    <x:tablePart xmlns:r="http://schemas.openxmlformats.org/officeDocument/2006/relationships" r:id="R9d6ddb610b4e49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4" hidden="0" customWidth="1"/>
    <x:col min="5" max="5" width="14" hidden="0" customWidth="1"/>
    <x:col min="6" max="6" width="28" hidden="0" customWidth="1"/>
  </x:cols>
  <x:sheetData>
    <x:row r="1" ht="28" customHeight="1">
      <x:c r="A1" s="25" t="str">
        <x:v>Construct</x:v>
      </x:c>
      <x:c r="B1" s="25" t="str">
        <x:v>Item Codes</x:v>
      </x:c>
      <x:c r="C1" s="25" t="str">
        <x:v>No. Items</x:v>
      </x:c>
      <x:c r="D1" s="25" t="str">
        <x:v>Observed Cronbach Alpha</x:v>
      </x:c>
      <x:c r="E1" s="25" t="str">
        <x:v>Threshold</x:v>
      </x:c>
      <x:c r="F1" s="25" t="str">
        <x:v>Decision</x:v>
      </x:c>
    </x:row>
    <x:row r="2">
      <x:c r="A2" s="15" t="str">
        <x:v>CHD</x:v>
      </x:c>
      <x:c r="B2" s="15" t="str">
        <x:v>CHD1-CHD10</x:v>
      </x:c>
      <x:c r="C2" s="15" t="n">
        <x:v>10</x:v>
      </x:c>
      <x:c r="D2" s="50" t="str"/>
      <x:c r="E2" s="52" t="n">
        <x:v>0.7</x:v>
      </x:c>
      <x:c r="F2" s="15" t="str">
        <x:f>IF(D2="","",IF(D2&gt;=E2,"Acceptable","Review items / wording"))</x:f>
      </x:c>
    </x:row>
    <x:row r="3">
      <x:c r="A3" s="15" t="str">
        <x:v>AIA</x:v>
      </x:c>
      <x:c r="B3" s="15" t="str">
        <x:v>AIA1-AIA8</x:v>
      </x:c>
      <x:c r="C3" s="15" t="n">
        <x:v>8</x:v>
      </x:c>
      <x:c r="D3" s="50" t="str"/>
      <x:c r="E3" s="52" t="n">
        <x:v>0.7</x:v>
      </x:c>
      <x:c r="F3" s="15" t="str">
        <x:f>IF(D3="","",IF(D3&gt;=E3,"Acceptable","Review items / wording"))</x:f>
      </x:c>
    </x:row>
    <x:row r="4">
      <x:c r="A4" s="15" t="str">
        <x:v>PAC</x:v>
      </x:c>
      <x:c r="B4" s="15" t="str">
        <x:v>PAC1-PAC8</x:v>
      </x:c>
      <x:c r="C4" s="15" t="n">
        <x:v>8</x:v>
      </x:c>
      <x:c r="D4" s="50" t="str"/>
      <x:c r="E4" s="52" t="n">
        <x:v>0.7</x:v>
      </x:c>
      <x:c r="F4" s="15" t="str">
        <x:f>IF(D4="","",IF(D4&gt;=E4,"Acceptable","Review items / wording"))</x:f>
      </x:c>
    </x:row>
    <x:row r="5">
      <x:c r="A5" s="15" t="str">
        <x:v>MLU</x:v>
      </x:c>
      <x:c r="B5" s="15" t="str">
        <x:v>MLU1-MLU9</x:v>
      </x:c>
      <x:c r="C5" s="15" t="n">
        <x:v>9</x:v>
      </x:c>
      <x:c r="D5" s="50" t="str"/>
      <x:c r="E5" s="52" t="n">
        <x:v>0.7</x:v>
      </x:c>
      <x:c r="F5" s="15" t="str">
        <x:f>IF(D5="","",IF(D5&gt;=E5,"Acceptable","Review items / wording"))</x:f>
      </x:c>
    </x:row>
    <x:row r="6">
      <x:c r="A6" s="15" t="str">
        <x:v>RSO</x:v>
      </x:c>
      <x:c r="B6" s="15" t="str">
        <x:v>RSO1-RSO8</x:v>
      </x:c>
      <x:c r="C6" s="15" t="n">
        <x:v>8</x:v>
      </x:c>
      <x:c r="D6" s="50" t="str"/>
      <x:c r="E6" s="52" t="n">
        <x:v>0.7</x:v>
      </x:c>
      <x:c r="F6" s="15" t="str">
        <x:f>IF(D6="","",IF(D6&gt;=E6,"Acceptable","Review items / wording"))</x:f>
      </x:c>
    </x:row>
    <x:row r="7">
      <x:c r="A7" s="15" t="str">
        <x:v>CRE</x:v>
      </x:c>
      <x:c r="B7" s="15" t="str">
        <x:v>CRE1-CRE6</x:v>
      </x:c>
      <x:c r="C7" s="15" t="n">
        <x:v>6</x:v>
      </x:c>
      <x:c r="D7" s="50" t="str"/>
      <x:c r="E7" s="52" t="n">
        <x:v>0.7</x:v>
      </x:c>
      <x:c r="F7" s="15" t="str">
        <x:f>IF(D7="","",IF(D7&gt;=E7,"Acceptable","Review items / wording"))</x:f>
      </x:c>
    </x:row>
    <x:row r="8">
      <x:c r="A8" s="15" t="str">
        <x:v>IMP</x:v>
      </x:c>
      <x:c r="B8" s="15" t="str">
        <x:v>IMP1-IMP8</x:v>
      </x:c>
      <x:c r="C8" s="15" t="n">
        <x:v>8</x:v>
      </x:c>
      <x:c r="D8" s="50" t="str"/>
      <x:c r="E8" s="52" t="n">
        <x:v>0.7</x:v>
      </x:c>
      <x:c r="F8" s="15" t="str">
        <x:f>IF(D8="","",IF(D8&gt;=E8,"Acceptable","Review items / wording"))</x:f>
      </x:c>
    </x:row>
    <x:row r="10">
      <x:c r="A10" s="19" t="str">
        <x:v>Pilot rule</x:v>
      </x:c>
    </x:row>
    <x:row r="11">
      <x:c r="A11" s="15" t="str">
        <x:v>Use approximately 30 eligible professionals outside the main study area. Do not combine pilot responses with the main sample.</x:v>
      </x:c>
    </x:row>
    <x:row r="12">
      <x:c r="A12" s="15" t="str">
        <x:v>Review alpha together with item-total statistics and conceptual coverage; do not delete an item only to raise alpha.</x:v>
      </x:c>
    </x:row>
    <x:row r="13">
      <x:c r="A13" s="15" t="str">
        <x:v>Freeze wording after supervisor approval before main data collection.</x:v>
      </x:c>
    </x:row>
  </x:sheetData>
  <x:mergeCells>
    <x:mergeCell ref="A10:F10"/>
    <x:mergeCell ref="A11:F11"/>
    <x:mergeCell ref="A12:F12"/>
    <x:mergeCell ref="A13:F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5" hidden="0" customWidth="1"/>
    <x:col min="4" max="4" width="15" hidden="0" customWidth="1"/>
    <x:col min="5" max="5" width="22" hidden="0" customWidth="1"/>
    <x:col min="6" max="6" width="22" hidden="0" customWidth="1"/>
    <x:col min="7" max="7" width="22" hidden="0" customWidth="1"/>
    <x:col min="8" max="8" width="55" hidden="0" customWidth="1"/>
    <x:col min="9" max="9" width="25" hidden="0" customWidth="1"/>
    <x:col min="10" max="10" width="18" hidden="0" customWidth="1"/>
    <x:col min="11" max="11" width="45" hidden="0" customWidth="1"/>
  </x:cols>
  <x:sheetData>
    <x:row r="1" ht="28" customHeight="1">
      <x:c r="A1" s="25" t="str">
        <x:v>Participant_ID</x:v>
      </x:c>
      <x:c r="B1" s="25" t="str">
        <x:v>Role</x:v>
      </x:c>
      <x:c r="C1" s="25" t="str">
        <x:v>Interview_Date</x:v>
      </x:c>
      <x:c r="D1" s="25" t="str">
        <x:v>Question_Code</x:v>
      </x:c>
      <x:c r="E1" s="25" t="str">
        <x:v>Initial_Code</x:v>
      </x:c>
      <x:c r="F1" s="25" t="str">
        <x:v>Candidate_Theme</x:v>
      </x:c>
      <x:c r="G1" s="25" t="str">
        <x:v>Final_Theme</x:v>
      </x:c>
      <x:c r="H1" s="25" t="str">
        <x:v>Supporting_Quote</x:v>
      </x:c>
      <x:c r="I1" s="25" t="str">
        <x:v>Quant_Finding_Link</x:v>
      </x:c>
      <x:c r="J1" s="25" t="str">
        <x:v>Integration_Type</x:v>
      </x:c>
      <x:c r="K1" s="25" t="str">
        <x:v>Analyst_Note</x:v>
      </x:c>
    </x:row>
    <x:row r="2">
      <x:c r="A2" s="15"/>
      <x:c r="B2" s="15"/>
      <x:c r="C2" s="54"/>
      <x:c r="D2" s="15"/>
      <x:c r="E2" s="15"/>
      <x:c r="F2" s="15"/>
      <x:c r="G2" s="15"/>
      <x:c r="H2" s="15"/>
      <x:c r="I2" s="15"/>
      <x:c r="J2" s="15"/>
      <x:c r="K2" s="15"/>
    </x:row>
    <x:row r="3">
      <x:c r="A3" s="15"/>
      <x:c r="B3" s="15"/>
      <x:c r="C3" s="54"/>
      <x:c r="D3" s="15"/>
      <x:c r="E3" s="15"/>
      <x:c r="F3" s="15"/>
      <x:c r="G3" s="15"/>
      <x:c r="H3" s="15"/>
      <x:c r="I3" s="15"/>
      <x:c r="J3" s="15"/>
      <x:c r="K3" s="15"/>
    </x:row>
    <x:row r="4">
      <x:c r="A4" s="15"/>
      <x:c r="B4" s="15"/>
      <x:c r="C4" s="54"/>
      <x:c r="D4" s="15"/>
      <x:c r="E4" s="15"/>
      <x:c r="F4" s="15"/>
      <x:c r="G4" s="15"/>
      <x:c r="H4" s="15"/>
      <x:c r="I4" s="15"/>
      <x:c r="J4" s="15"/>
      <x:c r="K4" s="15"/>
    </x:row>
    <x:row r="5">
      <x:c r="A5" s="15"/>
      <x:c r="B5" s="15"/>
      <x:c r="C5" s="54"/>
      <x:c r="D5" s="15"/>
      <x:c r="E5" s="15"/>
      <x:c r="F5" s="15"/>
      <x:c r="G5" s="15"/>
      <x:c r="H5" s="15"/>
      <x:c r="I5" s="15"/>
      <x:c r="J5" s="15"/>
      <x:c r="K5" s="15"/>
    </x:row>
    <x:row r="6">
      <x:c r="A6" s="15"/>
      <x:c r="B6" s="15"/>
      <x:c r="C6" s="54"/>
      <x:c r="D6" s="15"/>
      <x:c r="E6" s="15"/>
      <x:c r="F6" s="15"/>
      <x:c r="G6" s="15"/>
      <x:c r="H6" s="15"/>
      <x:c r="I6" s="15"/>
      <x:c r="J6" s="15"/>
      <x:c r="K6" s="15"/>
    </x:row>
    <x:row r="7">
      <x:c r="A7" s="15"/>
      <x:c r="B7" s="15"/>
      <x:c r="C7" s="54"/>
      <x:c r="D7" s="15"/>
      <x:c r="E7" s="15"/>
      <x:c r="F7" s="15"/>
      <x:c r="G7" s="15"/>
      <x:c r="H7" s="15"/>
      <x:c r="I7" s="15"/>
      <x:c r="J7" s="15"/>
      <x:c r="K7" s="15"/>
    </x:row>
    <x:row r="8">
      <x:c r="A8" s="15"/>
      <x:c r="B8" s="15"/>
      <x:c r="C8" s="54"/>
      <x:c r="D8" s="15"/>
      <x:c r="E8" s="15"/>
      <x:c r="F8" s="15"/>
      <x:c r="G8" s="15"/>
      <x:c r="H8" s="15"/>
      <x:c r="I8" s="15"/>
      <x:c r="J8" s="15"/>
      <x:c r="K8" s="15"/>
    </x:row>
    <x:row r="9">
      <x:c r="A9" s="15"/>
      <x:c r="B9" s="15"/>
      <x:c r="C9" s="54"/>
      <x:c r="D9" s="15"/>
      <x:c r="E9" s="15"/>
      <x:c r="F9" s="15"/>
      <x:c r="G9" s="15"/>
      <x:c r="H9" s="15"/>
      <x:c r="I9" s="15"/>
      <x:c r="J9" s="15"/>
      <x:c r="K9" s="15"/>
    </x:row>
    <x:row r="10">
      <x:c r="A10" s="15"/>
      <x:c r="B10" s="15"/>
      <x:c r="C10" s="54"/>
      <x:c r="D10" s="15"/>
      <x:c r="E10" s="15"/>
      <x:c r="F10" s="15"/>
      <x:c r="G10" s="15"/>
      <x:c r="H10" s="15"/>
      <x:c r="I10" s="15"/>
      <x:c r="J10" s="15"/>
      <x:c r="K10" s="15"/>
    </x:row>
    <x:row r="11">
      <x:c r="A11" s="15"/>
      <x:c r="B11" s="15"/>
      <x:c r="C11" s="54"/>
      <x:c r="D11" s="15"/>
      <x:c r="E11" s="15"/>
      <x:c r="F11" s="15"/>
      <x:c r="G11" s="15"/>
      <x:c r="H11" s="15"/>
      <x:c r="I11" s="15"/>
      <x:c r="J11" s="15"/>
      <x:c r="K11" s="15"/>
    </x:row>
    <x:row r="12">
      <x:c r="A12" s="15"/>
      <x:c r="B12" s="15"/>
      <x:c r="C12" s="54"/>
      <x:c r="D12" s="15"/>
      <x:c r="E12" s="15"/>
      <x:c r="F12" s="15"/>
      <x:c r="G12" s="15"/>
      <x:c r="H12" s="15"/>
      <x:c r="I12" s="15"/>
      <x:c r="J12" s="15"/>
      <x:c r="K12" s="15"/>
    </x:row>
    <x:row r="13">
      <x:c r="A13" s="15"/>
      <x:c r="B13" s="15"/>
      <x:c r="C13" s="54"/>
      <x:c r="D13" s="15"/>
      <x:c r="E13" s="15"/>
      <x:c r="F13" s="15"/>
      <x:c r="G13" s="15"/>
      <x:c r="H13" s="15"/>
      <x:c r="I13" s="15"/>
      <x:c r="J13" s="15"/>
      <x:c r="K13" s="15"/>
    </x:row>
    <x:row r="14">
      <x:c r="A14" s="15"/>
      <x:c r="B14" s="15"/>
      <x:c r="C14" s="54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15"/>
      <x:c r="C15" s="54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15"/>
      <x:c r="C16" s="54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15"/>
      <x:c r="C17" s="54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54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54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54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54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54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54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54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54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54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54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54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54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54"/>
      <x:c r="D30" s="15"/>
      <x:c r="E30" s="15"/>
      <x:c r="F30" s="15"/>
      <x:c r="G30" s="15"/>
      <x:c r="H30" s="15"/>
      <x:c r="I30" s="15"/>
      <x:c r="J30" s="15"/>
      <x:c r="K30" s="15"/>
    </x:row>
    <x:row r="31">
      <x:c r="A31" s="15"/>
      <x:c r="B31" s="15"/>
      <x:c r="C31" s="54"/>
      <x:c r="D31" s="15"/>
      <x:c r="E31" s="15"/>
      <x:c r="F31" s="15"/>
      <x:c r="G31" s="15"/>
      <x:c r="H31" s="15"/>
      <x:c r="I31" s="15"/>
      <x:c r="J31" s="15"/>
      <x:c r="K31" s="15"/>
    </x:row>
    <x:row r="32">
      <x:c r="A32" s="15"/>
      <x:c r="B32" s="15"/>
      <x:c r="C32" s="54"/>
      <x:c r="D32" s="15"/>
      <x:c r="E32" s="15"/>
      <x:c r="F32" s="15"/>
      <x:c r="G32" s="15"/>
      <x:c r="H32" s="15"/>
      <x:c r="I32" s="15"/>
      <x:c r="J32" s="15"/>
      <x:c r="K32" s="15"/>
    </x:row>
    <x:row r="33">
      <x:c r="A33" s="15"/>
      <x:c r="B33" s="15"/>
      <x:c r="C33" s="54"/>
      <x:c r="D33" s="15"/>
      <x:c r="E33" s="15"/>
      <x:c r="F33" s="15"/>
      <x:c r="G33" s="15"/>
      <x:c r="H33" s="15"/>
      <x:c r="I33" s="15"/>
      <x:c r="J33" s="15"/>
      <x:c r="K33" s="15"/>
    </x:row>
    <x:row r="34">
      <x:c r="A34" s="15"/>
      <x:c r="B34" s="15"/>
      <x:c r="C34" s="54"/>
      <x:c r="D34" s="15"/>
      <x:c r="E34" s="15"/>
      <x:c r="F34" s="15"/>
      <x:c r="G34" s="15"/>
      <x:c r="H34" s="15"/>
      <x:c r="I34" s="15"/>
      <x:c r="J34" s="15"/>
      <x:c r="K34" s="15"/>
    </x:row>
    <x:row r="35">
      <x:c r="A35" s="15"/>
      <x:c r="B35" s="15"/>
      <x:c r="C35" s="54"/>
      <x:c r="D35" s="15"/>
      <x:c r="E35" s="15"/>
      <x:c r="F35" s="15"/>
      <x:c r="G35" s="15"/>
      <x:c r="H35" s="15"/>
      <x:c r="I35" s="15"/>
      <x:c r="J35" s="15"/>
      <x:c r="K35" s="15"/>
    </x:row>
    <x:row r="36">
      <x:c r="A36" s="15"/>
      <x:c r="B36" s="15"/>
      <x:c r="C36" s="54"/>
      <x:c r="D36" s="15"/>
      <x:c r="E36" s="15"/>
      <x:c r="F36" s="15"/>
      <x:c r="G36" s="15"/>
      <x:c r="H36" s="15"/>
      <x:c r="I36" s="15"/>
      <x:c r="J36" s="15"/>
      <x:c r="K36" s="15"/>
    </x:row>
    <x:row r="37">
      <x:c r="A37" s="15"/>
      <x:c r="B37" s="15"/>
      <x:c r="C37" s="54"/>
      <x:c r="D37" s="15"/>
      <x:c r="E37" s="15"/>
      <x:c r="F37" s="15"/>
      <x:c r="G37" s="15"/>
      <x:c r="H37" s="15"/>
      <x:c r="I37" s="15"/>
      <x:c r="J37" s="15"/>
      <x:c r="K37" s="15"/>
    </x:row>
    <x:row r="38">
      <x:c r="A38" s="15"/>
      <x:c r="B38" s="15"/>
      <x:c r="C38" s="54"/>
      <x:c r="D38" s="15"/>
      <x:c r="E38" s="15"/>
      <x:c r="F38" s="15"/>
      <x:c r="G38" s="15"/>
      <x:c r="H38" s="15"/>
      <x:c r="I38" s="15"/>
      <x:c r="J38" s="15"/>
      <x:c r="K38" s="15"/>
    </x:row>
    <x:row r="39">
      <x:c r="A39" s="15"/>
      <x:c r="B39" s="15"/>
      <x:c r="C39" s="54"/>
      <x:c r="D39" s="15"/>
      <x:c r="E39" s="15"/>
      <x:c r="F39" s="15"/>
      <x:c r="G39" s="15"/>
      <x:c r="H39" s="15"/>
      <x:c r="I39" s="15"/>
      <x:c r="J39" s="15"/>
      <x:c r="K39" s="15"/>
    </x:row>
    <x:row r="40">
      <x:c r="A40" s="15"/>
      <x:c r="B40" s="15"/>
      <x:c r="C40" s="54"/>
      <x:c r="D40" s="15"/>
      <x:c r="E40" s="15"/>
      <x:c r="F40" s="15"/>
      <x:c r="G40" s="15"/>
      <x:c r="H40" s="15"/>
      <x:c r="I40" s="15"/>
      <x:c r="J40" s="15"/>
      <x:c r="K40" s="15"/>
    </x:row>
    <x:row r="41">
      <x:c r="A41" s="15"/>
      <x:c r="B41" s="15"/>
      <x:c r="C41" s="54"/>
      <x:c r="D41" s="15"/>
      <x:c r="E41" s="15"/>
      <x:c r="F41" s="15"/>
      <x:c r="G41" s="15"/>
      <x:c r="H41" s="15"/>
      <x:c r="I41" s="15"/>
      <x:c r="J41" s="15"/>
      <x:c r="K41" s="15"/>
    </x:row>
    <x:row r="42">
      <x:c r="A42" s="15"/>
      <x:c r="B42" s="15"/>
      <x:c r="C42" s="54"/>
      <x:c r="D42" s="15"/>
      <x:c r="E42" s="15"/>
      <x:c r="F42" s="15"/>
      <x:c r="G42" s="15"/>
      <x:c r="H42" s="15"/>
      <x:c r="I42" s="15"/>
      <x:c r="J42" s="15"/>
      <x:c r="K42" s="15"/>
    </x:row>
    <x:row r="43">
      <x:c r="A43" s="15"/>
      <x:c r="B43" s="15"/>
      <x:c r="C43" s="54"/>
      <x:c r="D43" s="15"/>
      <x:c r="E43" s="15"/>
      <x:c r="F43" s="15"/>
      <x:c r="G43" s="15"/>
      <x:c r="H43" s="15"/>
      <x:c r="I43" s="15"/>
      <x:c r="J43" s="15"/>
      <x:c r="K43" s="15"/>
    </x:row>
    <x:row r="44">
      <x:c r="A44" s="15"/>
      <x:c r="B44" s="15"/>
      <x:c r="C44" s="54"/>
      <x:c r="D44" s="15"/>
      <x:c r="E44" s="15"/>
      <x:c r="F44" s="15"/>
      <x:c r="G44" s="15"/>
      <x:c r="H44" s="15"/>
      <x:c r="I44" s="15"/>
      <x:c r="J44" s="15"/>
      <x:c r="K44" s="15"/>
    </x:row>
    <x:row r="45">
      <x:c r="A45" s="15"/>
      <x:c r="B45" s="15"/>
      <x:c r="C45" s="54"/>
      <x:c r="D45" s="15"/>
      <x:c r="E45" s="15"/>
      <x:c r="F45" s="15"/>
      <x:c r="G45" s="15"/>
      <x:c r="H45" s="15"/>
      <x:c r="I45" s="15"/>
      <x:c r="J45" s="15"/>
      <x:c r="K45" s="15"/>
    </x:row>
    <x:row r="46">
      <x:c r="A46" s="15"/>
      <x:c r="B46" s="15"/>
      <x:c r="C46" s="54"/>
      <x:c r="D46" s="15"/>
      <x:c r="E46" s="15"/>
      <x:c r="F46" s="15"/>
      <x:c r="G46" s="15"/>
      <x:c r="H46" s="15"/>
      <x:c r="I46" s="15"/>
      <x:c r="J46" s="15"/>
      <x:c r="K46" s="15"/>
    </x:row>
    <x:row r="47">
      <x:c r="A47" s="15"/>
      <x:c r="B47" s="15"/>
      <x:c r="C47" s="54"/>
      <x:c r="D47" s="15"/>
      <x:c r="E47" s="15"/>
      <x:c r="F47" s="15"/>
      <x:c r="G47" s="15"/>
      <x:c r="H47" s="15"/>
      <x:c r="I47" s="15"/>
      <x:c r="J47" s="15"/>
      <x:c r="K47" s="15"/>
    </x:row>
    <x:row r="48">
      <x:c r="A48" s="15"/>
      <x:c r="B48" s="15"/>
      <x:c r="C48" s="54"/>
      <x:c r="D48" s="15"/>
      <x:c r="E48" s="15"/>
      <x:c r="F48" s="15"/>
      <x:c r="G48" s="15"/>
      <x:c r="H48" s="15"/>
      <x:c r="I48" s="15"/>
      <x:c r="J48" s="15"/>
      <x:c r="K48" s="15"/>
    </x:row>
    <x:row r="49">
      <x:c r="A49" s="15"/>
      <x:c r="B49" s="15"/>
      <x:c r="C49" s="54"/>
      <x:c r="D49" s="15"/>
      <x:c r="E49" s="15"/>
      <x:c r="F49" s="15"/>
      <x:c r="G49" s="15"/>
      <x:c r="H49" s="15"/>
      <x:c r="I49" s="15"/>
      <x:c r="J49" s="15"/>
      <x:c r="K49" s="15"/>
    </x:row>
    <x:row r="50">
      <x:c r="A50" s="15"/>
      <x:c r="B50" s="15"/>
      <x:c r="C50" s="54"/>
      <x:c r="D50" s="15"/>
      <x:c r="E50" s="15"/>
      <x:c r="F50" s="15"/>
      <x:c r="G50" s="15"/>
      <x:c r="H50" s="15"/>
      <x:c r="I50" s="15"/>
      <x:c r="J50" s="15"/>
      <x:c r="K50" s="15"/>
    </x:row>
    <x:row r="51">
      <x:c r="A51" s="15"/>
      <x:c r="B51" s="15"/>
      <x:c r="C51" s="54"/>
      <x:c r="D51" s="15"/>
      <x:c r="E51" s="15"/>
      <x:c r="F51" s="15"/>
      <x:c r="G51" s="15"/>
      <x:c r="H51" s="15"/>
      <x:c r="I51" s="15"/>
      <x:c r="J51" s="15"/>
      <x:c r="K51" s="15"/>
    </x:row>
    <x:row r="52">
      <x:c r="A52" s="15"/>
      <x:c r="B52" s="15"/>
      <x:c r="C52" s="54"/>
      <x:c r="D52" s="15"/>
      <x:c r="E52" s="15"/>
      <x:c r="F52" s="15"/>
      <x:c r="G52" s="15"/>
      <x:c r="H52" s="15"/>
      <x:c r="I52" s="15"/>
      <x:c r="J52" s="15"/>
      <x:c r="K52" s="15"/>
    </x:row>
    <x:row r="53">
      <x:c r="A53" s="15"/>
      <x:c r="B53" s="15"/>
      <x:c r="C53" s="54"/>
      <x:c r="D53" s="15"/>
      <x:c r="E53" s="15"/>
      <x:c r="F53" s="15"/>
      <x:c r="G53" s="15"/>
      <x:c r="H53" s="15"/>
      <x:c r="I53" s="15"/>
      <x:c r="J53" s="15"/>
      <x:c r="K53" s="15"/>
    </x:row>
    <x:row r="54">
      <x:c r="A54" s="15"/>
      <x:c r="B54" s="15"/>
      <x:c r="C54" s="54"/>
      <x:c r="D54" s="15"/>
      <x:c r="E54" s="15"/>
      <x:c r="F54" s="15"/>
      <x:c r="G54" s="15"/>
      <x:c r="H54" s="15"/>
      <x:c r="I54" s="15"/>
      <x:c r="J54" s="15"/>
      <x:c r="K54" s="15"/>
    </x:row>
    <x:row r="55">
      <x:c r="A55" s="15"/>
      <x:c r="B55" s="15"/>
      <x:c r="C55" s="54"/>
      <x:c r="D55" s="15"/>
      <x:c r="E55" s="15"/>
      <x:c r="F55" s="15"/>
      <x:c r="G55" s="15"/>
      <x:c r="H55" s="15"/>
      <x:c r="I55" s="15"/>
      <x:c r="J55" s="15"/>
      <x:c r="K55" s="15"/>
    </x:row>
    <x:row r="56">
      <x:c r="A56" s="15"/>
      <x:c r="B56" s="15"/>
      <x:c r="C56" s="54"/>
      <x:c r="D56" s="15"/>
      <x:c r="E56" s="15"/>
      <x:c r="F56" s="15"/>
      <x:c r="G56" s="15"/>
      <x:c r="H56" s="15"/>
      <x:c r="I56" s="15"/>
      <x:c r="J56" s="15"/>
      <x:c r="K56" s="15"/>
    </x:row>
    <x:row r="57">
      <x:c r="A57" s="15"/>
      <x:c r="B57" s="15"/>
      <x:c r="C57" s="54"/>
      <x:c r="D57" s="15"/>
      <x:c r="E57" s="15"/>
      <x:c r="F57" s="15"/>
      <x:c r="G57" s="15"/>
      <x:c r="H57" s="15"/>
      <x:c r="I57" s="15"/>
      <x:c r="J57" s="15"/>
      <x:c r="K57" s="15"/>
    </x:row>
    <x:row r="58">
      <x:c r="A58" s="15"/>
      <x:c r="B58" s="15"/>
      <x:c r="C58" s="54"/>
      <x:c r="D58" s="15"/>
      <x:c r="E58" s="15"/>
      <x:c r="F58" s="15"/>
      <x:c r="G58" s="15"/>
      <x:c r="H58" s="15"/>
      <x:c r="I58" s="15"/>
      <x:c r="J58" s="15"/>
      <x:c r="K58" s="15"/>
    </x:row>
    <x:row r="59">
      <x:c r="A59" s="15"/>
      <x:c r="B59" s="15"/>
      <x:c r="C59" s="54"/>
      <x:c r="D59" s="15"/>
      <x:c r="E59" s="15"/>
      <x:c r="F59" s="15"/>
      <x:c r="G59" s="15"/>
      <x:c r="H59" s="15"/>
      <x:c r="I59" s="15"/>
      <x:c r="J59" s="15"/>
      <x:c r="K59" s="15"/>
    </x:row>
    <x:row r="60">
      <x:c r="A60" s="15"/>
      <x:c r="B60" s="15"/>
      <x:c r="C60" s="54"/>
      <x:c r="D60" s="15"/>
      <x:c r="E60" s="15"/>
      <x:c r="F60" s="15"/>
      <x:c r="G60" s="15"/>
      <x:c r="H60" s="15"/>
      <x:c r="I60" s="15"/>
      <x:c r="J60" s="15"/>
      <x:c r="K60" s="15"/>
    </x:row>
    <x:row r="61">
      <x:c r="A61" s="15"/>
      <x:c r="B61" s="15"/>
      <x:c r="C61" s="54"/>
      <x:c r="D61" s="15"/>
      <x:c r="E61" s="15"/>
      <x:c r="F61" s="15"/>
      <x:c r="G61" s="15"/>
      <x:c r="H61" s="15"/>
      <x:c r="I61" s="15"/>
      <x:c r="J61" s="15"/>
      <x:c r="K61" s="15"/>
    </x:row>
    <x:row r="62">
      <x:c r="A62" s="15"/>
      <x:c r="B62" s="15"/>
      <x:c r="C62" s="54"/>
      <x:c r="D62" s="15"/>
      <x:c r="E62" s="15"/>
      <x:c r="F62" s="15"/>
      <x:c r="G62" s="15"/>
      <x:c r="H62" s="15"/>
      <x:c r="I62" s="15"/>
      <x:c r="J62" s="15"/>
      <x:c r="K62" s="15"/>
    </x:row>
    <x:row r="63">
      <x:c r="A63" s="15"/>
      <x:c r="B63" s="15"/>
      <x:c r="C63" s="54"/>
      <x:c r="D63" s="15"/>
      <x:c r="E63" s="15"/>
      <x:c r="F63" s="15"/>
      <x:c r="G63" s="15"/>
      <x:c r="H63" s="15"/>
      <x:c r="I63" s="15"/>
      <x:c r="J63" s="15"/>
      <x:c r="K63" s="15"/>
    </x:row>
    <x:row r="64">
      <x:c r="A64" s="15"/>
      <x:c r="B64" s="15"/>
      <x:c r="C64" s="54"/>
      <x:c r="D64" s="15"/>
      <x:c r="E64" s="15"/>
      <x:c r="F64" s="15"/>
      <x:c r="G64" s="15"/>
      <x:c r="H64" s="15"/>
      <x:c r="I64" s="15"/>
      <x:c r="J64" s="15"/>
      <x:c r="K64" s="15"/>
    </x:row>
    <x:row r="65">
      <x:c r="A65" s="15"/>
      <x:c r="B65" s="15"/>
      <x:c r="C65" s="54"/>
      <x:c r="D65" s="15"/>
      <x:c r="E65" s="15"/>
      <x:c r="F65" s="15"/>
      <x:c r="G65" s="15"/>
      <x:c r="H65" s="15"/>
      <x:c r="I65" s="15"/>
      <x:c r="J65" s="15"/>
      <x:c r="K65" s="15"/>
    </x:row>
    <x:row r="66">
      <x:c r="A66" s="15"/>
      <x:c r="B66" s="15"/>
      <x:c r="C66" s="54"/>
      <x:c r="D66" s="15"/>
      <x:c r="E66" s="15"/>
      <x:c r="F66" s="15"/>
      <x:c r="G66" s="15"/>
      <x:c r="H66" s="15"/>
      <x:c r="I66" s="15"/>
      <x:c r="J66" s="15"/>
      <x:c r="K66" s="15"/>
    </x:row>
    <x:row r="67">
      <x:c r="A67" s="15"/>
      <x:c r="B67" s="15"/>
      <x:c r="C67" s="54"/>
      <x:c r="D67" s="15"/>
      <x:c r="E67" s="15"/>
      <x:c r="F67" s="15"/>
      <x:c r="G67" s="15"/>
      <x:c r="H67" s="15"/>
      <x:c r="I67" s="15"/>
      <x:c r="J67" s="15"/>
      <x:c r="K67" s="15"/>
    </x:row>
    <x:row r="68">
      <x:c r="A68" s="15"/>
      <x:c r="B68" s="15"/>
      <x:c r="C68" s="54"/>
      <x:c r="D68" s="15"/>
      <x:c r="E68" s="15"/>
      <x:c r="F68" s="15"/>
      <x:c r="G68" s="15"/>
      <x:c r="H68" s="15"/>
      <x:c r="I68" s="15"/>
      <x:c r="J68" s="15"/>
      <x:c r="K68" s="15"/>
    </x:row>
    <x:row r="69">
      <x:c r="A69" s="15"/>
      <x:c r="B69" s="15"/>
      <x:c r="C69" s="54"/>
      <x:c r="D69" s="15"/>
      <x:c r="E69" s="15"/>
      <x:c r="F69" s="15"/>
      <x:c r="G69" s="15"/>
      <x:c r="H69" s="15"/>
      <x:c r="I69" s="15"/>
      <x:c r="J69" s="15"/>
      <x:c r="K69" s="15"/>
    </x:row>
    <x:row r="70">
      <x:c r="A70" s="15"/>
      <x:c r="B70" s="15"/>
      <x:c r="C70" s="54"/>
      <x:c r="D70" s="15"/>
      <x:c r="E70" s="15"/>
      <x:c r="F70" s="15"/>
      <x:c r="G70" s="15"/>
      <x:c r="H70" s="15"/>
      <x:c r="I70" s="15"/>
      <x:c r="J70" s="15"/>
      <x:c r="K70" s="15"/>
    </x:row>
    <x:row r="71">
      <x:c r="A71" s="15"/>
      <x:c r="B71" s="15"/>
      <x:c r="C71" s="54"/>
      <x:c r="D71" s="15"/>
      <x:c r="E71" s="15"/>
      <x:c r="F71" s="15"/>
      <x:c r="G71" s="15"/>
      <x:c r="H71" s="15"/>
      <x:c r="I71" s="15"/>
      <x:c r="J71" s="15"/>
      <x:c r="K71" s="15"/>
    </x:row>
    <x:row r="72">
      <x:c r="A72" s="15"/>
      <x:c r="B72" s="15"/>
      <x:c r="C72" s="54"/>
      <x:c r="D72" s="15"/>
      <x:c r="E72" s="15"/>
      <x:c r="F72" s="15"/>
      <x:c r="G72" s="15"/>
      <x:c r="H72" s="15"/>
      <x:c r="I72" s="15"/>
      <x:c r="J72" s="15"/>
      <x:c r="K72" s="15"/>
    </x:row>
    <x:row r="73">
      <x:c r="A73" s="15"/>
      <x:c r="B73" s="15"/>
      <x:c r="C73" s="54"/>
      <x:c r="D73" s="15"/>
      <x:c r="E73" s="15"/>
      <x:c r="F73" s="15"/>
      <x:c r="G73" s="15"/>
      <x:c r="H73" s="15"/>
      <x:c r="I73" s="15"/>
      <x:c r="J73" s="15"/>
      <x:c r="K73" s="15"/>
    </x:row>
    <x:row r="74">
      <x:c r="A74" s="15"/>
      <x:c r="B74" s="15"/>
      <x:c r="C74" s="54"/>
      <x:c r="D74" s="15"/>
      <x:c r="E74" s="15"/>
      <x:c r="F74" s="15"/>
      <x:c r="G74" s="15"/>
      <x:c r="H74" s="15"/>
      <x:c r="I74" s="15"/>
      <x:c r="J74" s="15"/>
      <x:c r="K74" s="15"/>
    </x:row>
    <x:row r="75">
      <x:c r="A75" s="15"/>
      <x:c r="B75" s="15"/>
      <x:c r="C75" s="54"/>
      <x:c r="D75" s="15"/>
      <x:c r="E75" s="15"/>
      <x:c r="F75" s="15"/>
      <x:c r="G75" s="15"/>
      <x:c r="H75" s="15"/>
      <x:c r="I75" s="15"/>
      <x:c r="J75" s="15"/>
      <x:c r="K75" s="15"/>
    </x:row>
    <x:row r="76">
      <x:c r="A76" s="15"/>
      <x:c r="B76" s="15"/>
      <x:c r="C76" s="54"/>
      <x:c r="D76" s="15"/>
      <x:c r="E76" s="15"/>
      <x:c r="F76" s="15"/>
      <x:c r="G76" s="15"/>
      <x:c r="H76" s="15"/>
      <x:c r="I76" s="15"/>
      <x:c r="J76" s="15"/>
      <x:c r="K76" s="15"/>
    </x:row>
    <x:row r="77">
      <x:c r="A77" s="15"/>
      <x:c r="B77" s="15"/>
      <x:c r="C77" s="54"/>
      <x:c r="D77" s="15"/>
      <x:c r="E77" s="15"/>
      <x:c r="F77" s="15"/>
      <x:c r="G77" s="15"/>
      <x:c r="H77" s="15"/>
      <x:c r="I77" s="15"/>
      <x:c r="J77" s="15"/>
      <x:c r="K77" s="15"/>
    </x:row>
    <x:row r="78">
      <x:c r="A78" s="15"/>
      <x:c r="B78" s="15"/>
      <x:c r="C78" s="54"/>
      <x:c r="D78" s="15"/>
      <x:c r="E78" s="15"/>
      <x:c r="F78" s="15"/>
      <x:c r="G78" s="15"/>
      <x:c r="H78" s="15"/>
      <x:c r="I78" s="15"/>
      <x:c r="J78" s="15"/>
      <x:c r="K78" s="15"/>
    </x:row>
    <x:row r="79">
      <x:c r="A79" s="15"/>
      <x:c r="B79" s="15"/>
      <x:c r="C79" s="54"/>
      <x:c r="D79" s="15"/>
      <x:c r="E79" s="15"/>
      <x:c r="F79" s="15"/>
      <x:c r="G79" s="15"/>
      <x:c r="H79" s="15"/>
      <x:c r="I79" s="15"/>
      <x:c r="J79" s="15"/>
      <x:c r="K79" s="15"/>
    </x:row>
    <x:row r="80">
      <x:c r="A80" s="15"/>
      <x:c r="B80" s="15"/>
      <x:c r="C80" s="54"/>
      <x:c r="D80" s="15"/>
      <x:c r="E80" s="15"/>
      <x:c r="F80" s="15"/>
      <x:c r="G80" s="15"/>
      <x:c r="H80" s="15"/>
      <x:c r="I80" s="15"/>
      <x:c r="J80" s="15"/>
      <x:c r="K80" s="15"/>
    </x:row>
    <x:row r="81">
      <x:c r="A81" s="15"/>
      <x:c r="B81" s="15"/>
      <x:c r="C81" s="54"/>
      <x:c r="D81" s="15"/>
      <x:c r="E81" s="15"/>
      <x:c r="F81" s="15"/>
      <x:c r="G81" s="15"/>
      <x:c r="H81" s="15"/>
      <x:c r="I81" s="15"/>
      <x:c r="J81" s="15"/>
      <x:c r="K81" s="15"/>
    </x:row>
    <x:row r="82">
      <x:c r="A82" s="15"/>
      <x:c r="B82" s="15"/>
      <x:c r="C82" s="54"/>
      <x:c r="D82" s="15"/>
      <x:c r="E82" s="15"/>
      <x:c r="F82" s="15"/>
      <x:c r="G82" s="15"/>
      <x:c r="H82" s="15"/>
      <x:c r="I82" s="15"/>
      <x:c r="J82" s="15"/>
      <x:c r="K82" s="15"/>
    </x:row>
    <x:row r="83">
      <x:c r="A83" s="15"/>
      <x:c r="B83" s="15"/>
      <x:c r="C83" s="54"/>
      <x:c r="D83" s="15"/>
      <x:c r="E83" s="15"/>
      <x:c r="F83" s="15"/>
      <x:c r="G83" s="15"/>
      <x:c r="H83" s="15"/>
      <x:c r="I83" s="15"/>
      <x:c r="J83" s="15"/>
      <x:c r="K83" s="15"/>
    </x:row>
    <x:row r="84">
      <x:c r="A84" s="15"/>
      <x:c r="B84" s="15"/>
      <x:c r="C84" s="54"/>
      <x:c r="D84" s="15"/>
      <x:c r="E84" s="15"/>
      <x:c r="F84" s="15"/>
      <x:c r="G84" s="15"/>
      <x:c r="H84" s="15"/>
      <x:c r="I84" s="15"/>
      <x:c r="J84" s="15"/>
      <x:c r="K84" s="15"/>
    </x:row>
    <x:row r="85">
      <x:c r="A85" s="15"/>
      <x:c r="B85" s="15"/>
      <x:c r="C85" s="54"/>
      <x:c r="D85" s="15"/>
      <x:c r="E85" s="15"/>
      <x:c r="F85" s="15"/>
      <x:c r="G85" s="15"/>
      <x:c r="H85" s="15"/>
      <x:c r="I85" s="15"/>
      <x:c r="J85" s="15"/>
      <x:c r="K85" s="15"/>
    </x:row>
    <x:row r="86">
      <x:c r="A86" s="15"/>
      <x:c r="B86" s="15"/>
      <x:c r="C86" s="54"/>
      <x:c r="D86" s="15"/>
      <x:c r="E86" s="15"/>
      <x:c r="F86" s="15"/>
      <x:c r="G86" s="15"/>
      <x:c r="H86" s="15"/>
      <x:c r="I86" s="15"/>
      <x:c r="J86" s="15"/>
      <x:c r="K86" s="15"/>
    </x:row>
    <x:row r="87">
      <x:c r="A87" s="15"/>
      <x:c r="B87" s="15"/>
      <x:c r="C87" s="54"/>
      <x:c r="D87" s="15"/>
      <x:c r="E87" s="15"/>
      <x:c r="F87" s="15"/>
      <x:c r="G87" s="15"/>
      <x:c r="H87" s="15"/>
      <x:c r="I87" s="15"/>
      <x:c r="J87" s="15"/>
      <x:c r="K87" s="15"/>
    </x:row>
    <x:row r="88">
      <x:c r="A88" s="15"/>
      <x:c r="B88" s="15"/>
      <x:c r="C88" s="54"/>
      <x:c r="D88" s="15"/>
      <x:c r="E88" s="15"/>
      <x:c r="F88" s="15"/>
      <x:c r="G88" s="15"/>
      <x:c r="H88" s="15"/>
      <x:c r="I88" s="15"/>
      <x:c r="J88" s="15"/>
      <x:c r="K88" s="15"/>
    </x:row>
    <x:row r="89">
      <x:c r="A89" s="15"/>
      <x:c r="B89" s="15"/>
      <x:c r="C89" s="54"/>
      <x:c r="D89" s="15"/>
      <x:c r="E89" s="15"/>
      <x:c r="F89" s="15"/>
      <x:c r="G89" s="15"/>
      <x:c r="H89" s="15"/>
      <x:c r="I89" s="15"/>
      <x:c r="J89" s="15"/>
      <x:c r="K89" s="15"/>
    </x:row>
    <x:row r="90">
      <x:c r="A90" s="15"/>
      <x:c r="B90" s="15"/>
      <x:c r="C90" s="54"/>
      <x:c r="D90" s="15"/>
      <x:c r="E90" s="15"/>
      <x:c r="F90" s="15"/>
      <x:c r="G90" s="15"/>
      <x:c r="H90" s="15"/>
      <x:c r="I90" s="15"/>
      <x:c r="J90" s="15"/>
      <x:c r="K90" s="15"/>
    </x:row>
    <x:row r="91">
      <x:c r="A91" s="15"/>
      <x:c r="B91" s="15"/>
      <x:c r="C91" s="54"/>
      <x:c r="D91" s="15"/>
      <x:c r="E91" s="15"/>
      <x:c r="F91" s="15"/>
      <x:c r="G91" s="15"/>
      <x:c r="H91" s="15"/>
      <x:c r="I91" s="15"/>
      <x:c r="J91" s="15"/>
      <x:c r="K91" s="15"/>
    </x:row>
    <x:row r="92">
      <x:c r="A92" s="15"/>
      <x:c r="B92" s="15"/>
      <x:c r="C92" s="54"/>
      <x:c r="D92" s="15"/>
      <x:c r="E92" s="15"/>
      <x:c r="F92" s="15"/>
      <x:c r="G92" s="15"/>
      <x:c r="H92" s="15"/>
      <x:c r="I92" s="15"/>
      <x:c r="J92" s="15"/>
      <x:c r="K92" s="15"/>
    </x:row>
    <x:row r="93">
      <x:c r="A93" s="15"/>
      <x:c r="B93" s="15"/>
      <x:c r="C93" s="54"/>
      <x:c r="D93" s="15"/>
      <x:c r="E93" s="15"/>
      <x:c r="F93" s="15"/>
      <x:c r="G93" s="15"/>
      <x:c r="H93" s="15"/>
      <x:c r="I93" s="15"/>
      <x:c r="J93" s="15"/>
      <x:c r="K93" s="15"/>
    </x:row>
    <x:row r="94">
      <x:c r="A94" s="15"/>
      <x:c r="B94" s="15"/>
      <x:c r="C94" s="54"/>
      <x:c r="D94" s="15"/>
      <x:c r="E94" s="15"/>
      <x:c r="F94" s="15"/>
      <x:c r="G94" s="15"/>
      <x:c r="H94" s="15"/>
      <x:c r="I94" s="15"/>
      <x:c r="J94" s="15"/>
      <x:c r="K94" s="15"/>
    </x:row>
    <x:row r="95">
      <x:c r="A95" s="15"/>
      <x:c r="B95" s="15"/>
      <x:c r="C95" s="54"/>
      <x:c r="D95" s="15"/>
      <x:c r="E95" s="15"/>
      <x:c r="F95" s="15"/>
      <x:c r="G95" s="15"/>
      <x:c r="H95" s="15"/>
      <x:c r="I95" s="15"/>
      <x:c r="J95" s="15"/>
      <x:c r="K95" s="15"/>
    </x:row>
    <x:row r="96">
      <x:c r="A96" s="15"/>
      <x:c r="B96" s="15"/>
      <x:c r="C96" s="54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15"/>
      <x:c r="C97" s="54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15"/>
      <x:c r="C98" s="54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15"/>
      <x:c r="C99" s="54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15"/>
      <x:c r="C100" s="54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15"/>
      <x:c r="C101" s="54"/>
      <x:c r="D101" s="15"/>
      <x:c r="E101" s="15"/>
      <x:c r="F101" s="15"/>
      <x:c r="G101" s="15"/>
      <x:c r="H101" s="15"/>
      <x:c r="I101" s="15"/>
      <x:c r="J101" s="15"/>
      <x:c r="K101" s="15"/>
    </x:row>
    <x:row r="102">
      <x:c r="A102" s="15"/>
      <x:c r="B102" s="15"/>
      <x:c r="C102" s="54"/>
      <x:c r="D102" s="15"/>
      <x:c r="E102" s="15"/>
      <x:c r="F102" s="15"/>
      <x:c r="G102" s="15"/>
      <x:c r="H102" s="15"/>
      <x:c r="I102" s="15"/>
      <x:c r="J102" s="15"/>
      <x:c r="K102" s="15"/>
    </x:row>
    <x:row r="103">
      <x:c r="A103" s="15"/>
      <x:c r="B103" s="15"/>
      <x:c r="C103" s="54"/>
      <x:c r="D103" s="15"/>
      <x:c r="E103" s="15"/>
      <x:c r="F103" s="15"/>
      <x:c r="G103" s="15"/>
      <x:c r="H103" s="15"/>
      <x:c r="I103" s="15"/>
      <x:c r="J103" s="15"/>
      <x:c r="K103" s="15"/>
    </x:row>
    <x:row r="104">
      <x:c r="A104" s="15"/>
      <x:c r="B104" s="15"/>
      <x:c r="C104" s="54"/>
      <x:c r="D104" s="15"/>
      <x:c r="E104" s="15"/>
      <x:c r="F104" s="15"/>
      <x:c r="G104" s="15"/>
      <x:c r="H104" s="15"/>
      <x:c r="I104" s="15"/>
      <x:c r="J104" s="15"/>
      <x:c r="K104" s="15"/>
    </x:row>
    <x:row r="105">
      <x:c r="A105" s="15"/>
      <x:c r="B105" s="15"/>
      <x:c r="C105" s="54"/>
      <x:c r="D105" s="15"/>
      <x:c r="E105" s="15"/>
      <x:c r="F105" s="15"/>
      <x:c r="G105" s="15"/>
      <x:c r="H105" s="15"/>
      <x:c r="I105" s="15"/>
      <x:c r="J105" s="15"/>
      <x:c r="K105" s="15"/>
    </x:row>
    <x:row r="106">
      <x:c r="A106" s="15"/>
      <x:c r="B106" s="15"/>
      <x:c r="C106" s="54"/>
      <x:c r="D106" s="15"/>
      <x:c r="E106" s="15"/>
      <x:c r="F106" s="15"/>
      <x:c r="G106" s="15"/>
      <x:c r="H106" s="15"/>
      <x:c r="I106" s="15"/>
      <x:c r="J106" s="15"/>
      <x:c r="K106" s="15"/>
    </x:row>
    <x:row r="107">
      <x:c r="A107" s="15"/>
      <x:c r="B107" s="15"/>
      <x:c r="C107" s="54"/>
      <x:c r="D107" s="15"/>
      <x:c r="E107" s="15"/>
      <x:c r="F107" s="15"/>
      <x:c r="G107" s="15"/>
      <x:c r="H107" s="15"/>
      <x:c r="I107" s="15"/>
      <x:c r="J107" s="15"/>
      <x:c r="K107" s="15"/>
    </x:row>
    <x:row r="108">
      <x:c r="A108" s="15"/>
      <x:c r="B108" s="15"/>
      <x:c r="C108" s="54"/>
      <x:c r="D108" s="15"/>
      <x:c r="E108" s="15"/>
      <x:c r="F108" s="15"/>
      <x:c r="G108" s="15"/>
      <x:c r="H108" s="15"/>
      <x:c r="I108" s="15"/>
      <x:c r="J108" s="15"/>
      <x:c r="K108" s="15"/>
    </x:row>
    <x:row r="109">
      <x:c r="A109" s="15"/>
      <x:c r="B109" s="15"/>
      <x:c r="C109" s="54"/>
      <x:c r="D109" s="15"/>
      <x:c r="E109" s="15"/>
      <x:c r="F109" s="15"/>
      <x:c r="G109" s="15"/>
      <x:c r="H109" s="15"/>
      <x:c r="I109" s="15"/>
      <x:c r="J109" s="15"/>
      <x:c r="K109" s="15"/>
    </x:row>
    <x:row r="110">
      <x:c r="A110" s="15"/>
      <x:c r="B110" s="15"/>
      <x:c r="C110" s="54"/>
      <x:c r="D110" s="15"/>
      <x:c r="E110" s="15"/>
      <x:c r="F110" s="15"/>
      <x:c r="G110" s="15"/>
      <x:c r="H110" s="15"/>
      <x:c r="I110" s="15"/>
      <x:c r="J110" s="15"/>
      <x:c r="K110" s="15"/>
    </x:row>
    <x:row r="111">
      <x:c r="A111" s="15"/>
      <x:c r="B111" s="15"/>
      <x:c r="C111" s="54"/>
      <x:c r="D111" s="15"/>
      <x:c r="E111" s="15"/>
      <x:c r="F111" s="15"/>
      <x:c r="G111" s="15"/>
      <x:c r="H111" s="15"/>
      <x:c r="I111" s="15"/>
      <x:c r="J111" s="15"/>
      <x:c r="K111" s="15"/>
    </x:row>
    <x:row r="112">
      <x:c r="A112" s="15"/>
      <x:c r="B112" s="15"/>
      <x:c r="C112" s="54"/>
      <x:c r="D112" s="15"/>
      <x:c r="E112" s="15"/>
      <x:c r="F112" s="15"/>
      <x:c r="G112" s="15"/>
      <x:c r="H112" s="15"/>
      <x:c r="I112" s="15"/>
      <x:c r="J112" s="15"/>
      <x:c r="K112" s="15"/>
    </x:row>
    <x:row r="113">
      <x:c r="A113" s="15"/>
      <x:c r="B113" s="15"/>
      <x:c r="C113" s="54"/>
      <x:c r="D113" s="15"/>
      <x:c r="E113" s="15"/>
      <x:c r="F113" s="15"/>
      <x:c r="G113" s="15"/>
      <x:c r="H113" s="15"/>
      <x:c r="I113" s="15"/>
      <x:c r="J113" s="15"/>
      <x:c r="K113" s="15"/>
    </x:row>
    <x:row r="114">
      <x:c r="A114" s="15"/>
      <x:c r="B114" s="15"/>
      <x:c r="C114" s="54"/>
      <x:c r="D114" s="15"/>
      <x:c r="E114" s="15"/>
      <x:c r="F114" s="15"/>
      <x:c r="G114" s="15"/>
      <x:c r="H114" s="15"/>
      <x:c r="I114" s="15"/>
      <x:c r="J114" s="15"/>
      <x:c r="K114" s="15"/>
    </x:row>
    <x:row r="115">
      <x:c r="A115" s="15"/>
      <x:c r="B115" s="15"/>
      <x:c r="C115" s="54"/>
      <x:c r="D115" s="15"/>
      <x:c r="E115" s="15"/>
      <x:c r="F115" s="15"/>
      <x:c r="G115" s="15"/>
      <x:c r="H115" s="15"/>
      <x:c r="I115" s="15"/>
      <x:c r="J115" s="15"/>
      <x:c r="K115" s="15"/>
    </x:row>
    <x:row r="116">
      <x:c r="A116" s="15"/>
      <x:c r="B116" s="15"/>
      <x:c r="C116" s="54"/>
      <x:c r="D116" s="15"/>
      <x:c r="E116" s="15"/>
      <x:c r="F116" s="15"/>
      <x:c r="G116" s="15"/>
      <x:c r="H116" s="15"/>
      <x:c r="I116" s="15"/>
      <x:c r="J116" s="15"/>
      <x:c r="K116" s="15"/>
    </x:row>
    <x:row r="117">
      <x:c r="A117" s="15"/>
      <x:c r="B117" s="15"/>
      <x:c r="C117" s="54"/>
      <x:c r="D117" s="15"/>
      <x:c r="E117" s="15"/>
      <x:c r="F117" s="15"/>
      <x:c r="G117" s="15"/>
      <x:c r="H117" s="15"/>
      <x:c r="I117" s="15"/>
      <x:c r="J117" s="15"/>
      <x:c r="K117" s="15"/>
    </x:row>
    <x:row r="118">
      <x:c r="A118" s="15"/>
      <x:c r="B118" s="15"/>
      <x:c r="C118" s="54"/>
      <x:c r="D118" s="15"/>
      <x:c r="E118" s="15"/>
      <x:c r="F118" s="15"/>
      <x:c r="G118" s="15"/>
      <x:c r="H118" s="15"/>
      <x:c r="I118" s="15"/>
      <x:c r="J118" s="15"/>
      <x:c r="K118" s="15"/>
    </x:row>
    <x:row r="119">
      <x:c r="A119" s="15"/>
      <x:c r="B119" s="15"/>
      <x:c r="C119" s="54"/>
      <x:c r="D119" s="15"/>
      <x:c r="E119" s="15"/>
      <x:c r="F119" s="15"/>
      <x:c r="G119" s="15"/>
      <x:c r="H119" s="15"/>
      <x:c r="I119" s="15"/>
      <x:c r="J119" s="15"/>
      <x:c r="K119" s="15"/>
    </x:row>
    <x:row r="120">
      <x:c r="A120" s="15"/>
      <x:c r="B120" s="15"/>
      <x:c r="C120" s="54"/>
      <x:c r="D120" s="15"/>
      <x:c r="E120" s="15"/>
      <x:c r="F120" s="15"/>
      <x:c r="G120" s="15"/>
      <x:c r="H120" s="15"/>
      <x:c r="I120" s="15"/>
      <x:c r="J120" s="15"/>
      <x:c r="K120" s="15"/>
    </x:row>
    <x:row r="121">
      <x:c r="A121" s="15"/>
      <x:c r="B121" s="15"/>
      <x:c r="C121" s="54"/>
      <x:c r="D121" s="15"/>
      <x:c r="E121" s="15"/>
      <x:c r="F121" s="15"/>
      <x:c r="G121" s="15"/>
      <x:c r="H121" s="15"/>
      <x:c r="I121" s="15"/>
      <x:c r="J121" s="15"/>
      <x:c r="K121" s="15"/>
    </x:row>
    <x:row r="122">
      <x:c r="A122" s="15"/>
      <x:c r="B122" s="15"/>
      <x:c r="C122" s="54"/>
      <x:c r="D122" s="15"/>
      <x:c r="E122" s="15"/>
      <x:c r="F122" s="15"/>
      <x:c r="G122" s="15"/>
      <x:c r="H122" s="15"/>
      <x:c r="I122" s="15"/>
      <x:c r="J122" s="15"/>
      <x:c r="K122" s="15"/>
    </x:row>
    <x:row r="123">
      <x:c r="A123" s="15"/>
      <x:c r="B123" s="15"/>
      <x:c r="C123" s="54"/>
      <x:c r="D123" s="15"/>
      <x:c r="E123" s="15"/>
      <x:c r="F123" s="15"/>
      <x:c r="G123" s="15"/>
      <x:c r="H123" s="15"/>
      <x:c r="I123" s="15"/>
      <x:c r="J123" s="15"/>
      <x:c r="K123" s="15"/>
    </x:row>
    <x:row r="124">
      <x:c r="A124" s="15"/>
      <x:c r="B124" s="15"/>
      <x:c r="C124" s="54"/>
      <x:c r="D124" s="15"/>
      <x:c r="E124" s="15"/>
      <x:c r="F124" s="15"/>
      <x:c r="G124" s="15"/>
      <x:c r="H124" s="15"/>
      <x:c r="I124" s="15"/>
      <x:c r="J124" s="15"/>
      <x:c r="K124" s="15"/>
    </x:row>
    <x:row r="125">
      <x:c r="A125" s="15"/>
      <x:c r="B125" s="15"/>
      <x:c r="C125" s="54"/>
      <x:c r="D125" s="15"/>
      <x:c r="E125" s="15"/>
      <x:c r="F125" s="15"/>
      <x:c r="G125" s="15"/>
      <x:c r="H125" s="15"/>
      <x:c r="I125" s="15"/>
      <x:c r="J125" s="15"/>
      <x:c r="K125" s="15"/>
    </x:row>
    <x:row r="126">
      <x:c r="A126" s="15"/>
      <x:c r="B126" s="15"/>
      <x:c r="C126" s="54"/>
      <x:c r="D126" s="15"/>
      <x:c r="E126" s="15"/>
      <x:c r="F126" s="15"/>
      <x:c r="G126" s="15"/>
      <x:c r="H126" s="15"/>
      <x:c r="I126" s="15"/>
      <x:c r="J126" s="15"/>
      <x:c r="K126" s="15"/>
    </x:row>
    <x:row r="127">
      <x:c r="A127" s="15"/>
      <x:c r="B127" s="15"/>
      <x:c r="C127" s="54"/>
      <x:c r="D127" s="15"/>
      <x:c r="E127" s="15"/>
      <x:c r="F127" s="15"/>
      <x:c r="G127" s="15"/>
      <x:c r="H127" s="15"/>
      <x:c r="I127" s="15"/>
      <x:c r="J127" s="15"/>
      <x:c r="K127" s="15"/>
    </x:row>
    <x:row r="128">
      <x:c r="A128" s="15"/>
      <x:c r="B128" s="15"/>
      <x:c r="C128" s="54"/>
      <x:c r="D128" s="15"/>
      <x:c r="E128" s="15"/>
      <x:c r="F128" s="15"/>
      <x:c r="G128" s="15"/>
      <x:c r="H128" s="15"/>
      <x:c r="I128" s="15"/>
      <x:c r="J128" s="15"/>
      <x:c r="K128" s="15"/>
    </x:row>
    <x:row r="129">
      <x:c r="A129" s="15"/>
      <x:c r="B129" s="15"/>
      <x:c r="C129" s="54"/>
      <x:c r="D129" s="15"/>
      <x:c r="E129" s="15"/>
      <x:c r="F129" s="15"/>
      <x:c r="G129" s="15"/>
      <x:c r="H129" s="15"/>
      <x:c r="I129" s="15"/>
      <x:c r="J129" s="15"/>
      <x:c r="K129" s="15"/>
    </x:row>
    <x:row r="130">
      <x:c r="A130" s="15"/>
      <x:c r="B130" s="15"/>
      <x:c r="C130" s="54"/>
      <x:c r="D130" s="15"/>
      <x:c r="E130" s="15"/>
      <x:c r="F130" s="15"/>
      <x:c r="G130" s="15"/>
      <x:c r="H130" s="15"/>
      <x:c r="I130" s="15"/>
      <x:c r="J130" s="15"/>
      <x:c r="K130" s="15"/>
    </x:row>
    <x:row r="131">
      <x:c r="A131" s="15"/>
      <x:c r="B131" s="15"/>
      <x:c r="C131" s="54"/>
      <x:c r="D131" s="15"/>
      <x:c r="E131" s="15"/>
      <x:c r="F131" s="15"/>
      <x:c r="G131" s="15"/>
      <x:c r="H131" s="15"/>
      <x:c r="I131" s="15"/>
      <x:c r="J131" s="15"/>
      <x:c r="K131" s="15"/>
    </x:row>
    <x:row r="132">
      <x:c r="A132" s="15"/>
      <x:c r="B132" s="15"/>
      <x:c r="C132" s="54"/>
      <x:c r="D132" s="15"/>
      <x:c r="E132" s="15"/>
      <x:c r="F132" s="15"/>
      <x:c r="G132" s="15"/>
      <x:c r="H132" s="15"/>
      <x:c r="I132" s="15"/>
      <x:c r="J132" s="15"/>
      <x:c r="K132" s="15"/>
    </x:row>
    <x:row r="133">
      <x:c r="A133" s="15"/>
      <x:c r="B133" s="15"/>
      <x:c r="C133" s="54"/>
      <x:c r="D133" s="15"/>
      <x:c r="E133" s="15"/>
      <x:c r="F133" s="15"/>
      <x:c r="G133" s="15"/>
      <x:c r="H133" s="15"/>
      <x:c r="I133" s="15"/>
      <x:c r="J133" s="15"/>
      <x:c r="K133" s="15"/>
    </x:row>
    <x:row r="134">
      <x:c r="A134" s="15"/>
      <x:c r="B134" s="15"/>
      <x:c r="C134" s="54"/>
      <x:c r="D134" s="15"/>
      <x:c r="E134" s="15"/>
      <x:c r="F134" s="15"/>
      <x:c r="G134" s="15"/>
      <x:c r="H134" s="15"/>
      <x:c r="I134" s="15"/>
      <x:c r="J134" s="15"/>
      <x:c r="K134" s="15"/>
    </x:row>
    <x:row r="135">
      <x:c r="A135" s="15"/>
      <x:c r="B135" s="15"/>
      <x:c r="C135" s="54"/>
      <x:c r="D135" s="15"/>
      <x:c r="E135" s="15"/>
      <x:c r="F135" s="15"/>
      <x:c r="G135" s="15"/>
      <x:c r="H135" s="15"/>
      <x:c r="I135" s="15"/>
      <x:c r="J135" s="15"/>
      <x:c r="K135" s="15"/>
    </x:row>
    <x:row r="136">
      <x:c r="A136" s="15"/>
      <x:c r="B136" s="15"/>
      <x:c r="C136" s="54"/>
      <x:c r="D136" s="15"/>
      <x:c r="E136" s="15"/>
      <x:c r="F136" s="15"/>
      <x:c r="G136" s="15"/>
      <x:c r="H136" s="15"/>
      <x:c r="I136" s="15"/>
      <x:c r="J136" s="15"/>
      <x:c r="K136" s="15"/>
    </x:row>
    <x:row r="137">
      <x:c r="A137" s="15"/>
      <x:c r="B137" s="15"/>
      <x:c r="C137" s="54"/>
      <x:c r="D137" s="15"/>
      <x:c r="E137" s="15"/>
      <x:c r="F137" s="15"/>
      <x:c r="G137" s="15"/>
      <x:c r="H137" s="15"/>
      <x:c r="I137" s="15"/>
      <x:c r="J137" s="15"/>
      <x:c r="K137" s="15"/>
    </x:row>
    <x:row r="138">
      <x:c r="A138" s="15"/>
      <x:c r="B138" s="15"/>
      <x:c r="C138" s="54"/>
      <x:c r="D138" s="15"/>
      <x:c r="E138" s="15"/>
      <x:c r="F138" s="15"/>
      <x:c r="G138" s="15"/>
      <x:c r="H138" s="15"/>
      <x:c r="I138" s="15"/>
      <x:c r="J138" s="15"/>
      <x:c r="K138" s="15"/>
    </x:row>
    <x:row r="139">
      <x:c r="A139" s="15"/>
      <x:c r="B139" s="15"/>
      <x:c r="C139" s="54"/>
      <x:c r="D139" s="15"/>
      <x:c r="E139" s="15"/>
      <x:c r="F139" s="15"/>
      <x:c r="G139" s="15"/>
      <x:c r="H139" s="15"/>
      <x:c r="I139" s="15"/>
      <x:c r="J139" s="15"/>
      <x:c r="K139" s="15"/>
    </x:row>
    <x:row r="140">
      <x:c r="A140" s="15"/>
      <x:c r="B140" s="15"/>
      <x:c r="C140" s="54"/>
      <x:c r="D140" s="15"/>
      <x:c r="E140" s="15"/>
      <x:c r="F140" s="15"/>
      <x:c r="G140" s="15"/>
      <x:c r="H140" s="15"/>
      <x:c r="I140" s="15"/>
      <x:c r="J140" s="15"/>
      <x:c r="K140" s="15"/>
    </x:row>
    <x:row r="141">
      <x:c r="A141" s="15"/>
      <x:c r="B141" s="15"/>
      <x:c r="C141" s="54"/>
      <x:c r="D141" s="15"/>
      <x:c r="E141" s="15"/>
      <x:c r="F141" s="15"/>
      <x:c r="G141" s="15"/>
      <x:c r="H141" s="15"/>
      <x:c r="I141" s="15"/>
      <x:c r="J141" s="15"/>
      <x:c r="K141" s="15"/>
    </x:row>
    <x:row r="142">
      <x:c r="A142" s="15"/>
      <x:c r="B142" s="15"/>
      <x:c r="C142" s="54"/>
      <x:c r="D142" s="15"/>
      <x:c r="E142" s="15"/>
      <x:c r="F142" s="15"/>
      <x:c r="G142" s="15"/>
      <x:c r="H142" s="15"/>
      <x:c r="I142" s="15"/>
      <x:c r="J142" s="15"/>
      <x:c r="K142" s="15"/>
    </x:row>
    <x:row r="143">
      <x:c r="A143" s="15"/>
      <x:c r="B143" s="15"/>
      <x:c r="C143" s="54"/>
      <x:c r="D143" s="15"/>
      <x:c r="E143" s="15"/>
      <x:c r="F143" s="15"/>
      <x:c r="G143" s="15"/>
      <x:c r="H143" s="15"/>
      <x:c r="I143" s="15"/>
      <x:c r="J143" s="15"/>
      <x:c r="K143" s="15"/>
    </x:row>
    <x:row r="144">
      <x:c r="A144" s="15"/>
      <x:c r="B144" s="15"/>
      <x:c r="C144" s="54"/>
      <x:c r="D144" s="15"/>
      <x:c r="E144" s="15"/>
      <x:c r="F144" s="15"/>
      <x:c r="G144" s="15"/>
      <x:c r="H144" s="15"/>
      <x:c r="I144" s="15"/>
      <x:c r="J144" s="15"/>
      <x:c r="K144" s="15"/>
    </x:row>
    <x:row r="145">
      <x:c r="A145" s="15"/>
      <x:c r="B145" s="15"/>
      <x:c r="C145" s="54"/>
      <x:c r="D145" s="15"/>
      <x:c r="E145" s="15"/>
      <x:c r="F145" s="15"/>
      <x:c r="G145" s="15"/>
      <x:c r="H145" s="15"/>
      <x:c r="I145" s="15"/>
      <x:c r="J145" s="15"/>
      <x:c r="K145" s="15"/>
    </x:row>
    <x:row r="146">
      <x:c r="A146" s="15"/>
      <x:c r="B146" s="15"/>
      <x:c r="C146" s="54"/>
      <x:c r="D146" s="15"/>
      <x:c r="E146" s="15"/>
      <x:c r="F146" s="15"/>
      <x:c r="G146" s="15"/>
      <x:c r="H146" s="15"/>
      <x:c r="I146" s="15"/>
      <x:c r="J146" s="15"/>
      <x:c r="K146" s="15"/>
    </x:row>
    <x:row r="147">
      <x:c r="A147" s="15"/>
      <x:c r="B147" s="15"/>
      <x:c r="C147" s="54"/>
      <x:c r="D147" s="15"/>
      <x:c r="E147" s="15"/>
      <x:c r="F147" s="15"/>
      <x:c r="G147" s="15"/>
      <x:c r="H147" s="15"/>
      <x:c r="I147" s="15"/>
      <x:c r="J147" s="15"/>
      <x:c r="K147" s="15"/>
    </x:row>
    <x:row r="148">
      <x:c r="A148" s="15"/>
      <x:c r="B148" s="15"/>
      <x:c r="C148" s="54"/>
      <x:c r="D148" s="15"/>
      <x:c r="E148" s="15"/>
      <x:c r="F148" s="15"/>
      <x:c r="G148" s="15"/>
      <x:c r="H148" s="15"/>
      <x:c r="I148" s="15"/>
      <x:c r="J148" s="15"/>
      <x:c r="K148" s="15"/>
    </x:row>
    <x:row r="149">
      <x:c r="A149" s="15"/>
      <x:c r="B149" s="15"/>
      <x:c r="C149" s="54"/>
      <x:c r="D149" s="15"/>
      <x:c r="E149" s="15"/>
      <x:c r="F149" s="15"/>
      <x:c r="G149" s="15"/>
      <x:c r="H149" s="15"/>
      <x:c r="I149" s="15"/>
      <x:c r="J149" s="15"/>
      <x:c r="K149" s="15"/>
    </x:row>
    <x:row r="150">
      <x:c r="A150" s="15"/>
      <x:c r="B150" s="15"/>
      <x:c r="C150" s="54"/>
      <x:c r="D150" s="15"/>
      <x:c r="E150" s="15"/>
      <x:c r="F150" s="15"/>
      <x:c r="G150" s="15"/>
      <x:c r="H150" s="15"/>
      <x:c r="I150" s="15"/>
      <x:c r="J150" s="15"/>
      <x:c r="K150" s="15"/>
    </x:row>
    <x:row r="151">
      <x:c r="A151" s="15"/>
      <x:c r="B151" s="15"/>
      <x:c r="C151" s="54"/>
      <x:c r="D151" s="15"/>
      <x:c r="E151" s="15"/>
      <x:c r="F151" s="15"/>
      <x:c r="G151" s="15"/>
      <x:c r="H151" s="15"/>
      <x:c r="I151" s="15"/>
      <x:c r="J151" s="15"/>
      <x:c r="K151" s="15"/>
    </x:row>
    <x:row r="152">
      <x:c r="A152" s="15"/>
      <x:c r="B152" s="15"/>
      <x:c r="C152" s="54"/>
      <x:c r="D152" s="15"/>
      <x:c r="E152" s="15"/>
      <x:c r="F152" s="15"/>
      <x:c r="G152" s="15"/>
      <x:c r="H152" s="15"/>
      <x:c r="I152" s="15"/>
      <x:c r="J152" s="15"/>
      <x:c r="K152" s="15"/>
    </x:row>
    <x:row r="153">
      <x:c r="A153" s="15"/>
      <x:c r="B153" s="15"/>
      <x:c r="C153" s="54"/>
      <x:c r="D153" s="15"/>
      <x:c r="E153" s="15"/>
      <x:c r="F153" s="15"/>
      <x:c r="G153" s="15"/>
      <x:c r="H153" s="15"/>
      <x:c r="I153" s="15"/>
      <x:c r="J153" s="15"/>
      <x:c r="K153" s="15"/>
    </x:row>
    <x:row r="154">
      <x:c r="A154" s="15"/>
      <x:c r="B154" s="15"/>
      <x:c r="C154" s="54"/>
      <x:c r="D154" s="15"/>
      <x:c r="E154" s="15"/>
      <x:c r="F154" s="15"/>
      <x:c r="G154" s="15"/>
      <x:c r="H154" s="15"/>
      <x:c r="I154" s="15"/>
      <x:c r="J154" s="15"/>
      <x:c r="K154" s="15"/>
    </x:row>
    <x:row r="155">
      <x:c r="A155" s="15"/>
      <x:c r="B155" s="15"/>
      <x:c r="C155" s="54"/>
      <x:c r="D155" s="15"/>
      <x:c r="E155" s="15"/>
      <x:c r="F155" s="15"/>
      <x:c r="G155" s="15"/>
      <x:c r="H155" s="15"/>
      <x:c r="I155" s="15"/>
      <x:c r="J155" s="15"/>
      <x:c r="K155" s="15"/>
    </x:row>
    <x:row r="156">
      <x:c r="A156" s="15"/>
      <x:c r="B156" s="15"/>
      <x:c r="C156" s="54"/>
      <x:c r="D156" s="15"/>
      <x:c r="E156" s="15"/>
      <x:c r="F156" s="15"/>
      <x:c r="G156" s="15"/>
      <x:c r="H156" s="15"/>
      <x:c r="I156" s="15"/>
      <x:c r="J156" s="15"/>
      <x:c r="K156" s="15"/>
    </x:row>
    <x:row r="157">
      <x:c r="A157" s="15"/>
      <x:c r="B157" s="15"/>
      <x:c r="C157" s="54"/>
      <x:c r="D157" s="15"/>
      <x:c r="E157" s="15"/>
      <x:c r="F157" s="15"/>
      <x:c r="G157" s="15"/>
      <x:c r="H157" s="15"/>
      <x:c r="I157" s="15"/>
      <x:c r="J157" s="15"/>
      <x:c r="K157" s="15"/>
    </x:row>
    <x:row r="158">
      <x:c r="A158" s="15"/>
      <x:c r="B158" s="15"/>
      <x:c r="C158" s="54"/>
      <x:c r="D158" s="15"/>
      <x:c r="E158" s="15"/>
      <x:c r="F158" s="15"/>
      <x:c r="G158" s="15"/>
      <x:c r="H158" s="15"/>
      <x:c r="I158" s="15"/>
      <x:c r="J158" s="15"/>
      <x:c r="K158" s="15"/>
    </x:row>
    <x:row r="159">
      <x:c r="A159" s="15"/>
      <x:c r="B159" s="15"/>
      <x:c r="C159" s="54"/>
      <x:c r="D159" s="15"/>
      <x:c r="E159" s="15"/>
      <x:c r="F159" s="15"/>
      <x:c r="G159" s="15"/>
      <x:c r="H159" s="15"/>
      <x:c r="I159" s="15"/>
      <x:c r="J159" s="15"/>
      <x:c r="K159" s="15"/>
    </x:row>
    <x:row r="160">
      <x:c r="A160" s="15"/>
      <x:c r="B160" s="15"/>
      <x:c r="C160" s="54"/>
      <x:c r="D160" s="15"/>
      <x:c r="E160" s="15"/>
      <x:c r="F160" s="15"/>
      <x:c r="G160" s="15"/>
      <x:c r="H160" s="15"/>
      <x:c r="I160" s="15"/>
      <x:c r="J160" s="15"/>
      <x:c r="K160" s="15"/>
    </x:row>
    <x:row r="161">
      <x:c r="A161" s="15"/>
      <x:c r="B161" s="15"/>
      <x:c r="C161" s="54"/>
      <x:c r="D161" s="15"/>
      <x:c r="E161" s="15"/>
      <x:c r="F161" s="15"/>
      <x:c r="G161" s="15"/>
      <x:c r="H161" s="15"/>
      <x:c r="I161" s="15"/>
      <x:c r="J161" s="15"/>
      <x:c r="K161" s="15"/>
    </x:row>
    <x:row r="162">
      <x:c r="A162" s="15"/>
      <x:c r="B162" s="15"/>
      <x:c r="C162" s="54"/>
      <x:c r="D162" s="15"/>
      <x:c r="E162" s="15"/>
      <x:c r="F162" s="15"/>
      <x:c r="G162" s="15"/>
      <x:c r="H162" s="15"/>
      <x:c r="I162" s="15"/>
      <x:c r="J162" s="15"/>
      <x:c r="K162" s="15"/>
    </x:row>
    <x:row r="163">
      <x:c r="A163" s="15"/>
      <x:c r="B163" s="15"/>
      <x:c r="C163" s="54"/>
      <x:c r="D163" s="15"/>
      <x:c r="E163" s="15"/>
      <x:c r="F163" s="15"/>
      <x:c r="G163" s="15"/>
      <x:c r="H163" s="15"/>
      <x:c r="I163" s="15"/>
      <x:c r="J163" s="15"/>
      <x:c r="K163" s="15"/>
    </x:row>
    <x:row r="164">
      <x:c r="A164" s="15"/>
      <x:c r="B164" s="15"/>
      <x:c r="C164" s="54"/>
      <x:c r="D164" s="15"/>
      <x:c r="E164" s="15"/>
      <x:c r="F164" s="15"/>
      <x:c r="G164" s="15"/>
      <x:c r="H164" s="15"/>
      <x:c r="I164" s="15"/>
      <x:c r="J164" s="15"/>
      <x:c r="K164" s="15"/>
    </x:row>
    <x:row r="165">
      <x:c r="A165" s="15"/>
      <x:c r="B165" s="15"/>
      <x:c r="C165" s="54"/>
      <x:c r="D165" s="15"/>
      <x:c r="E165" s="15"/>
      <x:c r="F165" s="15"/>
      <x:c r="G165" s="15"/>
      <x:c r="H165" s="15"/>
      <x:c r="I165" s="15"/>
      <x:c r="J165" s="15"/>
      <x:c r="K165" s="15"/>
    </x:row>
    <x:row r="166">
      <x:c r="A166" s="15"/>
      <x:c r="B166" s="15"/>
      <x:c r="C166" s="54"/>
      <x:c r="D166" s="15"/>
      <x:c r="E166" s="15"/>
      <x:c r="F166" s="15"/>
      <x:c r="G166" s="15"/>
      <x:c r="H166" s="15"/>
      <x:c r="I166" s="15"/>
      <x:c r="J166" s="15"/>
      <x:c r="K166" s="15"/>
    </x:row>
    <x:row r="167">
      <x:c r="A167" s="15"/>
      <x:c r="B167" s="15"/>
      <x:c r="C167" s="54"/>
      <x:c r="D167" s="15"/>
      <x:c r="E167" s="15"/>
      <x:c r="F167" s="15"/>
      <x:c r="G167" s="15"/>
      <x:c r="H167" s="15"/>
      <x:c r="I167" s="15"/>
      <x:c r="J167" s="15"/>
      <x:c r="K167" s="15"/>
    </x:row>
    <x:row r="168">
      <x:c r="A168" s="15"/>
      <x:c r="B168" s="15"/>
      <x:c r="C168" s="54"/>
      <x:c r="D168" s="15"/>
      <x:c r="E168" s="15"/>
      <x:c r="F168" s="15"/>
      <x:c r="G168" s="15"/>
      <x:c r="H168" s="15"/>
      <x:c r="I168" s="15"/>
      <x:c r="J168" s="15"/>
      <x:c r="K168" s="15"/>
    </x:row>
    <x:row r="169">
      <x:c r="A169" s="15"/>
      <x:c r="B169" s="15"/>
      <x:c r="C169" s="54"/>
      <x:c r="D169" s="15"/>
      <x:c r="E169" s="15"/>
      <x:c r="F169" s="15"/>
      <x:c r="G169" s="15"/>
      <x:c r="H169" s="15"/>
      <x:c r="I169" s="15"/>
      <x:c r="J169" s="15"/>
      <x:c r="K169" s="15"/>
    </x:row>
    <x:row r="170">
      <x:c r="A170" s="15"/>
      <x:c r="B170" s="15"/>
      <x:c r="C170" s="54"/>
      <x:c r="D170" s="15"/>
      <x:c r="E170" s="15"/>
      <x:c r="F170" s="15"/>
      <x:c r="G170" s="15"/>
      <x:c r="H170" s="15"/>
      <x:c r="I170" s="15"/>
      <x:c r="J170" s="15"/>
      <x:c r="K170" s="15"/>
    </x:row>
    <x:row r="171">
      <x:c r="A171" s="15"/>
      <x:c r="B171" s="15"/>
      <x:c r="C171" s="54"/>
      <x:c r="D171" s="15"/>
      <x:c r="E171" s="15"/>
      <x:c r="F171" s="15"/>
      <x:c r="G171" s="15"/>
      <x:c r="H171" s="15"/>
      <x:c r="I171" s="15"/>
      <x:c r="J171" s="15"/>
      <x:c r="K171" s="15"/>
    </x:row>
    <x:row r="172">
      <x:c r="A172" s="15"/>
      <x:c r="B172" s="15"/>
      <x:c r="C172" s="54"/>
      <x:c r="D172" s="15"/>
      <x:c r="E172" s="15"/>
      <x:c r="F172" s="15"/>
      <x:c r="G172" s="15"/>
      <x:c r="H172" s="15"/>
      <x:c r="I172" s="15"/>
      <x:c r="J172" s="15"/>
      <x:c r="K172" s="15"/>
    </x:row>
    <x:row r="173">
      <x:c r="A173" s="15"/>
      <x:c r="B173" s="15"/>
      <x:c r="C173" s="54"/>
      <x:c r="D173" s="15"/>
      <x:c r="E173" s="15"/>
      <x:c r="F173" s="15"/>
      <x:c r="G173" s="15"/>
      <x:c r="H173" s="15"/>
      <x:c r="I173" s="15"/>
      <x:c r="J173" s="15"/>
      <x:c r="K173" s="15"/>
    </x:row>
    <x:row r="174">
      <x:c r="A174" s="15"/>
      <x:c r="B174" s="15"/>
      <x:c r="C174" s="54"/>
      <x:c r="D174" s="15"/>
      <x:c r="E174" s="15"/>
      <x:c r="F174" s="15"/>
      <x:c r="G174" s="15"/>
      <x:c r="H174" s="15"/>
      <x:c r="I174" s="15"/>
      <x:c r="J174" s="15"/>
      <x:c r="K174" s="15"/>
    </x:row>
    <x:row r="175">
      <x:c r="A175" s="15"/>
      <x:c r="B175" s="15"/>
      <x:c r="C175" s="54"/>
      <x:c r="D175" s="15"/>
      <x:c r="E175" s="15"/>
      <x:c r="F175" s="15"/>
      <x:c r="G175" s="15"/>
      <x:c r="H175" s="15"/>
      <x:c r="I175" s="15"/>
      <x:c r="J175" s="15"/>
      <x:c r="K175" s="15"/>
    </x:row>
    <x:row r="176">
      <x:c r="A176" s="15"/>
      <x:c r="B176" s="15"/>
      <x:c r="C176" s="54"/>
      <x:c r="D176" s="15"/>
      <x:c r="E176" s="15"/>
      <x:c r="F176" s="15"/>
      <x:c r="G176" s="15"/>
      <x:c r="H176" s="15"/>
      <x:c r="I176" s="15"/>
      <x:c r="J176" s="15"/>
      <x:c r="K176" s="15"/>
    </x:row>
    <x:row r="177">
      <x:c r="A177" s="15"/>
      <x:c r="B177" s="15"/>
      <x:c r="C177" s="54"/>
      <x:c r="D177" s="15"/>
      <x:c r="E177" s="15"/>
      <x:c r="F177" s="15"/>
      <x:c r="G177" s="15"/>
      <x:c r="H177" s="15"/>
      <x:c r="I177" s="15"/>
      <x:c r="J177" s="15"/>
      <x:c r="K177" s="15"/>
    </x:row>
    <x:row r="178">
      <x:c r="A178" s="15"/>
      <x:c r="B178" s="15"/>
      <x:c r="C178" s="54"/>
      <x:c r="D178" s="15"/>
      <x:c r="E178" s="15"/>
      <x:c r="F178" s="15"/>
      <x:c r="G178" s="15"/>
      <x:c r="H178" s="15"/>
      <x:c r="I178" s="15"/>
      <x:c r="J178" s="15"/>
      <x:c r="K178" s="15"/>
    </x:row>
    <x:row r="179">
      <x:c r="A179" s="15"/>
      <x:c r="B179" s="15"/>
      <x:c r="C179" s="54"/>
      <x:c r="D179" s="15"/>
      <x:c r="E179" s="15"/>
      <x:c r="F179" s="15"/>
      <x:c r="G179" s="15"/>
      <x:c r="H179" s="15"/>
      <x:c r="I179" s="15"/>
      <x:c r="J179" s="15"/>
      <x:c r="K179" s="15"/>
    </x:row>
    <x:row r="180">
      <x:c r="A180" s="15"/>
      <x:c r="B180" s="15"/>
      <x:c r="C180" s="54"/>
      <x:c r="D180" s="15"/>
      <x:c r="E180" s="15"/>
      <x:c r="F180" s="15"/>
      <x:c r="G180" s="15"/>
      <x:c r="H180" s="15"/>
      <x:c r="I180" s="15"/>
      <x:c r="J180" s="15"/>
      <x:c r="K180" s="15"/>
    </x:row>
    <x:row r="181">
      <x:c r="A181" s="15"/>
      <x:c r="B181" s="15"/>
      <x:c r="C181" s="54"/>
      <x:c r="D181" s="15"/>
      <x:c r="E181" s="15"/>
      <x:c r="F181" s="15"/>
      <x:c r="G181" s="15"/>
      <x:c r="H181" s="15"/>
      <x:c r="I181" s="15"/>
      <x:c r="J181" s="15"/>
      <x:c r="K181" s="15"/>
    </x:row>
    <x:row r="182">
      <x:c r="A182" s="15"/>
      <x:c r="B182" s="15"/>
      <x:c r="C182" s="54"/>
      <x:c r="D182" s="15"/>
      <x:c r="E182" s="15"/>
      <x:c r="F182" s="15"/>
      <x:c r="G182" s="15"/>
      <x:c r="H182" s="15"/>
      <x:c r="I182" s="15"/>
      <x:c r="J182" s="15"/>
      <x:c r="K182" s="15"/>
    </x:row>
    <x:row r="183">
      <x:c r="A183" s="15"/>
      <x:c r="B183" s="15"/>
      <x:c r="C183" s="54"/>
      <x:c r="D183" s="15"/>
      <x:c r="E183" s="15"/>
      <x:c r="F183" s="15"/>
      <x:c r="G183" s="15"/>
      <x:c r="H183" s="15"/>
      <x:c r="I183" s="15"/>
      <x:c r="J183" s="15"/>
      <x:c r="K183" s="15"/>
    </x:row>
    <x:row r="184">
      <x:c r="A184" s="15"/>
      <x:c r="B184" s="15"/>
      <x:c r="C184" s="54"/>
      <x:c r="D184" s="15"/>
      <x:c r="E184" s="15"/>
      <x:c r="F184" s="15"/>
      <x:c r="G184" s="15"/>
      <x:c r="H184" s="15"/>
      <x:c r="I184" s="15"/>
      <x:c r="J184" s="15"/>
      <x:c r="K184" s="15"/>
    </x:row>
    <x:row r="185">
      <x:c r="A185" s="15"/>
      <x:c r="B185" s="15"/>
      <x:c r="C185" s="54"/>
      <x:c r="D185" s="15"/>
      <x:c r="E185" s="15"/>
      <x:c r="F185" s="15"/>
      <x:c r="G185" s="15"/>
      <x:c r="H185" s="15"/>
      <x:c r="I185" s="15"/>
      <x:c r="J185" s="15"/>
      <x:c r="K185" s="15"/>
    </x:row>
    <x:row r="186">
      <x:c r="A186" s="15"/>
      <x:c r="B186" s="15"/>
      <x:c r="C186" s="54"/>
      <x:c r="D186" s="15"/>
      <x:c r="E186" s="15"/>
      <x:c r="F186" s="15"/>
      <x:c r="G186" s="15"/>
      <x:c r="H186" s="15"/>
      <x:c r="I186" s="15"/>
      <x:c r="J186" s="15"/>
      <x:c r="K186" s="15"/>
    </x:row>
    <x:row r="187">
      <x:c r="A187" s="15"/>
      <x:c r="B187" s="15"/>
      <x:c r="C187" s="54"/>
      <x:c r="D187" s="15"/>
      <x:c r="E187" s="15"/>
      <x:c r="F187" s="15"/>
      <x:c r="G187" s="15"/>
      <x:c r="H187" s="15"/>
      <x:c r="I187" s="15"/>
      <x:c r="J187" s="15"/>
      <x:c r="K187" s="15"/>
    </x:row>
    <x:row r="188">
      <x:c r="A188" s="15"/>
      <x:c r="B188" s="15"/>
      <x:c r="C188" s="54"/>
      <x:c r="D188" s="15"/>
      <x:c r="E188" s="15"/>
      <x:c r="F188" s="15"/>
      <x:c r="G188" s="15"/>
      <x:c r="H188" s="15"/>
      <x:c r="I188" s="15"/>
      <x:c r="J188" s="15"/>
      <x:c r="K188" s="15"/>
    </x:row>
    <x:row r="189">
      <x:c r="A189" s="15"/>
      <x:c r="B189" s="15"/>
      <x:c r="C189" s="54"/>
      <x:c r="D189" s="15"/>
      <x:c r="E189" s="15"/>
      <x:c r="F189" s="15"/>
      <x:c r="G189" s="15"/>
      <x:c r="H189" s="15"/>
      <x:c r="I189" s="15"/>
      <x:c r="J189" s="15"/>
      <x:c r="K189" s="15"/>
    </x:row>
    <x:row r="190">
      <x:c r="A190" s="15"/>
      <x:c r="B190" s="15"/>
      <x:c r="C190" s="54"/>
      <x:c r="D190" s="15"/>
      <x:c r="E190" s="15"/>
      <x:c r="F190" s="15"/>
      <x:c r="G190" s="15"/>
      <x:c r="H190" s="15"/>
      <x:c r="I190" s="15"/>
      <x:c r="J190" s="15"/>
      <x:c r="K190" s="15"/>
    </x:row>
    <x:row r="191">
      <x:c r="A191" s="15"/>
      <x:c r="B191" s="15"/>
      <x:c r="C191" s="54"/>
      <x:c r="D191" s="15"/>
      <x:c r="E191" s="15"/>
      <x:c r="F191" s="15"/>
      <x:c r="G191" s="15"/>
      <x:c r="H191" s="15"/>
      <x:c r="I191" s="15"/>
      <x:c r="J191" s="15"/>
      <x:c r="K191" s="15"/>
    </x:row>
    <x:row r="192">
      <x:c r="A192" s="15"/>
      <x:c r="B192" s="15"/>
      <x:c r="C192" s="54"/>
      <x:c r="D192" s="15"/>
      <x:c r="E192" s="15"/>
      <x:c r="F192" s="15"/>
      <x:c r="G192" s="15"/>
      <x:c r="H192" s="15"/>
      <x:c r="I192" s="15"/>
      <x:c r="J192" s="15"/>
      <x:c r="K192" s="15"/>
    </x:row>
    <x:row r="193">
      <x:c r="A193" s="15"/>
      <x:c r="B193" s="15"/>
      <x:c r="C193" s="54"/>
      <x:c r="D193" s="15"/>
      <x:c r="E193" s="15"/>
      <x:c r="F193" s="15"/>
      <x:c r="G193" s="15"/>
      <x:c r="H193" s="15"/>
      <x:c r="I193" s="15"/>
      <x:c r="J193" s="15"/>
      <x:c r="K193" s="15"/>
    </x:row>
    <x:row r="194">
      <x:c r="A194" s="15"/>
      <x:c r="B194" s="15"/>
      <x:c r="C194" s="54"/>
      <x:c r="D194" s="15"/>
      <x:c r="E194" s="15"/>
      <x:c r="F194" s="15"/>
      <x:c r="G194" s="15"/>
      <x:c r="H194" s="15"/>
      <x:c r="I194" s="15"/>
      <x:c r="J194" s="15"/>
      <x:c r="K194" s="15"/>
    </x:row>
    <x:row r="195">
      <x:c r="A195" s="15"/>
      <x:c r="B195" s="15"/>
      <x:c r="C195" s="54"/>
      <x:c r="D195" s="15"/>
      <x:c r="E195" s="15"/>
      <x:c r="F195" s="15"/>
      <x:c r="G195" s="15"/>
      <x:c r="H195" s="15"/>
      <x:c r="I195" s="15"/>
      <x:c r="J195" s="15"/>
      <x:c r="K195" s="15"/>
    </x:row>
    <x:row r="196">
      <x:c r="A196" s="15"/>
      <x:c r="B196" s="15"/>
      <x:c r="C196" s="54"/>
      <x:c r="D196" s="15"/>
      <x:c r="E196" s="15"/>
      <x:c r="F196" s="15"/>
      <x:c r="G196" s="15"/>
      <x:c r="H196" s="15"/>
      <x:c r="I196" s="15"/>
      <x:c r="J196" s="15"/>
      <x:c r="K196" s="15"/>
    </x:row>
    <x:row r="197">
      <x:c r="A197" s="15"/>
      <x:c r="B197" s="15"/>
      <x:c r="C197" s="54"/>
      <x:c r="D197" s="15"/>
      <x:c r="E197" s="15"/>
      <x:c r="F197" s="15"/>
      <x:c r="G197" s="15"/>
      <x:c r="H197" s="15"/>
      <x:c r="I197" s="15"/>
      <x:c r="J197" s="15"/>
      <x:c r="K197" s="15"/>
    </x:row>
    <x:row r="198">
      <x:c r="A198" s="15"/>
      <x:c r="B198" s="15"/>
      <x:c r="C198" s="54"/>
      <x:c r="D198" s="15"/>
      <x:c r="E198" s="15"/>
      <x:c r="F198" s="15"/>
      <x:c r="G198" s="15"/>
      <x:c r="H198" s="15"/>
      <x:c r="I198" s="15"/>
      <x:c r="J198" s="15"/>
      <x:c r="K198" s="15"/>
    </x:row>
    <x:row r="199">
      <x:c r="A199" s="15"/>
      <x:c r="B199" s="15"/>
      <x:c r="C199" s="54"/>
      <x:c r="D199" s="15"/>
      <x:c r="E199" s="15"/>
      <x:c r="F199" s="15"/>
      <x:c r="G199" s="15"/>
      <x:c r="H199" s="15"/>
      <x:c r="I199" s="15"/>
      <x:c r="J199" s="15"/>
      <x:c r="K199" s="15"/>
    </x:row>
    <x:row r="200">
      <x:c r="A200" s="15"/>
      <x:c r="B200" s="15"/>
      <x:c r="C200" s="54"/>
      <x:c r="D200" s="15"/>
      <x:c r="E200" s="15"/>
      <x:c r="F200" s="15"/>
      <x:c r="G200" s="15"/>
      <x:c r="H200" s="15"/>
      <x:c r="I200" s="15"/>
      <x:c r="J200" s="15"/>
      <x:c r="K200" s="15"/>
    </x:row>
    <x:row r="201">
      <x:c r="A201" s="15"/>
      <x:c r="B201" s="15"/>
      <x:c r="C201" s="54"/>
      <x:c r="D201" s="15"/>
      <x:c r="E201" s="15"/>
      <x:c r="F201" s="15"/>
      <x:c r="G201" s="15"/>
      <x:c r="H201" s="15"/>
      <x:c r="I201" s="15"/>
      <x:c r="J201" s="15"/>
      <x:c r="K201" s="15"/>
    </x:row>
    <x:row r="202">
      <x:c r="A202" s="15"/>
      <x:c r="B202" s="15"/>
      <x:c r="C202" s="54"/>
      <x:c r="D202" s="15"/>
      <x:c r="E202" s="15"/>
      <x:c r="F202" s="15"/>
      <x:c r="G202" s="15"/>
      <x:c r="H202" s="15"/>
      <x:c r="I202" s="15"/>
      <x:c r="J202" s="15"/>
      <x:c r="K202" s="15"/>
    </x:row>
    <x:row r="203">
      <x:c r="A203" s="15"/>
      <x:c r="B203" s="15"/>
      <x:c r="C203" s="54"/>
      <x:c r="D203" s="15"/>
      <x:c r="E203" s="15"/>
      <x:c r="F203" s="15"/>
      <x:c r="G203" s="15"/>
      <x:c r="H203" s="15"/>
      <x:c r="I203" s="15"/>
      <x:c r="J203" s="15"/>
      <x:c r="K203" s="15"/>
    </x:row>
    <x:row r="204">
      <x:c r="A204" s="15"/>
      <x:c r="B204" s="15"/>
      <x:c r="C204" s="54"/>
      <x:c r="D204" s="15"/>
      <x:c r="E204" s="15"/>
      <x:c r="F204" s="15"/>
      <x:c r="G204" s="15"/>
      <x:c r="H204" s="15"/>
      <x:c r="I204" s="15"/>
      <x:c r="J204" s="15"/>
      <x:c r="K204" s="15"/>
    </x:row>
    <x:row r="205">
      <x:c r="A205" s="15"/>
      <x:c r="B205" s="15"/>
      <x:c r="C205" s="54"/>
      <x:c r="D205" s="15"/>
      <x:c r="E205" s="15"/>
      <x:c r="F205" s="15"/>
      <x:c r="G205" s="15"/>
      <x:c r="H205" s="15"/>
      <x:c r="I205" s="15"/>
      <x:c r="J205" s="15"/>
      <x:c r="K205" s="15"/>
    </x:row>
    <x:row r="206">
      <x:c r="A206" s="15"/>
      <x:c r="B206" s="15"/>
      <x:c r="C206" s="54"/>
      <x:c r="D206" s="15"/>
      <x:c r="E206" s="15"/>
      <x:c r="F206" s="15"/>
      <x:c r="G206" s="15"/>
      <x:c r="H206" s="15"/>
      <x:c r="I206" s="15"/>
      <x:c r="J206" s="15"/>
      <x:c r="K206" s="15"/>
    </x:row>
    <x:row r="207">
      <x:c r="A207" s="15"/>
      <x:c r="B207" s="15"/>
      <x:c r="C207" s="54"/>
      <x:c r="D207" s="15"/>
      <x:c r="E207" s="15"/>
      <x:c r="F207" s="15"/>
      <x:c r="G207" s="15"/>
      <x:c r="H207" s="15"/>
      <x:c r="I207" s="15"/>
      <x:c r="J207" s="15"/>
      <x:c r="K207" s="15"/>
    </x:row>
    <x:row r="208">
      <x:c r="A208" s="15"/>
      <x:c r="B208" s="15"/>
      <x:c r="C208" s="54"/>
      <x:c r="D208" s="15"/>
      <x:c r="E208" s="15"/>
      <x:c r="F208" s="15"/>
      <x:c r="G208" s="15"/>
      <x:c r="H208" s="15"/>
      <x:c r="I208" s="15"/>
      <x:c r="J208" s="15"/>
      <x:c r="K208" s="15"/>
    </x:row>
    <x:row r="209">
      <x:c r="A209" s="15"/>
      <x:c r="B209" s="15"/>
      <x:c r="C209" s="54"/>
      <x:c r="D209" s="15"/>
      <x:c r="E209" s="15"/>
      <x:c r="F209" s="15"/>
      <x:c r="G209" s="15"/>
      <x:c r="H209" s="15"/>
      <x:c r="I209" s="15"/>
      <x:c r="J209" s="15"/>
      <x:c r="K209" s="15"/>
    </x:row>
    <x:row r="210">
      <x:c r="A210" s="15"/>
      <x:c r="B210" s="15"/>
      <x:c r="C210" s="54"/>
      <x:c r="D210" s="15"/>
      <x:c r="E210" s="15"/>
      <x:c r="F210" s="15"/>
      <x:c r="G210" s="15"/>
      <x:c r="H210" s="15"/>
      <x:c r="I210" s="15"/>
      <x:c r="J210" s="15"/>
      <x:c r="K210" s="15"/>
    </x:row>
    <x:row r="211">
      <x:c r="A211" s="15"/>
      <x:c r="B211" s="15"/>
      <x:c r="C211" s="54"/>
      <x:c r="D211" s="15"/>
      <x:c r="E211" s="15"/>
      <x:c r="F211" s="15"/>
      <x:c r="G211" s="15"/>
      <x:c r="H211" s="15"/>
      <x:c r="I211" s="15"/>
      <x:c r="J211" s="15"/>
      <x:c r="K211" s="15"/>
    </x:row>
    <x:row r="212">
      <x:c r="A212" s="15"/>
      <x:c r="B212" s="15"/>
      <x:c r="C212" s="54"/>
      <x:c r="D212" s="15"/>
      <x:c r="E212" s="15"/>
      <x:c r="F212" s="15"/>
      <x:c r="G212" s="15"/>
      <x:c r="H212" s="15"/>
      <x:c r="I212" s="15"/>
      <x:c r="J212" s="15"/>
      <x:c r="K212" s="15"/>
    </x:row>
    <x:row r="213">
      <x:c r="A213" s="15"/>
      <x:c r="B213" s="15"/>
      <x:c r="C213" s="54"/>
      <x:c r="D213" s="15"/>
      <x:c r="E213" s="15"/>
      <x:c r="F213" s="15"/>
      <x:c r="G213" s="15"/>
      <x:c r="H213" s="15"/>
      <x:c r="I213" s="15"/>
      <x:c r="J213" s="15"/>
      <x:c r="K213" s="15"/>
    </x:row>
    <x:row r="214">
      <x:c r="A214" s="15"/>
      <x:c r="B214" s="15"/>
      <x:c r="C214" s="54"/>
      <x:c r="D214" s="15"/>
      <x:c r="E214" s="15"/>
      <x:c r="F214" s="15"/>
      <x:c r="G214" s="15"/>
      <x:c r="H214" s="15"/>
      <x:c r="I214" s="15"/>
      <x:c r="J214" s="15"/>
      <x:c r="K214" s="15"/>
    </x:row>
    <x:row r="215">
      <x:c r="A215" s="15"/>
      <x:c r="B215" s="15"/>
      <x:c r="C215" s="54"/>
      <x:c r="D215" s="15"/>
      <x:c r="E215" s="15"/>
      <x:c r="F215" s="15"/>
      <x:c r="G215" s="15"/>
      <x:c r="H215" s="15"/>
      <x:c r="I215" s="15"/>
      <x:c r="J215" s="15"/>
      <x:c r="K215" s="15"/>
    </x:row>
    <x:row r="216">
      <x:c r="A216" s="15"/>
      <x:c r="B216" s="15"/>
      <x:c r="C216" s="54"/>
      <x:c r="D216" s="15"/>
      <x:c r="E216" s="15"/>
      <x:c r="F216" s="15"/>
      <x:c r="G216" s="15"/>
      <x:c r="H216" s="15"/>
      <x:c r="I216" s="15"/>
      <x:c r="J216" s="15"/>
      <x:c r="K216" s="15"/>
    </x:row>
    <x:row r="217">
      <x:c r="A217" s="15"/>
      <x:c r="B217" s="15"/>
      <x:c r="C217" s="54"/>
      <x:c r="D217" s="15"/>
      <x:c r="E217" s="15"/>
      <x:c r="F217" s="15"/>
      <x:c r="G217" s="15"/>
      <x:c r="H217" s="15"/>
      <x:c r="I217" s="15"/>
      <x:c r="J217" s="15"/>
      <x:c r="K217" s="15"/>
    </x:row>
    <x:row r="218">
      <x:c r="A218" s="15"/>
      <x:c r="B218" s="15"/>
      <x:c r="C218" s="54"/>
      <x:c r="D218" s="15"/>
      <x:c r="E218" s="15"/>
      <x:c r="F218" s="15"/>
      <x:c r="G218" s="15"/>
      <x:c r="H218" s="15"/>
      <x:c r="I218" s="15"/>
      <x:c r="J218" s="15"/>
      <x:c r="K218" s="15"/>
    </x:row>
    <x:row r="219">
      <x:c r="A219" s="15"/>
      <x:c r="B219" s="15"/>
      <x:c r="C219" s="54"/>
      <x:c r="D219" s="15"/>
      <x:c r="E219" s="15"/>
      <x:c r="F219" s="15"/>
      <x:c r="G219" s="15"/>
      <x:c r="H219" s="15"/>
      <x:c r="I219" s="15"/>
      <x:c r="J219" s="15"/>
      <x:c r="K219" s="15"/>
    </x:row>
    <x:row r="220">
      <x:c r="A220" s="15"/>
      <x:c r="B220" s="15"/>
      <x:c r="C220" s="54"/>
      <x:c r="D220" s="15"/>
      <x:c r="E220" s="15"/>
      <x:c r="F220" s="15"/>
      <x:c r="G220" s="15"/>
      <x:c r="H220" s="15"/>
      <x:c r="I220" s="15"/>
      <x:c r="J220" s="15"/>
      <x:c r="K220" s="15"/>
    </x:row>
    <x:row r="221">
      <x:c r="A221" s="15"/>
      <x:c r="B221" s="15"/>
      <x:c r="C221" s="54"/>
      <x:c r="D221" s="15"/>
      <x:c r="E221" s="15"/>
      <x:c r="F221" s="15"/>
      <x:c r="G221" s="15"/>
      <x:c r="H221" s="15"/>
      <x:c r="I221" s="15"/>
      <x:c r="J221" s="15"/>
      <x:c r="K221" s="15"/>
    </x:row>
    <x:row r="222">
      <x:c r="A222" s="15"/>
      <x:c r="B222" s="15"/>
      <x:c r="C222" s="54"/>
      <x:c r="D222" s="15"/>
      <x:c r="E222" s="15"/>
      <x:c r="F222" s="15"/>
      <x:c r="G222" s="15"/>
      <x:c r="H222" s="15"/>
      <x:c r="I222" s="15"/>
      <x:c r="J222" s="15"/>
      <x:c r="K222" s="15"/>
    </x:row>
    <x:row r="223">
      <x:c r="A223" s="15"/>
      <x:c r="B223" s="15"/>
      <x:c r="C223" s="54"/>
      <x:c r="D223" s="15"/>
      <x:c r="E223" s="15"/>
      <x:c r="F223" s="15"/>
      <x:c r="G223" s="15"/>
      <x:c r="H223" s="15"/>
      <x:c r="I223" s="15"/>
      <x:c r="J223" s="15"/>
      <x:c r="K223" s="15"/>
    </x:row>
    <x:row r="224">
      <x:c r="A224" s="15"/>
      <x:c r="B224" s="15"/>
      <x:c r="C224" s="54"/>
      <x:c r="D224" s="15"/>
      <x:c r="E224" s="15"/>
      <x:c r="F224" s="15"/>
      <x:c r="G224" s="15"/>
      <x:c r="H224" s="15"/>
      <x:c r="I224" s="15"/>
      <x:c r="J224" s="15"/>
      <x:c r="K224" s="15"/>
    </x:row>
    <x:row r="225">
      <x:c r="A225" s="15"/>
      <x:c r="B225" s="15"/>
      <x:c r="C225" s="54"/>
      <x:c r="D225" s="15"/>
      <x:c r="E225" s="15"/>
      <x:c r="F225" s="15"/>
      <x:c r="G225" s="15"/>
      <x:c r="H225" s="15"/>
      <x:c r="I225" s="15"/>
      <x:c r="J225" s="15"/>
      <x:c r="K225" s="15"/>
    </x:row>
    <x:row r="226">
      <x:c r="A226" s="15"/>
      <x:c r="B226" s="15"/>
      <x:c r="C226" s="54"/>
      <x:c r="D226" s="15"/>
      <x:c r="E226" s="15"/>
      <x:c r="F226" s="15"/>
      <x:c r="G226" s="15"/>
      <x:c r="H226" s="15"/>
      <x:c r="I226" s="15"/>
      <x:c r="J226" s="15"/>
      <x:c r="K226" s="15"/>
    </x:row>
    <x:row r="227">
      <x:c r="A227" s="15"/>
      <x:c r="B227" s="15"/>
      <x:c r="C227" s="54"/>
      <x:c r="D227" s="15"/>
      <x:c r="E227" s="15"/>
      <x:c r="F227" s="15"/>
      <x:c r="G227" s="15"/>
      <x:c r="H227" s="15"/>
      <x:c r="I227" s="15"/>
      <x:c r="J227" s="15"/>
      <x:c r="K227" s="15"/>
    </x:row>
    <x:row r="228">
      <x:c r="A228" s="15"/>
      <x:c r="B228" s="15"/>
      <x:c r="C228" s="54"/>
      <x:c r="D228" s="15"/>
      <x:c r="E228" s="15"/>
      <x:c r="F228" s="15"/>
      <x:c r="G228" s="15"/>
      <x:c r="H228" s="15"/>
      <x:c r="I228" s="15"/>
      <x:c r="J228" s="15"/>
      <x:c r="K228" s="15"/>
    </x:row>
    <x:row r="229">
      <x:c r="A229" s="15"/>
      <x:c r="B229" s="15"/>
      <x:c r="C229" s="54"/>
      <x:c r="D229" s="15"/>
      <x:c r="E229" s="15"/>
      <x:c r="F229" s="15"/>
      <x:c r="G229" s="15"/>
      <x:c r="H229" s="15"/>
      <x:c r="I229" s="15"/>
      <x:c r="J229" s="15"/>
      <x:c r="K229" s="15"/>
    </x:row>
    <x:row r="230">
      <x:c r="A230" s="15"/>
      <x:c r="B230" s="15"/>
      <x:c r="C230" s="54"/>
      <x:c r="D230" s="15"/>
      <x:c r="E230" s="15"/>
      <x:c r="F230" s="15"/>
      <x:c r="G230" s="15"/>
      <x:c r="H230" s="15"/>
      <x:c r="I230" s="15"/>
      <x:c r="J230" s="15"/>
      <x:c r="K230" s="15"/>
    </x:row>
    <x:row r="231">
      <x:c r="A231" s="15"/>
      <x:c r="B231" s="15"/>
      <x:c r="C231" s="54"/>
      <x:c r="D231" s="15"/>
      <x:c r="E231" s="15"/>
      <x:c r="F231" s="15"/>
      <x:c r="G231" s="15"/>
      <x:c r="H231" s="15"/>
      <x:c r="I231" s="15"/>
      <x:c r="J231" s="15"/>
      <x:c r="K231" s="15"/>
    </x:row>
    <x:row r="232">
      <x:c r="A232" s="15"/>
      <x:c r="B232" s="15"/>
      <x:c r="C232" s="54"/>
      <x:c r="D232" s="15"/>
      <x:c r="E232" s="15"/>
      <x:c r="F232" s="15"/>
      <x:c r="G232" s="15"/>
      <x:c r="H232" s="15"/>
      <x:c r="I232" s="15"/>
      <x:c r="J232" s="15"/>
      <x:c r="K232" s="15"/>
    </x:row>
    <x:row r="233">
      <x:c r="A233" s="15"/>
      <x:c r="B233" s="15"/>
      <x:c r="C233" s="54"/>
      <x:c r="D233" s="15"/>
      <x:c r="E233" s="15"/>
      <x:c r="F233" s="15"/>
      <x:c r="G233" s="15"/>
      <x:c r="H233" s="15"/>
      <x:c r="I233" s="15"/>
      <x:c r="J233" s="15"/>
      <x:c r="K233" s="15"/>
    </x:row>
    <x:row r="234">
      <x:c r="A234" s="15"/>
      <x:c r="B234" s="15"/>
      <x:c r="C234" s="54"/>
      <x:c r="D234" s="15"/>
      <x:c r="E234" s="15"/>
      <x:c r="F234" s="15"/>
      <x:c r="G234" s="15"/>
      <x:c r="H234" s="15"/>
      <x:c r="I234" s="15"/>
      <x:c r="J234" s="15"/>
      <x:c r="K234" s="15"/>
    </x:row>
    <x:row r="235">
      <x:c r="A235" s="15"/>
      <x:c r="B235" s="15"/>
      <x:c r="C235" s="54"/>
      <x:c r="D235" s="15"/>
      <x:c r="E235" s="15"/>
      <x:c r="F235" s="15"/>
      <x:c r="G235" s="15"/>
      <x:c r="H235" s="15"/>
      <x:c r="I235" s="15"/>
      <x:c r="J235" s="15"/>
      <x:c r="K235" s="15"/>
    </x:row>
    <x:row r="236">
      <x:c r="A236" s="15"/>
      <x:c r="B236" s="15"/>
      <x:c r="C236" s="54"/>
      <x:c r="D236" s="15"/>
      <x:c r="E236" s="15"/>
      <x:c r="F236" s="15"/>
      <x:c r="G236" s="15"/>
      <x:c r="H236" s="15"/>
      <x:c r="I236" s="15"/>
      <x:c r="J236" s="15"/>
      <x:c r="K236" s="15"/>
    </x:row>
    <x:row r="237">
      <x:c r="A237" s="15"/>
      <x:c r="B237" s="15"/>
      <x:c r="C237" s="54"/>
      <x:c r="D237" s="15"/>
      <x:c r="E237" s="15"/>
      <x:c r="F237" s="15"/>
      <x:c r="G237" s="15"/>
      <x:c r="H237" s="15"/>
      <x:c r="I237" s="15"/>
      <x:c r="J237" s="15"/>
      <x:c r="K237" s="15"/>
    </x:row>
    <x:row r="238">
      <x:c r="A238" s="15"/>
      <x:c r="B238" s="15"/>
      <x:c r="C238" s="54"/>
      <x:c r="D238" s="15"/>
      <x:c r="E238" s="15"/>
      <x:c r="F238" s="15"/>
      <x:c r="G238" s="15"/>
      <x:c r="H238" s="15"/>
      <x:c r="I238" s="15"/>
      <x:c r="J238" s="15"/>
      <x:c r="K238" s="15"/>
    </x:row>
    <x:row r="239">
      <x:c r="A239" s="15"/>
      <x:c r="B239" s="15"/>
      <x:c r="C239" s="54"/>
      <x:c r="D239" s="15"/>
      <x:c r="E239" s="15"/>
      <x:c r="F239" s="15"/>
      <x:c r="G239" s="15"/>
      <x:c r="H239" s="15"/>
      <x:c r="I239" s="15"/>
      <x:c r="J239" s="15"/>
      <x:c r="K239" s="15"/>
    </x:row>
    <x:row r="240">
      <x:c r="A240" s="15"/>
      <x:c r="B240" s="15"/>
      <x:c r="C240" s="54"/>
      <x:c r="D240" s="15"/>
      <x:c r="E240" s="15"/>
      <x:c r="F240" s="15"/>
      <x:c r="G240" s="15"/>
      <x:c r="H240" s="15"/>
      <x:c r="I240" s="15"/>
      <x:c r="J240" s="15"/>
      <x:c r="K240" s="15"/>
    </x:row>
    <x:row r="241">
      <x:c r="A241" s="15"/>
      <x:c r="B241" s="15"/>
      <x:c r="C241" s="54"/>
      <x:c r="D241" s="15"/>
      <x:c r="E241" s="15"/>
      <x:c r="F241" s="15"/>
      <x:c r="G241" s="15"/>
      <x:c r="H241" s="15"/>
      <x:c r="I241" s="15"/>
      <x:c r="J241" s="15"/>
      <x:c r="K241" s="15"/>
    </x:row>
    <x:row r="242">
      <x:c r="A242" s="15"/>
      <x:c r="B242" s="15"/>
      <x:c r="C242" s="54"/>
      <x:c r="D242" s="15"/>
      <x:c r="E242" s="15"/>
      <x:c r="F242" s="15"/>
      <x:c r="G242" s="15"/>
      <x:c r="H242" s="15"/>
      <x:c r="I242" s="15"/>
      <x:c r="J242" s="15"/>
      <x:c r="K242" s="15"/>
    </x:row>
    <x:row r="243">
      <x:c r="A243" s="15"/>
      <x:c r="B243" s="15"/>
      <x:c r="C243" s="54"/>
      <x:c r="D243" s="15"/>
      <x:c r="E243" s="15"/>
      <x:c r="F243" s="15"/>
      <x:c r="G243" s="15"/>
      <x:c r="H243" s="15"/>
      <x:c r="I243" s="15"/>
      <x:c r="J243" s="15"/>
      <x:c r="K243" s="15"/>
    </x:row>
    <x:row r="244">
      <x:c r="A244" s="15"/>
      <x:c r="B244" s="15"/>
      <x:c r="C244" s="54"/>
      <x:c r="D244" s="15"/>
      <x:c r="E244" s="15"/>
      <x:c r="F244" s="15"/>
      <x:c r="G244" s="15"/>
      <x:c r="H244" s="15"/>
      <x:c r="I244" s="15"/>
      <x:c r="J244" s="15"/>
      <x:c r="K244" s="15"/>
    </x:row>
    <x:row r="245">
      <x:c r="A245" s="15"/>
      <x:c r="B245" s="15"/>
      <x:c r="C245" s="54"/>
      <x:c r="D245" s="15"/>
      <x:c r="E245" s="15"/>
      <x:c r="F245" s="15"/>
      <x:c r="G245" s="15"/>
      <x:c r="H245" s="15"/>
      <x:c r="I245" s="15"/>
      <x:c r="J245" s="15"/>
      <x:c r="K245" s="15"/>
    </x:row>
    <x:row r="246">
      <x:c r="A246" s="15"/>
      <x:c r="B246" s="15"/>
      <x:c r="C246" s="54"/>
      <x:c r="D246" s="15"/>
      <x:c r="E246" s="15"/>
      <x:c r="F246" s="15"/>
      <x:c r="G246" s="15"/>
      <x:c r="H246" s="15"/>
      <x:c r="I246" s="15"/>
      <x:c r="J246" s="15"/>
      <x:c r="K246" s="15"/>
    </x:row>
    <x:row r="247">
      <x:c r="A247" s="15"/>
      <x:c r="B247" s="15"/>
      <x:c r="C247" s="54"/>
      <x:c r="D247" s="15"/>
      <x:c r="E247" s="15"/>
      <x:c r="F247" s="15"/>
      <x:c r="G247" s="15"/>
      <x:c r="H247" s="15"/>
      <x:c r="I247" s="15"/>
      <x:c r="J247" s="15"/>
      <x:c r="K247" s="15"/>
    </x:row>
    <x:row r="248">
      <x:c r="A248" s="15"/>
      <x:c r="B248" s="15"/>
      <x:c r="C248" s="54"/>
      <x:c r="D248" s="15"/>
      <x:c r="E248" s="15"/>
      <x:c r="F248" s="15"/>
      <x:c r="G248" s="15"/>
      <x:c r="H248" s="15"/>
      <x:c r="I248" s="15"/>
      <x:c r="J248" s="15"/>
      <x:c r="K248" s="15"/>
    </x:row>
    <x:row r="249">
      <x:c r="A249" s="15"/>
      <x:c r="B249" s="15"/>
      <x:c r="C249" s="54"/>
      <x:c r="D249" s="15"/>
      <x:c r="E249" s="15"/>
      <x:c r="F249" s="15"/>
      <x:c r="G249" s="15"/>
      <x:c r="H249" s="15"/>
      <x:c r="I249" s="15"/>
      <x:c r="J249" s="15"/>
      <x:c r="K249" s="15"/>
    </x:row>
    <x:row r="250">
      <x:c r="A250" s="15"/>
      <x:c r="B250" s="15"/>
      <x:c r="C250" s="54"/>
      <x:c r="D250" s="15"/>
      <x:c r="E250" s="15"/>
      <x:c r="F250" s="15"/>
      <x:c r="G250" s="15"/>
      <x:c r="H250" s="15"/>
      <x:c r="I250" s="15"/>
      <x:c r="J250" s="15"/>
      <x:c r="K250" s="15"/>
    </x:row>
    <x:row r="251">
      <x:c r="A251" s="15"/>
      <x:c r="B251" s="15"/>
      <x:c r="C251" s="54"/>
      <x:c r="D251" s="15"/>
      <x:c r="E251" s="15"/>
      <x:c r="F251" s="15"/>
      <x:c r="G251" s="15"/>
      <x:c r="H251" s="15"/>
      <x:c r="I251" s="15"/>
      <x:c r="J251" s="15"/>
      <x:c r="K251" s="15"/>
    </x:row>
    <x:row r="252">
      <x:c r="A252" s="15"/>
      <x:c r="B252" s="15"/>
      <x:c r="C252" s="54"/>
      <x:c r="D252" s="15"/>
      <x:c r="E252" s="15"/>
      <x:c r="F252" s="15"/>
      <x:c r="G252" s="15"/>
      <x:c r="H252" s="15"/>
      <x:c r="I252" s="15"/>
      <x:c r="J252" s="15"/>
      <x:c r="K252" s="15"/>
    </x:row>
    <x:row r="253">
      <x:c r="A253" s="15"/>
      <x:c r="B253" s="15"/>
      <x:c r="C253" s="54"/>
      <x:c r="D253" s="15"/>
      <x:c r="E253" s="15"/>
      <x:c r="F253" s="15"/>
      <x:c r="G253" s="15"/>
      <x:c r="H253" s="15"/>
      <x:c r="I253" s="15"/>
      <x:c r="J253" s="15"/>
      <x:c r="K253" s="15"/>
    </x:row>
    <x:row r="254">
      <x:c r="A254" s="15"/>
      <x:c r="B254" s="15"/>
      <x:c r="C254" s="54"/>
      <x:c r="D254" s="15"/>
      <x:c r="E254" s="15"/>
      <x:c r="F254" s="15"/>
      <x:c r="G254" s="15"/>
      <x:c r="H254" s="15"/>
      <x:c r="I254" s="15"/>
      <x:c r="J254" s="15"/>
      <x:c r="K254" s="15"/>
    </x:row>
    <x:row r="255">
      <x:c r="A255" s="15"/>
      <x:c r="B255" s="15"/>
      <x:c r="C255" s="54"/>
      <x:c r="D255" s="15"/>
      <x:c r="E255" s="15"/>
      <x:c r="F255" s="15"/>
      <x:c r="G255" s="15"/>
      <x:c r="H255" s="15"/>
      <x:c r="I255" s="15"/>
      <x:c r="J255" s="15"/>
      <x:c r="K255" s="15"/>
    </x:row>
    <x:row r="256">
      <x:c r="A256" s="15"/>
      <x:c r="B256" s="15"/>
      <x:c r="C256" s="54"/>
      <x:c r="D256" s="15"/>
      <x:c r="E256" s="15"/>
      <x:c r="F256" s="15"/>
      <x:c r="G256" s="15"/>
      <x:c r="H256" s="15"/>
      <x:c r="I256" s="15"/>
      <x:c r="J256" s="15"/>
      <x:c r="K256" s="15"/>
    </x:row>
    <x:row r="257">
      <x:c r="A257" s="15"/>
      <x:c r="B257" s="15"/>
      <x:c r="C257" s="54"/>
      <x:c r="D257" s="15"/>
      <x:c r="E257" s="15"/>
      <x:c r="F257" s="15"/>
      <x:c r="G257" s="15"/>
      <x:c r="H257" s="15"/>
      <x:c r="I257" s="15"/>
      <x:c r="J257" s="15"/>
      <x:c r="K257" s="15"/>
    </x:row>
    <x:row r="258">
      <x:c r="A258" s="15"/>
      <x:c r="B258" s="15"/>
      <x:c r="C258" s="54"/>
      <x:c r="D258" s="15"/>
      <x:c r="E258" s="15"/>
      <x:c r="F258" s="15"/>
      <x:c r="G258" s="15"/>
      <x:c r="H258" s="15"/>
      <x:c r="I258" s="15"/>
      <x:c r="J258" s="15"/>
      <x:c r="K258" s="15"/>
    </x:row>
    <x:row r="259">
      <x:c r="A259" s="15"/>
      <x:c r="B259" s="15"/>
      <x:c r="C259" s="54"/>
      <x:c r="D259" s="15"/>
      <x:c r="E259" s="15"/>
      <x:c r="F259" s="15"/>
      <x:c r="G259" s="15"/>
      <x:c r="H259" s="15"/>
      <x:c r="I259" s="15"/>
      <x:c r="J259" s="15"/>
      <x:c r="K259" s="15"/>
    </x:row>
    <x:row r="260">
      <x:c r="A260" s="15"/>
      <x:c r="B260" s="15"/>
      <x:c r="C260" s="54"/>
      <x:c r="D260" s="15"/>
      <x:c r="E260" s="15"/>
      <x:c r="F260" s="15"/>
      <x:c r="G260" s="15"/>
      <x:c r="H260" s="15"/>
      <x:c r="I260" s="15"/>
      <x:c r="J260" s="15"/>
      <x:c r="K260" s="15"/>
    </x:row>
    <x:row r="261">
      <x:c r="A261" s="15"/>
      <x:c r="B261" s="15"/>
      <x:c r="C261" s="54"/>
      <x:c r="D261" s="15"/>
      <x:c r="E261" s="15"/>
      <x:c r="F261" s="15"/>
      <x:c r="G261" s="15"/>
      <x:c r="H261" s="15"/>
      <x:c r="I261" s="15"/>
      <x:c r="J261" s="15"/>
      <x:c r="K261" s="15"/>
    </x:row>
    <x:row r="262">
      <x:c r="A262" s="15"/>
      <x:c r="B262" s="15"/>
      <x:c r="C262" s="54"/>
      <x:c r="D262" s="15"/>
      <x:c r="E262" s="15"/>
      <x:c r="F262" s="15"/>
      <x:c r="G262" s="15"/>
      <x:c r="H262" s="15"/>
      <x:c r="I262" s="15"/>
      <x:c r="J262" s="15"/>
      <x:c r="K262" s="15"/>
    </x:row>
    <x:row r="263">
      <x:c r="A263" s="15"/>
      <x:c r="B263" s="15"/>
      <x:c r="C263" s="54"/>
      <x:c r="D263" s="15"/>
      <x:c r="E263" s="15"/>
      <x:c r="F263" s="15"/>
      <x:c r="G263" s="15"/>
      <x:c r="H263" s="15"/>
      <x:c r="I263" s="15"/>
      <x:c r="J263" s="15"/>
      <x:c r="K263" s="15"/>
    </x:row>
    <x:row r="264">
      <x:c r="A264" s="15"/>
      <x:c r="B264" s="15"/>
      <x:c r="C264" s="54"/>
      <x:c r="D264" s="15"/>
      <x:c r="E264" s="15"/>
      <x:c r="F264" s="15"/>
      <x:c r="G264" s="15"/>
      <x:c r="H264" s="15"/>
      <x:c r="I264" s="15"/>
      <x:c r="J264" s="15"/>
      <x:c r="K264" s="15"/>
    </x:row>
    <x:row r="265">
      <x:c r="A265" s="15"/>
      <x:c r="B265" s="15"/>
      <x:c r="C265" s="54"/>
      <x:c r="D265" s="15"/>
      <x:c r="E265" s="15"/>
      <x:c r="F265" s="15"/>
      <x:c r="G265" s="15"/>
      <x:c r="H265" s="15"/>
      <x:c r="I265" s="15"/>
      <x:c r="J265" s="15"/>
      <x:c r="K265" s="15"/>
    </x:row>
    <x:row r="266">
      <x:c r="A266" s="15"/>
      <x:c r="B266" s="15"/>
      <x:c r="C266" s="54"/>
      <x:c r="D266" s="15"/>
      <x:c r="E266" s="15"/>
      <x:c r="F266" s="15"/>
      <x:c r="G266" s="15"/>
      <x:c r="H266" s="15"/>
      <x:c r="I266" s="15"/>
      <x:c r="J266" s="15"/>
      <x:c r="K266" s="15"/>
    </x:row>
    <x:row r="267">
      <x:c r="A267" s="15"/>
      <x:c r="B267" s="15"/>
      <x:c r="C267" s="54"/>
      <x:c r="D267" s="15"/>
      <x:c r="E267" s="15"/>
      <x:c r="F267" s="15"/>
      <x:c r="G267" s="15"/>
      <x:c r="H267" s="15"/>
      <x:c r="I267" s="15"/>
      <x:c r="J267" s="15"/>
      <x:c r="K267" s="15"/>
    </x:row>
    <x:row r="268">
      <x:c r="A268" s="15"/>
      <x:c r="B268" s="15"/>
      <x:c r="C268" s="54"/>
      <x:c r="D268" s="15"/>
      <x:c r="E268" s="15"/>
      <x:c r="F268" s="15"/>
      <x:c r="G268" s="15"/>
      <x:c r="H268" s="15"/>
      <x:c r="I268" s="15"/>
      <x:c r="J268" s="15"/>
      <x:c r="K268" s="15"/>
    </x:row>
    <x:row r="269">
      <x:c r="A269" s="15"/>
      <x:c r="B269" s="15"/>
      <x:c r="C269" s="54"/>
      <x:c r="D269" s="15"/>
      <x:c r="E269" s="15"/>
      <x:c r="F269" s="15"/>
      <x:c r="G269" s="15"/>
      <x:c r="H269" s="15"/>
      <x:c r="I269" s="15"/>
      <x:c r="J269" s="15"/>
      <x:c r="K269" s="15"/>
    </x:row>
    <x:row r="270">
      <x:c r="A270" s="15"/>
      <x:c r="B270" s="15"/>
      <x:c r="C270" s="54"/>
      <x:c r="D270" s="15"/>
      <x:c r="E270" s="15"/>
      <x:c r="F270" s="15"/>
      <x:c r="G270" s="15"/>
      <x:c r="H270" s="15"/>
      <x:c r="I270" s="15"/>
      <x:c r="J270" s="15"/>
      <x:c r="K270" s="15"/>
    </x:row>
    <x:row r="271">
      <x:c r="A271" s="15"/>
      <x:c r="B271" s="15"/>
      <x:c r="C271" s="54"/>
      <x:c r="D271" s="15"/>
      <x:c r="E271" s="15"/>
      <x:c r="F271" s="15"/>
      <x:c r="G271" s="15"/>
      <x:c r="H271" s="15"/>
      <x:c r="I271" s="15"/>
      <x:c r="J271" s="15"/>
      <x:c r="K271" s="15"/>
    </x:row>
    <x:row r="272">
      <x:c r="A272" s="15"/>
      <x:c r="B272" s="15"/>
      <x:c r="C272" s="54"/>
      <x:c r="D272" s="15"/>
      <x:c r="E272" s="15"/>
      <x:c r="F272" s="15"/>
      <x:c r="G272" s="15"/>
      <x:c r="H272" s="15"/>
      <x:c r="I272" s="15"/>
      <x:c r="J272" s="15"/>
      <x:c r="K272" s="15"/>
    </x:row>
    <x:row r="273">
      <x:c r="A273" s="15"/>
      <x:c r="B273" s="15"/>
      <x:c r="C273" s="54"/>
      <x:c r="D273" s="15"/>
      <x:c r="E273" s="15"/>
      <x:c r="F273" s="15"/>
      <x:c r="G273" s="15"/>
      <x:c r="H273" s="15"/>
      <x:c r="I273" s="15"/>
      <x:c r="J273" s="15"/>
      <x:c r="K273" s="15"/>
    </x:row>
    <x:row r="274">
      <x:c r="A274" s="15"/>
      <x:c r="B274" s="15"/>
      <x:c r="C274" s="54"/>
      <x:c r="D274" s="15"/>
      <x:c r="E274" s="15"/>
      <x:c r="F274" s="15"/>
      <x:c r="G274" s="15"/>
      <x:c r="H274" s="15"/>
      <x:c r="I274" s="15"/>
      <x:c r="J274" s="15"/>
      <x:c r="K274" s="15"/>
    </x:row>
    <x:row r="275">
      <x:c r="A275" s="15"/>
      <x:c r="B275" s="15"/>
      <x:c r="C275" s="54"/>
      <x:c r="D275" s="15"/>
      <x:c r="E275" s="15"/>
      <x:c r="F275" s="15"/>
      <x:c r="G275" s="15"/>
      <x:c r="H275" s="15"/>
      <x:c r="I275" s="15"/>
      <x:c r="J275" s="15"/>
      <x:c r="K275" s="15"/>
    </x:row>
    <x:row r="276">
      <x:c r="A276" s="15"/>
      <x:c r="B276" s="15"/>
      <x:c r="C276" s="54"/>
      <x:c r="D276" s="15"/>
      <x:c r="E276" s="15"/>
      <x:c r="F276" s="15"/>
      <x:c r="G276" s="15"/>
      <x:c r="H276" s="15"/>
      <x:c r="I276" s="15"/>
      <x:c r="J276" s="15"/>
      <x:c r="K276" s="15"/>
    </x:row>
    <x:row r="277">
      <x:c r="A277" s="15"/>
      <x:c r="B277" s="15"/>
      <x:c r="C277" s="54"/>
      <x:c r="D277" s="15"/>
      <x:c r="E277" s="15"/>
      <x:c r="F277" s="15"/>
      <x:c r="G277" s="15"/>
      <x:c r="H277" s="15"/>
      <x:c r="I277" s="15"/>
      <x:c r="J277" s="15"/>
      <x:c r="K277" s="15"/>
    </x:row>
    <x:row r="278">
      <x:c r="A278" s="15"/>
      <x:c r="B278" s="15"/>
      <x:c r="C278" s="54"/>
      <x:c r="D278" s="15"/>
      <x:c r="E278" s="15"/>
      <x:c r="F278" s="15"/>
      <x:c r="G278" s="15"/>
      <x:c r="H278" s="15"/>
      <x:c r="I278" s="15"/>
      <x:c r="J278" s="15"/>
      <x:c r="K278" s="15"/>
    </x:row>
    <x:row r="279">
      <x:c r="A279" s="15"/>
      <x:c r="B279" s="15"/>
      <x:c r="C279" s="54"/>
      <x:c r="D279" s="15"/>
      <x:c r="E279" s="15"/>
      <x:c r="F279" s="15"/>
      <x:c r="G279" s="15"/>
      <x:c r="H279" s="15"/>
      <x:c r="I279" s="15"/>
      <x:c r="J279" s="15"/>
      <x:c r="K279" s="15"/>
    </x:row>
    <x:row r="280">
      <x:c r="A280" s="15"/>
      <x:c r="B280" s="15"/>
      <x:c r="C280" s="54"/>
      <x:c r="D280" s="15"/>
      <x:c r="E280" s="15"/>
      <x:c r="F280" s="15"/>
      <x:c r="G280" s="15"/>
      <x:c r="H280" s="15"/>
      <x:c r="I280" s="15"/>
      <x:c r="J280" s="15"/>
      <x:c r="K280" s="15"/>
    </x:row>
    <x:row r="281">
      <x:c r="A281" s="15"/>
      <x:c r="B281" s="15"/>
      <x:c r="C281" s="54"/>
      <x:c r="D281" s="15"/>
      <x:c r="E281" s="15"/>
      <x:c r="F281" s="15"/>
      <x:c r="G281" s="15"/>
      <x:c r="H281" s="15"/>
      <x:c r="I281" s="15"/>
      <x:c r="J281" s="15"/>
      <x:c r="K281" s="15"/>
    </x:row>
    <x:row r="282">
      <x:c r="A282" s="15"/>
      <x:c r="B282" s="15"/>
      <x:c r="C282" s="54"/>
      <x:c r="D282" s="15"/>
      <x:c r="E282" s="15"/>
      <x:c r="F282" s="15"/>
      <x:c r="G282" s="15"/>
      <x:c r="H282" s="15"/>
      <x:c r="I282" s="15"/>
      <x:c r="J282" s="15"/>
      <x:c r="K282" s="15"/>
    </x:row>
    <x:row r="283">
      <x:c r="A283" s="15"/>
      <x:c r="B283" s="15"/>
      <x:c r="C283" s="54"/>
      <x:c r="D283" s="15"/>
      <x:c r="E283" s="15"/>
      <x:c r="F283" s="15"/>
      <x:c r="G283" s="15"/>
      <x:c r="H283" s="15"/>
      <x:c r="I283" s="15"/>
      <x:c r="J283" s="15"/>
      <x:c r="K283" s="15"/>
    </x:row>
    <x:row r="284">
      <x:c r="A284" s="15"/>
      <x:c r="B284" s="15"/>
      <x:c r="C284" s="54"/>
      <x:c r="D284" s="15"/>
      <x:c r="E284" s="15"/>
      <x:c r="F284" s="15"/>
      <x:c r="G284" s="15"/>
      <x:c r="H284" s="15"/>
      <x:c r="I284" s="15"/>
      <x:c r="J284" s="15"/>
      <x:c r="K284" s="15"/>
    </x:row>
    <x:row r="285">
      <x:c r="A285" s="15"/>
      <x:c r="B285" s="15"/>
      <x:c r="C285" s="54"/>
      <x:c r="D285" s="15"/>
      <x:c r="E285" s="15"/>
      <x:c r="F285" s="15"/>
      <x:c r="G285" s="15"/>
      <x:c r="H285" s="15"/>
      <x:c r="I285" s="15"/>
      <x:c r="J285" s="15"/>
      <x:c r="K285" s="15"/>
    </x:row>
    <x:row r="286">
      <x:c r="A286" s="15"/>
      <x:c r="B286" s="15"/>
      <x:c r="C286" s="54"/>
      <x:c r="D286" s="15"/>
      <x:c r="E286" s="15"/>
      <x:c r="F286" s="15"/>
      <x:c r="G286" s="15"/>
      <x:c r="H286" s="15"/>
      <x:c r="I286" s="15"/>
      <x:c r="J286" s="15"/>
      <x:c r="K286" s="15"/>
    </x:row>
    <x:row r="287">
      <x:c r="A287" s="15"/>
      <x:c r="B287" s="15"/>
      <x:c r="C287" s="54"/>
      <x:c r="D287" s="15"/>
      <x:c r="E287" s="15"/>
      <x:c r="F287" s="15"/>
      <x:c r="G287" s="15"/>
      <x:c r="H287" s="15"/>
      <x:c r="I287" s="15"/>
      <x:c r="J287" s="15"/>
      <x:c r="K287" s="15"/>
    </x:row>
    <x:row r="288">
      <x:c r="A288" s="15"/>
      <x:c r="B288" s="15"/>
      <x:c r="C288" s="54"/>
      <x:c r="D288" s="15"/>
      <x:c r="E288" s="15"/>
      <x:c r="F288" s="15"/>
      <x:c r="G288" s="15"/>
      <x:c r="H288" s="15"/>
      <x:c r="I288" s="15"/>
      <x:c r="J288" s="15"/>
      <x:c r="K288" s="15"/>
    </x:row>
    <x:row r="289">
      <x:c r="A289" s="15"/>
      <x:c r="B289" s="15"/>
      <x:c r="C289" s="54"/>
      <x:c r="D289" s="15"/>
      <x:c r="E289" s="15"/>
      <x:c r="F289" s="15"/>
      <x:c r="G289" s="15"/>
      <x:c r="H289" s="15"/>
      <x:c r="I289" s="15"/>
      <x:c r="J289" s="15"/>
      <x:c r="K289" s="15"/>
    </x:row>
    <x:row r="290">
      <x:c r="A290" s="15"/>
      <x:c r="B290" s="15"/>
      <x:c r="C290" s="54"/>
      <x:c r="D290" s="15"/>
      <x:c r="E290" s="15"/>
      <x:c r="F290" s="15"/>
      <x:c r="G290" s="15"/>
      <x:c r="H290" s="15"/>
      <x:c r="I290" s="15"/>
      <x:c r="J290" s="15"/>
      <x:c r="K290" s="15"/>
    </x:row>
    <x:row r="291">
      <x:c r="A291" s="15"/>
      <x:c r="B291" s="15"/>
      <x:c r="C291" s="54"/>
      <x:c r="D291" s="15"/>
      <x:c r="E291" s="15"/>
      <x:c r="F291" s="15"/>
      <x:c r="G291" s="15"/>
      <x:c r="H291" s="15"/>
      <x:c r="I291" s="15"/>
      <x:c r="J291" s="15"/>
      <x:c r="K291" s="15"/>
    </x:row>
    <x:row r="292">
      <x:c r="A292" s="15"/>
      <x:c r="B292" s="15"/>
      <x:c r="C292" s="54"/>
      <x:c r="D292" s="15"/>
      <x:c r="E292" s="15"/>
      <x:c r="F292" s="15"/>
      <x:c r="G292" s="15"/>
      <x:c r="H292" s="15"/>
      <x:c r="I292" s="15"/>
      <x:c r="J292" s="15"/>
      <x:c r="K292" s="15"/>
    </x:row>
    <x:row r="293">
      <x:c r="A293" s="15"/>
      <x:c r="B293" s="15"/>
      <x:c r="C293" s="54"/>
      <x:c r="D293" s="15"/>
      <x:c r="E293" s="15"/>
      <x:c r="F293" s="15"/>
      <x:c r="G293" s="15"/>
      <x:c r="H293" s="15"/>
      <x:c r="I293" s="15"/>
      <x:c r="J293" s="15"/>
      <x:c r="K293" s="15"/>
    </x:row>
    <x:row r="294">
      <x:c r="A294" s="15"/>
      <x:c r="B294" s="15"/>
      <x:c r="C294" s="54"/>
      <x:c r="D294" s="15"/>
      <x:c r="E294" s="15"/>
      <x:c r="F294" s="15"/>
      <x:c r="G294" s="15"/>
      <x:c r="H294" s="15"/>
      <x:c r="I294" s="15"/>
      <x:c r="J294" s="15"/>
      <x:c r="K294" s="15"/>
    </x:row>
    <x:row r="295">
      <x:c r="A295" s="15"/>
      <x:c r="B295" s="15"/>
      <x:c r="C295" s="54"/>
      <x:c r="D295" s="15"/>
      <x:c r="E295" s="15"/>
      <x:c r="F295" s="15"/>
      <x:c r="G295" s="15"/>
      <x:c r="H295" s="15"/>
      <x:c r="I295" s="15"/>
      <x:c r="J295" s="15"/>
      <x:c r="K295" s="15"/>
    </x:row>
    <x:row r="296">
      <x:c r="A296" s="15"/>
      <x:c r="B296" s="15"/>
      <x:c r="C296" s="54"/>
      <x:c r="D296" s="15"/>
      <x:c r="E296" s="15"/>
      <x:c r="F296" s="15"/>
      <x:c r="G296" s="15"/>
      <x:c r="H296" s="15"/>
      <x:c r="I296" s="15"/>
      <x:c r="J296" s="15"/>
      <x:c r="K296" s="15"/>
    </x:row>
    <x:row r="297">
      <x:c r="A297" s="15"/>
      <x:c r="B297" s="15"/>
      <x:c r="C297" s="54"/>
      <x:c r="D297" s="15"/>
      <x:c r="E297" s="15"/>
      <x:c r="F297" s="15"/>
      <x:c r="G297" s="15"/>
      <x:c r="H297" s="15"/>
      <x:c r="I297" s="15"/>
      <x:c r="J297" s="15"/>
      <x:c r="K297" s="15"/>
    </x:row>
    <x:row r="298">
      <x:c r="A298" s="15"/>
      <x:c r="B298" s="15"/>
      <x:c r="C298" s="54"/>
      <x:c r="D298" s="15"/>
      <x:c r="E298" s="15"/>
      <x:c r="F298" s="15"/>
      <x:c r="G298" s="15"/>
      <x:c r="H298" s="15"/>
      <x:c r="I298" s="15"/>
      <x:c r="J298" s="15"/>
      <x:c r="K298" s="15"/>
    </x:row>
    <x:row r="299">
      <x:c r="A299" s="15"/>
      <x:c r="B299" s="15"/>
      <x:c r="C299" s="54"/>
      <x:c r="D299" s="15"/>
      <x:c r="E299" s="15"/>
      <x:c r="F299" s="15"/>
      <x:c r="G299" s="15"/>
      <x:c r="H299" s="15"/>
      <x:c r="I299" s="15"/>
      <x:c r="J299" s="15"/>
      <x:c r="K299" s="15"/>
    </x:row>
    <x:row r="300">
      <x:c r="A300" s="15"/>
      <x:c r="B300" s="15"/>
      <x:c r="C300" s="54"/>
      <x:c r="D300" s="15"/>
      <x:c r="E300" s="15"/>
      <x:c r="F300" s="15"/>
      <x:c r="G300" s="15"/>
      <x:c r="H300" s="15"/>
      <x:c r="I300" s="15"/>
      <x:c r="J300" s="15"/>
      <x:c r="K300" s="15"/>
    </x:row>
    <x:row r="301">
      <x:c r="A301" s="15"/>
      <x:c r="B301" s="15"/>
      <x:c r="C301" s="54"/>
      <x:c r="D301" s="15"/>
      <x:c r="E301" s="15"/>
      <x:c r="F301" s="15"/>
      <x:c r="G301" s="15"/>
      <x:c r="H301" s="15"/>
      <x:c r="I301" s="15"/>
      <x:c r="J301" s="15"/>
      <x:c r="K301" s="15"/>
    </x:row>
  </x:sheetData>
  <x:dataValidations count="2">
    <x:dataValidation type="list" sqref="J2:J301">
      <x:formula1>"Converges,Complements,Diverges,New insight"</x:formula1>
    </x:dataValidation>
    <x:dataValidation type="list" sqref="D2:D301">
      <x:formula1>"IQ1,IQ2,IQ3,IQ4,IQ5,IQ6,IQ7,IQ8,IQ9,IQ10,IQ11,IQ12"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60" hidden="0" customWidth="1"/>
    <x:col min="4" max="4" width="24" hidden="0" customWidth="1"/>
    <x:col min="5" max="5" width="38" hidden="0" customWidth="1"/>
    <x:col min="6" max="6" width="12" hidden="0" customWidth="1"/>
    <x:col min="7" max="7" width="28" hidden="0" customWidth="1"/>
  </x:cols>
  <x:sheetData>
    <x:row r="1" ht="28" customHeight="1">
      <x:c r="A1" s="25" t="str">
        <x:v>Form Section</x:v>
      </x:c>
      <x:c r="B1" s="25" t="str">
        <x:v>Code</x:v>
      </x:c>
      <x:c r="C1" s="25" t="str">
        <x:v>Question / Statement</x:v>
      </x:c>
      <x:c r="D1" s="25" t="str">
        <x:v>Question Type</x:v>
      </x:c>
      <x:c r="E1" s="25" t="str">
        <x:v>Options / Scale</x:v>
      </x:c>
      <x:c r="F1" s="25" t="str">
        <x:v>Required?</x:v>
      </x:c>
      <x:c r="G1" s="25" t="str">
        <x:v>Notes</x:v>
      </x:c>
    </x:row>
    <x:row r="2">
      <x:c r="A2" s="15" t="str">
        <x:v>Opening</x:v>
      </x:c>
      <x:c r="B2" s="15" t="str">
        <x:v>Consent</x:v>
      </x:c>
      <x:c r="C2" s="15" t="str">
        <x:v>I have read the participant information and voluntarily agree to participate.</x:v>
      </x:c>
      <x:c r="D2" s="15" t="str">
        <x:v>Multiple choice</x:v>
      </x:c>
      <x:c r="E2" s="15" t="str">
        <x:v>Yes; No</x:v>
      </x:c>
      <x:c r="F2" s="15" t="str">
        <x:v>Yes</x:v>
      </x:c>
      <x:c r="G2" s="15" t="str">
        <x:v>Branch No to end form</x:v>
      </x:c>
    </x:row>
    <x:row r="3">
      <x:c r="A3" s="15" t="str">
        <x:v>Section A</x:v>
      </x:c>
      <x:c r="B3" s="15" t="str">
        <x:v>A1</x:v>
      </x:c>
      <x:c r="C3" s="15" t="str">
        <x:v>Gender (optional)</x:v>
      </x:c>
      <x:c r="D3" s="15" t="str">
        <x:v>Multiple choice</x:v>
      </x:c>
      <x:c r="E3" s="15" t="str">
        <x:v>Male; Female; Prefer not to say; Other</x:v>
      </x:c>
      <x:c r="F3" s="15" t="str">
        <x:v>No</x:v>
      </x:c>
      <x:c r="G3" s="15" t="str">
        <x:v>A1 optional</x:v>
      </x:c>
    </x:row>
    <x:row r="4">
      <x:c r="A4" s="15" t="str">
        <x:v>Section A</x:v>
      </x:c>
      <x:c r="B4" s="15" t="str">
        <x:v>A2</x:v>
      </x:c>
      <x:c r="C4" s="15" t="str">
        <x:v>Age group</x:v>
      </x:c>
      <x:c r="D4" s="15" t="str">
        <x:v>Multiple choice</x:v>
      </x:c>
      <x:c r="E4" s="15" t="str">
        <x:v>18-24; 25-34; 35-44; 45-54; 55 or above</x:v>
      </x:c>
      <x:c r="F4" s="15" t="str">
        <x:v>No</x:v>
      </x:c>
      <x:c r="G4" s="15" t="str">
        <x:v>A1 optional</x:v>
      </x:c>
    </x:row>
    <x:row r="5">
      <x:c r="A5" s="15" t="str">
        <x:v>Section A</x:v>
      </x:c>
      <x:c r="B5" s="15" t="str">
        <x:v>A3</x:v>
      </x:c>
      <x:c r="C5" s="15" t="str">
        <x:v>Highest qualification</x:v>
      </x:c>
      <x:c r="D5" s="15" t="str">
        <x:v>Multiple choice</x:v>
      </x:c>
      <x:c r="E5" s="15" t="str">
        <x:v>Diploma/OND/NCE; Bachelor/HND; Postgraduate Diploma; Master's; Doctorate; Other</x:v>
      </x:c>
      <x:c r="F5" s="15" t="str">
        <x:v>No</x:v>
      </x:c>
      <x:c r="G5" s="15" t="str">
        <x:v>A1 optional</x:v>
      </x:c>
    </x:row>
    <x:row r="6">
      <x:c r="A6" s="15" t="str">
        <x:v>Section A</x:v>
      </x:c>
      <x:c r="B6" s="15" t="str">
        <x:v>A4</x:v>
      </x:c>
      <x:c r="C6" s="15" t="str">
        <x:v>Type of institution</x:v>
      </x:c>
      <x:c r="D6" s="15" t="str">
        <x:v>Multiple choice</x:v>
      </x:c>
      <x:c r="E6" s="15" t="str">
        <x:v>Commercial bank; Digital bank/neobank; Merchant bank; Microfinance bank; Fintech/payment provider; Insurance/investment/other licensed financial institution</x:v>
      </x:c>
      <x:c r="F6" s="15" t="str">
        <x:v>No</x:v>
      </x:c>
      <x:c r="G6" s="15" t="str">
        <x:v>A1 optional</x:v>
      </x:c>
    </x:row>
    <x:row r="7">
      <x:c r="A7" s="15" t="str">
        <x:v>Section A</x:v>
      </x:c>
      <x:c r="B7" s="15" t="str">
        <x:v>A5</x:v>
      </x:c>
      <x:c r="C7" s="15" t="str">
        <x:v>Current functional role</x:v>
      </x:c>
      <x:c r="D7" s="15" t="str">
        <x:v>Multiple choice</x:v>
      </x:c>
      <x:c r="E7" s="15" t="str">
        <x:v>Digital Banking/Product; Data/Analytics/AI; IT/Technology; Customer Experience/Service; Relationship/Marketing; Risk/Compliance; Management/Strategy; Other</x:v>
      </x:c>
      <x:c r="F7" s="15" t="str">
        <x:v>No</x:v>
      </x:c>
      <x:c r="G7" s="15" t="str">
        <x:v>A1 optional</x:v>
      </x:c>
    </x:row>
    <x:row r="8">
      <x:c r="A8" s="15" t="str">
        <x:v>Section A</x:v>
      </x:c>
      <x:c r="B8" s="15" t="str">
        <x:v>A6</x:v>
      </x:c>
      <x:c r="C8" s="15" t="str">
        <x:v>Years of professional experience</x:v>
      </x:c>
      <x:c r="D8" s="15" t="str">
        <x:v>Multiple choice</x:v>
      </x:c>
      <x:c r="E8" s="15" t="str">
        <x:v>Less than 2; 2-5; 6-10; 11-15; 16 or more</x:v>
      </x:c>
      <x:c r="F8" s="15" t="str">
        <x:v>No</x:v>
      </x:c>
      <x:c r="G8" s="15" t="str">
        <x:v>A1 optional</x:v>
      </x:c>
    </x:row>
    <x:row r="9">
      <x:c r="A9" s="15" t="str">
        <x:v>Section A</x:v>
      </x:c>
      <x:c r="B9" s="15" t="str">
        <x:v>A7</x:v>
      </x:c>
      <x:c r="C9" s="15" t="str">
        <x:v>Direct involvement with digital banking, AI, analytics, customer experience or retention</x:v>
      </x:c>
      <x:c r="D9" s="15" t="str">
        <x:v>Multiple choice</x:v>
      </x:c>
      <x:c r="E9" s="15" t="str">
        <x:v>Yes; No</x:v>
      </x:c>
      <x:c r="F9" s="15" t="str">
        <x:v>Yes</x:v>
      </x:c>
      <x:c r="G9" s="15" t="str">
        <x:v>A1 optional</x:v>
      </x:c>
    </x:row>
    <x:row r="10">
      <x:c r="A10" s="15" t="str">
        <x:v>Section A</x:v>
      </x:c>
      <x:c r="B10" s="15" t="str">
        <x:v>A8</x:v>
      </x:c>
      <x:c r="C10" s="15" t="str">
        <x:v>AI adoption maturity for customer analytics/retention</x:v>
      </x:c>
      <x:c r="D10" s="15" t="str">
        <x:v>Multiple choice</x:v>
      </x:c>
      <x:c r="E10" s="15" t="str">
        <x:v>0=None; 1=Exploratory/pilot; 2=Limited deployment; 3=Established multi-use-case; 4=Advanced/enterprise-wide</x:v>
      </x:c>
      <x:c r="F10" s="15" t="str">
        <x:v>Yes</x:v>
      </x:c>
      <x:c r="G10" s="15" t="str">
        <x:v>A1 optional</x:v>
      </x:c>
    </x:row>
    <x:row r="11">
      <x:c r="A11" s="15" t="str">
        <x:v>Section A</x:v>
      </x:c>
      <x:c r="B11" s="15" t="str">
        <x:v>A9</x:v>
      </x:c>
      <x:c r="C11" s="15" t="str">
        <x:v>Institution currently uses predictive model/advanced analytics for churn risk</x:v>
      </x:c>
      <x:c r="D11" s="15" t="str">
        <x:v>Multiple choice</x:v>
      </x:c>
      <x:c r="E11" s="15" t="str">
        <x:v>Yes; No; Do not know</x:v>
      </x:c>
      <x:c r="F11" s="15" t="str">
        <x:v>Yes</x:v>
      </x:c>
      <x:c r="G11" s="15" t="str">
        <x:v>A1 optional</x:v>
      </x:c>
    </x:row>
    <x:row r="12">
      <x:c r="A12" s="15" t="str">
        <x:v>Section A</x:v>
      </x:c>
      <x:c r="B12" s="15" t="str">
        <x:v>A10</x:v>
      </x:c>
      <x:c r="C12" s="15" t="str">
        <x:v>Primary work location / responding unit is within Eti-Osa LGA</x:v>
      </x:c>
      <x:c r="D12" s="15" t="str">
        <x:v>Multiple choice</x:v>
      </x:c>
      <x:c r="E12" s="15" t="str">
        <x:v>Yes; No</x:v>
      </x:c>
      <x:c r="F12" s="15" t="str">
        <x:v>Yes</x:v>
      </x:c>
      <x:c r="G12" s="15" t="str">
        <x:v>A1 optional</x:v>
      </x:c>
    </x:row>
    <x:row r="13">
      <x:c r="A13" s="15" t="str">
        <x:v>Section B</x:v>
      </x:c>
      <x:c r="B13" s="15" t="str">
        <x:v>CHD1</x:v>
      </x:c>
      <x:c r="C13" s="15" t="str">
        <x:v>Frequent transaction failures increase the likelihood that customers reduce or stop using a bank.</x:v>
      </x:c>
      <x:c r="D13" s="15" t="str">
        <x:v>Linear scale / grid</x:v>
      </x:c>
      <x:c r="E13" s="15" t="str">
        <x:v>1=Strongly Disagree ... 5=Strongly Agree</x:v>
      </x:c>
      <x:c r="F13" s="15" t="str">
        <x:v>Yes</x:v>
      </x:c>
      <x:c r="G13" s="15" t="str">
        <x:v>Keep one response per row</x:v>
      </x:c>
    </x:row>
    <x:row r="14">
      <x:c r="A14" s="15" t="str">
        <x:v>Section B</x:v>
      </x:c>
      <x:c r="B14" s="15" t="str">
        <x:v>CHD2</x:v>
      </x:c>
      <x:c r="C14" s="15" t="str">
        <x:v>Unplanned downtime or unreliable digital channels contribute significantly to customer churn.</x:v>
      </x:c>
      <x:c r="D14" s="15" t="str">
        <x:v>Linear scale / grid</x:v>
      </x:c>
      <x:c r="E14" s="15" t="str">
        <x:v>1=Strongly Disagree ... 5=Strongly Agree</x:v>
      </x:c>
      <x:c r="F14" s="15" t="str">
        <x:v>Yes</x:v>
      </x:c>
      <x:c r="G14" s="15" t="str">
        <x:v>Keep one response per row</x:v>
      </x:c>
    </x:row>
    <x:row r="15">
      <x:c r="A15" s="15" t="str">
        <x:v>Section B</x:v>
      </x:c>
      <x:c r="B15" s="15" t="str">
        <x:v>CHD3</x:v>
      </x:c>
      <x:c r="C15" s="15" t="str">
        <x:v>Slow or ineffective resolution of complaints increases customers' likelihood of switching providers.</x:v>
      </x:c>
      <x:c r="D15" s="15" t="str">
        <x:v>Linear scale / grid</x:v>
      </x:c>
      <x:c r="E15" s="15" t="str">
        <x:v>1=Strongly Disagree ... 5=Strongly Agree</x:v>
      </x:c>
      <x:c r="F15" s="15" t="str">
        <x:v>Yes</x:v>
      </x:c>
      <x:c r="G15" s="15" t="str">
        <x:v>Keep one response per row</x:v>
      </x:c>
    </x:row>
    <x:row r="16">
      <x:c r="A16" s="15" t="str">
        <x:v>Section B</x:v>
      </x:c>
      <x:c r="B16" s="15" t="str">
        <x:v>CHD4</x:v>
      </x:c>
      <x:c r="C16" s="15" t="str">
        <x:v>High, unclear, or unexpected transaction charges contribute to customer churn.</x:v>
      </x:c>
      <x:c r="D16" s="15" t="str">
        <x:v>Linear scale / grid</x:v>
      </x:c>
      <x:c r="E16" s="15" t="str">
        <x:v>1=Strongly Disagree ... 5=Strongly Agree</x:v>
      </x:c>
      <x:c r="F16" s="15" t="str">
        <x:v>Yes</x:v>
      </x:c>
      <x:c r="G16" s="15" t="str">
        <x:v>Keep one response per row</x:v>
      </x:c>
    </x:row>
    <x:row r="17">
      <x:c r="A17" s="15" t="str">
        <x:v>Section B</x:v>
      </x:c>
      <x:c r="B17" s="15" t="str">
        <x:v>CHD5</x:v>
      </x:c>
      <x:c r="C17" s="15" t="str">
        <x:v>Fraud, cybersecurity incidents, or fear of financial loss reduce customers' willingness to remain with a provider.</x:v>
      </x:c>
      <x:c r="D17" s="15" t="str">
        <x:v>Linear scale / grid</x:v>
      </x:c>
      <x:c r="E17" s="15" t="str">
        <x:v>1=Strongly Disagree ... 5=Strongly Agree</x:v>
      </x:c>
      <x:c r="F17" s="15" t="str">
        <x:v>Yes</x:v>
      </x:c>
      <x:c r="G17" s="15" t="str">
        <x:v>Keep one response per row</x:v>
      </x:c>
    </x:row>
    <x:row r="18">
      <x:c r="A18" s="15" t="str">
        <x:v>Section B</x:v>
      </x:c>
      <x:c r="B18" s="15" t="str">
        <x:v>CHD6</x:v>
      </x:c>
      <x:c r="C18" s="15" t="str">
        <x:v>Poor usability or a difficult digital banking experience contributes to customer disengagement.</x:v>
      </x:c>
      <x:c r="D18" s="15" t="str">
        <x:v>Linear scale / grid</x:v>
      </x:c>
      <x:c r="E18" s="15" t="str">
        <x:v>1=Strongly Disagree ... 5=Strongly Agree</x:v>
      </x:c>
      <x:c r="F18" s="15" t="str">
        <x:v>Yes</x:v>
      </x:c>
      <x:c r="G18" s="15" t="str">
        <x:v>Keep one response per row</x:v>
      </x:c>
    </x:row>
    <x:row r="19">
      <x:c r="A19" s="15" t="str">
        <x:v>Section B</x:v>
      </x:c>
      <x:c r="B19" s="15" t="str">
        <x:v>CHD7</x:v>
      </x:c>
      <x:c r="C19" s="15" t="str">
        <x:v>Lack of relevant and personalized products or communication increases churn risk.</x:v>
      </x:c>
      <x:c r="D19" s="15" t="str">
        <x:v>Linear scale / grid</x:v>
      </x:c>
      <x:c r="E19" s="15" t="str">
        <x:v>1=Strongly Disagree ... 5=Strongly Agree</x:v>
      </x:c>
      <x:c r="F19" s="15" t="str">
        <x:v>Yes</x:v>
      </x:c>
      <x:c r="G19" s="15" t="str">
        <x:v>Keep one response per row</x:v>
      </x:c>
    </x:row>
    <x:row r="20">
      <x:c r="A20" s="15" t="str">
        <x:v>Section B</x:v>
      </x:c>
      <x:c r="B20" s="15" t="str">
        <x:v>CHD8</x:v>
      </x:c>
      <x:c r="C20" s="15" t="str">
        <x:v>More attractive services from fintechs, digital banks, or competing institutions increase customers' likelihood of switching.</x:v>
      </x:c>
      <x:c r="D20" s="15" t="str">
        <x:v>Linear scale / grid</x:v>
      </x:c>
      <x:c r="E20" s="15" t="str">
        <x:v>1=Strongly Disagree ... 5=Strongly Agree</x:v>
      </x:c>
      <x:c r="F20" s="15" t="str">
        <x:v>Yes</x:v>
      </x:c>
      <x:c r="G20" s="15" t="str">
        <x:v>Keep one response per row</x:v>
      </x:c>
    </x:row>
    <x:row r="21">
      <x:c r="A21" s="15" t="str">
        <x:v>Section B</x:v>
      </x:c>
      <x:c r="B21" s="15" t="str">
        <x:v>CHD9</x:v>
      </x:c>
      <x:c r="C21" s="15" t="str">
        <x:v>Declining trust in a financial institution is a major driver of customer churn.</x:v>
      </x:c>
      <x:c r="D21" s="15" t="str">
        <x:v>Linear scale / grid</x:v>
      </x:c>
      <x:c r="E21" s="15" t="str">
        <x:v>1=Strongly Disagree ... 5=Strongly Agree</x:v>
      </x:c>
      <x:c r="F21" s="15" t="str">
        <x:v>Yes</x:v>
      </x:c>
      <x:c r="G21" s="15" t="str">
        <x:v>Keep one response per row</x:v>
      </x:c>
    </x:row>
    <x:row r="22">
      <x:c r="A22" s="15" t="str">
        <x:v>Section B</x:v>
      </x:c>
      <x:c r="B22" s="15" t="str">
        <x:v>CHD10</x:v>
      </x:c>
      <x:c r="C22" s="15" t="str">
        <x:v>Repeated service problems can cause silent churn, where customers keep an account but move most activity elsewhere.</x:v>
      </x:c>
      <x:c r="D22" s="15" t="str">
        <x:v>Linear scale / grid</x:v>
      </x:c>
      <x:c r="E22" s="15" t="str">
        <x:v>1=Strongly Disagree ... 5=Strongly Agree</x:v>
      </x:c>
      <x:c r="F22" s="15" t="str">
        <x:v>Yes</x:v>
      </x:c>
      <x:c r="G22" s="15" t="str">
        <x:v>Keep one response per row</x:v>
      </x:c>
    </x:row>
    <x:row r="23">
      <x:c r="A23" s="15" t="str">
        <x:v>Section C</x:v>
      </x:c>
      <x:c r="B23" s="15" t="str">
        <x:v>AIA1</x:v>
      </x:c>
      <x:c r="C23" s="15" t="str">
        <x:v>My institution uses AI or advanced analytics to monitor changes in customer behaviour.</x:v>
      </x:c>
      <x:c r="D23" s="15" t="str">
        <x:v>Linear scale / grid</x:v>
      </x:c>
      <x:c r="E23" s="15" t="str">
        <x:v>1=Strongly Disagree ... 5=Strongly Agree</x:v>
      </x:c>
      <x:c r="F23" s="15" t="str">
        <x:v>Yes</x:v>
      </x:c>
      <x:c r="G23" s="15" t="str">
        <x:v>Keep one response per row</x:v>
      </x:c>
    </x:row>
    <x:row r="24">
      <x:c r="A24" s="15" t="str">
        <x:v>Section C</x:v>
      </x:c>
      <x:c r="B24" s="15" t="str">
        <x:v>AIA2</x:v>
      </x:c>
      <x:c r="C24" s="15" t="str">
        <x:v>Customer data from multiple digital touchpoints are integrated for churn or retention analysis.</x:v>
      </x:c>
      <x:c r="D24" s="15" t="str">
        <x:v>Linear scale / grid</x:v>
      </x:c>
      <x:c r="E24" s="15" t="str">
        <x:v>1=Strongly Disagree ... 5=Strongly Agree</x:v>
      </x:c>
      <x:c r="F24" s="15" t="str">
        <x:v>Yes</x:v>
      </x:c>
      <x:c r="G24" s="15" t="str">
        <x:v>Keep one response per row</x:v>
      </x:c>
    </x:row>
    <x:row r="25">
      <x:c r="A25" s="15" t="str">
        <x:v>Section C</x:v>
      </x:c>
      <x:c r="B25" s="15" t="str">
        <x:v>AIA3</x:v>
      </x:c>
      <x:c r="C25" s="15" t="str">
        <x:v>My institution uses automated or model-based risk scores to identify customers who may churn.</x:v>
      </x:c>
      <x:c r="D25" s="15" t="str">
        <x:v>Linear scale / grid</x:v>
      </x:c>
      <x:c r="E25" s="15" t="str">
        <x:v>1=Strongly Disagree ... 5=Strongly Agree</x:v>
      </x:c>
      <x:c r="F25" s="15" t="str">
        <x:v>Yes</x:v>
      </x:c>
      <x:c r="G25" s="15" t="str">
        <x:v>Keep one response per row</x:v>
      </x:c>
    </x:row>
    <x:row r="26">
      <x:c r="A26" s="15" t="str">
        <x:v>Section C</x:v>
      </x:c>
      <x:c r="B26" s="15" t="str">
        <x:v>AIA4</x:v>
      </x:c>
      <x:c r="C26" s="15" t="str">
        <x:v>AI-generated customer insights are integrated into customer-management or retention processes.</x:v>
      </x:c>
      <x:c r="D26" s="15" t="str">
        <x:v>Linear scale / grid</x:v>
      </x:c>
      <x:c r="E26" s="15" t="str">
        <x:v>1=Strongly Disagree ... 5=Strongly Agree</x:v>
      </x:c>
      <x:c r="F26" s="15" t="str">
        <x:v>Yes</x:v>
      </x:c>
      <x:c r="G26" s="15" t="str">
        <x:v>Keep one response per row</x:v>
      </x:c>
    </x:row>
    <x:row r="27">
      <x:c r="A27" s="15" t="str">
        <x:v>Section C</x:v>
      </x:c>
      <x:c r="B27" s="15" t="str">
        <x:v>AIA5</x:v>
      </x:c>
      <x:c r="C27" s="15" t="str">
        <x:v>AI or predictive models used for customer analytics are reviewed or updated as customer behaviour changes.</x:v>
      </x:c>
      <x:c r="D27" s="15" t="str">
        <x:v>Linear scale / grid</x:v>
      </x:c>
      <x:c r="E27" s="15" t="str">
        <x:v>1=Strongly Disagree ... 5=Strongly Agree</x:v>
      </x:c>
      <x:c r="F27" s="15" t="str">
        <x:v>Yes</x:v>
      </x:c>
      <x:c r="G27" s="15" t="str">
        <x:v>Keep one response per row</x:v>
      </x:c>
    </x:row>
    <x:row r="28">
      <x:c r="A28" s="15" t="str">
        <x:v>Section C</x:v>
      </x:c>
      <x:c r="B28" s="15" t="str">
        <x:v>AIA6</x:v>
      </x:c>
      <x:c r="C28" s="15" t="str">
        <x:v>Relevant staff can access AI-generated insights when making customer-retention decisions.</x:v>
      </x:c>
      <x:c r="D28" s="15" t="str">
        <x:v>Linear scale / grid</x:v>
      </x:c>
      <x:c r="E28" s="15" t="str">
        <x:v>1=Strongly Disagree ... 5=Strongly Agree</x:v>
      </x:c>
      <x:c r="F28" s="15" t="str">
        <x:v>Yes</x:v>
      </x:c>
      <x:c r="G28" s="15" t="str">
        <x:v>Keep one response per row</x:v>
      </x:c>
    </x:row>
    <x:row r="29">
      <x:c r="A29" s="15" t="str">
        <x:v>Section C</x:v>
      </x:c>
      <x:c r="B29" s="15" t="str">
        <x:v>AIA7</x:v>
      </x:c>
      <x:c r="C29" s="15" t="str">
        <x:v>Senior management supports the use of AI and analytics for customer-retention decisions.</x:v>
      </x:c>
      <x:c r="D29" s="15" t="str">
        <x:v>Linear scale / grid</x:v>
      </x:c>
      <x:c r="E29" s="15" t="str">
        <x:v>1=Strongly Disagree ... 5=Strongly Agree</x:v>
      </x:c>
      <x:c r="F29" s="15" t="str">
        <x:v>Yes</x:v>
      </x:c>
      <x:c r="G29" s="15" t="str">
        <x:v>Keep one response per row</x:v>
      </x:c>
    </x:row>
    <x:row r="30">
      <x:c r="A30" s="15" t="str">
        <x:v>Section C</x:v>
      </x:c>
      <x:c r="B30" s="15" t="str">
        <x:v>AIA8</x:v>
      </x:c>
      <x:c r="C30" s="15" t="str">
        <x:v>My institution has the data, skills, technology, and operating processes required to use AI effectively for customer retention.</x:v>
      </x:c>
      <x:c r="D30" s="15" t="str">
        <x:v>Linear scale / grid</x:v>
      </x:c>
      <x:c r="E30" s="15" t="str">
        <x:v>1=Strongly Disagree ... 5=Strongly Agree</x:v>
      </x:c>
      <x:c r="F30" s="15" t="str">
        <x:v>Yes</x:v>
      </x:c>
      <x:c r="G30" s="15" t="str">
        <x:v>Keep one response per row</x:v>
      </x:c>
    </x:row>
    <x:row r="31">
      <x:c r="A31" s="15" t="str">
        <x:v>Section D</x:v>
      </x:c>
      <x:c r="B31" s="15" t="str">
        <x:v>PAC1</x:v>
      </x:c>
      <x:c r="C31" s="15" t="str">
        <x:v>AI-driven analytics can identify customers at risk of churn before they fully disengage.</x:v>
      </x:c>
      <x:c r="D31" s="15" t="str">
        <x:v>Linear scale / grid</x:v>
      </x:c>
      <x:c r="E31" s="15" t="str">
        <x:v>1=Strongly Disagree ... 5=Strongly Agree</x:v>
      </x:c>
      <x:c r="F31" s="15" t="str">
        <x:v>Yes</x:v>
      </x:c>
      <x:c r="G31" s="15" t="str">
        <x:v>Keep one response per row</x:v>
      </x:c>
    </x:row>
    <x:row r="32">
      <x:c r="A32" s="15" t="str">
        <x:v>Section D</x:v>
      </x:c>
      <x:c r="B32" s="15" t="str">
        <x:v>PAC2</x:v>
      </x:c>
      <x:c r="C32" s="15" t="str">
        <x:v>Predictive analytics can detect silent churn through declining transaction or channel-usage patterns.</x:v>
      </x:c>
      <x:c r="D32" s="15" t="str">
        <x:v>Linear scale / grid</x:v>
      </x:c>
      <x:c r="E32" s="15" t="str">
        <x:v>1=Strongly Disagree ... 5=Strongly Agree</x:v>
      </x:c>
      <x:c r="F32" s="15" t="str">
        <x:v>Yes</x:v>
      </x:c>
      <x:c r="G32" s="15" t="str">
        <x:v>Keep one response per row</x:v>
      </x:c>
    </x:row>
    <x:row r="33">
      <x:c r="A33" s="15" t="str">
        <x:v>Section D</x:v>
      </x:c>
      <x:c r="B33" s="15" t="str">
        <x:v>PAC3</x:v>
      </x:c>
      <x:c r="C33" s="15" t="str">
        <x:v>Churn models can identify the main factors contributing to an individual customer's churn risk.</x:v>
      </x:c>
      <x:c r="D33" s="15" t="str">
        <x:v>Linear scale / grid</x:v>
      </x:c>
      <x:c r="E33" s="15" t="str">
        <x:v>1=Strongly Disagree ... 5=Strongly Agree</x:v>
      </x:c>
      <x:c r="F33" s="15" t="str">
        <x:v>Yes</x:v>
      </x:c>
      <x:c r="G33" s="15" t="str">
        <x:v>Keep one response per row</x:v>
      </x:c>
    </x:row>
    <x:row r="34">
      <x:c r="A34" s="15" t="str">
        <x:v>Section D</x:v>
      </x:c>
      <x:c r="B34" s="15" t="str">
        <x:v>PAC4</x:v>
      </x:c>
      <x:c r="C34" s="15" t="str">
        <x:v>The churn-risk outputs available to my institution are sufficiently accurate to support retention decisions.</x:v>
      </x:c>
      <x:c r="D34" s="15" t="str">
        <x:v>Linear scale / grid</x:v>
      </x:c>
      <x:c r="E34" s="15" t="str">
        <x:v>1=Strongly Disagree ... 5=Strongly Agree</x:v>
      </x:c>
      <x:c r="F34" s="15" t="str">
        <x:v>Yes</x:v>
      </x:c>
      <x:c r="G34" s="15" t="str">
        <x:v>Keep one response per row</x:v>
      </x:c>
    </x:row>
    <x:row r="35">
      <x:c r="A35" s="15" t="str">
        <x:v>Section D</x:v>
      </x:c>
      <x:c r="B35" s="15" t="str">
        <x:v>PAC5</x:v>
      </x:c>
      <x:c r="C35" s="15" t="str">
        <x:v>Churn-risk alerts are produced early enough for the institution to intervene.</x:v>
      </x:c>
      <x:c r="D35" s="15" t="str">
        <x:v>Linear scale / grid</x:v>
      </x:c>
      <x:c r="E35" s="15" t="str">
        <x:v>1=Strongly Disagree ... 5=Strongly Agree</x:v>
      </x:c>
      <x:c r="F35" s="15" t="str">
        <x:v>Yes</x:v>
      </x:c>
      <x:c r="G35" s="15" t="str">
        <x:v>Keep one response per row</x:v>
      </x:c>
    </x:row>
    <x:row r="36">
      <x:c r="A36" s="15" t="str">
        <x:v>Section D</x:v>
      </x:c>
      <x:c r="B36" s="15" t="str">
        <x:v>PAC6</x:v>
      </x:c>
      <x:c r="C36" s="15" t="str">
        <x:v>Predictive analytics helps prioritize customers who require urgent retention attention.</x:v>
      </x:c>
      <x:c r="D36" s="15" t="str">
        <x:v>Linear scale / grid</x:v>
      </x:c>
      <x:c r="E36" s="15" t="str">
        <x:v>1=Strongly Disagree ... 5=Strongly Agree</x:v>
      </x:c>
      <x:c r="F36" s="15" t="str">
        <x:v>Yes</x:v>
      </x:c>
      <x:c r="G36" s="15" t="str">
        <x:v>Keep one response per row</x:v>
      </x:c>
    </x:row>
    <x:row r="37">
      <x:c r="A37" s="15" t="str">
        <x:v>Section D</x:v>
      </x:c>
      <x:c r="B37" s="15" t="str">
        <x:v>PAC7</x:v>
      </x:c>
      <x:c r="C37" s="15" t="str">
        <x:v>The reasons behind churn predictions can be explained clearly enough to guide an appropriate response.</x:v>
      </x:c>
      <x:c r="D37" s="15" t="str">
        <x:v>Linear scale / grid</x:v>
      </x:c>
      <x:c r="E37" s="15" t="str">
        <x:v>1=Strongly Disagree ... 5=Strongly Agree</x:v>
      </x:c>
      <x:c r="F37" s="15" t="str">
        <x:v>Yes</x:v>
      </x:c>
      <x:c r="G37" s="15" t="str">
        <x:v>Keep one response per row</x:v>
      </x:c>
    </x:row>
    <x:row r="38">
      <x:c r="A38" s="15" t="str">
        <x:v>Section D</x:v>
      </x:c>
      <x:c r="B38" s="15" t="str">
        <x:v>PAC8</x:v>
      </x:c>
      <x:c r="C38" s="15" t="str">
        <x:v>The performance of churn-prediction models can be monitored and adjusted when customer behaviour or market conditions change.</x:v>
      </x:c>
      <x:c r="D38" s="15" t="str">
        <x:v>Linear scale / grid</x:v>
      </x:c>
      <x:c r="E38" s="15" t="str">
        <x:v>1=Strongly Disagree ... 5=Strongly Agree</x:v>
      </x:c>
      <x:c r="F38" s="15" t="str">
        <x:v>Yes</x:v>
      </x:c>
      <x:c r="G38" s="15" t="str">
        <x:v>Keep one response per row</x:v>
      </x:c>
    </x:row>
    <x:row r="39">
      <x:c r="A39" s="15" t="str">
        <x:v>Section E</x:v>
      </x:c>
      <x:c r="B39" s="15" t="str">
        <x:v>MLU1</x:v>
      </x:c>
      <x:c r="C39" s="15" t="str">
        <x:v>Logistic regression is suitable for customer churn prediction in Nigerian digital banking institutions.</x:v>
      </x:c>
      <x:c r="D39" s="15" t="str">
        <x:v>Linear scale / grid</x:v>
      </x:c>
      <x:c r="E39" s="15" t="str">
        <x:v>1=Strongly Disagree ... 5=Strongly Agree</x:v>
      </x:c>
      <x:c r="F39" s="15" t="str">
        <x:v>Yes</x:v>
      </x:c>
      <x:c r="G39" s="15" t="str">
        <x:v>Keep one response per row</x:v>
      </x:c>
    </x:row>
    <x:row r="40">
      <x:c r="A40" s="15" t="str">
        <x:v>Section E</x:v>
      </x:c>
      <x:c r="B40" s="15" t="str">
        <x:v>MLU2</x:v>
      </x:c>
      <x:c r="C40" s="15" t="str">
        <x:v>Decision-tree models are suitable for customer churn prediction in Nigerian digital banking institutions.</x:v>
      </x:c>
      <x:c r="D40" s="15" t="str">
        <x:v>Linear scale / grid</x:v>
      </x:c>
      <x:c r="E40" s="15" t="str">
        <x:v>1=Strongly Disagree ... 5=Strongly Agree</x:v>
      </x:c>
      <x:c r="F40" s="15" t="str">
        <x:v>Yes</x:v>
      </x:c>
      <x:c r="G40" s="15" t="str">
        <x:v>Keep one response per row</x:v>
      </x:c>
    </x:row>
    <x:row r="41">
      <x:c r="A41" s="15" t="str">
        <x:v>Section E</x:v>
      </x:c>
      <x:c r="B41" s="15" t="str">
        <x:v>MLU3</x:v>
      </x:c>
      <x:c r="C41" s="15" t="str">
        <x:v>Random Forest models are suitable for customer churn prediction in Nigerian digital banking institutions.</x:v>
      </x:c>
      <x:c r="D41" s="15" t="str">
        <x:v>Linear scale / grid</x:v>
      </x:c>
      <x:c r="E41" s="15" t="str">
        <x:v>1=Strongly Disagree ... 5=Strongly Agree</x:v>
      </x:c>
      <x:c r="F41" s="15" t="str">
        <x:v>Yes</x:v>
      </x:c>
      <x:c r="G41" s="15" t="str">
        <x:v>Keep one response per row</x:v>
      </x:c>
    </x:row>
    <x:row r="42">
      <x:c r="A42" s="15" t="str">
        <x:v>Section E</x:v>
      </x:c>
      <x:c r="B42" s="15" t="str">
        <x:v>MLU4</x:v>
      </x:c>
      <x:c r="C42" s="15" t="str">
        <x:v>Gradient-boosting techniques such as XGBoost or LightGBM are suitable for customer churn prediction in Nigerian digital banking institutions.</x:v>
      </x:c>
      <x:c r="D42" s="15" t="str">
        <x:v>Linear scale / grid</x:v>
      </x:c>
      <x:c r="E42" s="15" t="str">
        <x:v>1=Strongly Disagree ... 5=Strongly Agree</x:v>
      </x:c>
      <x:c r="F42" s="15" t="str">
        <x:v>Yes</x:v>
      </x:c>
      <x:c r="G42" s="15" t="str">
        <x:v>Keep one response per row</x:v>
      </x:c>
    </x:row>
    <x:row r="43">
      <x:c r="A43" s="15" t="str">
        <x:v>Section E</x:v>
      </x:c>
      <x:c r="B43" s="15" t="str">
        <x:v>MLU5</x:v>
      </x:c>
      <x:c r="C43" s="15" t="str">
        <x:v>Support Vector Machines are suitable for customer churn prediction in Nigerian digital banking institutions.</x:v>
      </x:c>
      <x:c r="D43" s="15" t="str">
        <x:v>Linear scale / grid</x:v>
      </x:c>
      <x:c r="E43" s="15" t="str">
        <x:v>1=Strongly Disagree ... 5=Strongly Agree</x:v>
      </x:c>
      <x:c r="F43" s="15" t="str">
        <x:v>Yes</x:v>
      </x:c>
      <x:c r="G43" s="15" t="str">
        <x:v>Keep one response per row</x:v>
      </x:c>
    </x:row>
    <x:row r="44">
      <x:c r="A44" s="15" t="str">
        <x:v>Section E</x:v>
      </x:c>
      <x:c r="B44" s="15" t="str">
        <x:v>MLU6</x:v>
      </x:c>
      <x:c r="C44" s="15" t="str">
        <x:v>Artificial neural networks are suitable for customer churn prediction in Nigerian digital banking institutions.</x:v>
      </x:c>
      <x:c r="D44" s="15" t="str">
        <x:v>Linear scale / grid</x:v>
      </x:c>
      <x:c r="E44" s="15" t="str">
        <x:v>1=Strongly Disagree ... 5=Strongly Agree</x:v>
      </x:c>
      <x:c r="F44" s="15" t="str">
        <x:v>Yes</x:v>
      </x:c>
      <x:c r="G44" s="15" t="str">
        <x:v>Keep one response per row</x:v>
      </x:c>
    </x:row>
    <x:row r="45">
      <x:c r="A45" s="15" t="str">
        <x:v>Section E</x:v>
      </x:c>
      <x:c r="B45" s="15" t="str">
        <x:v>MLU7</x:v>
      </x:c>
      <x:c r="C45" s="15" t="str">
        <x:v>Deep-learning methods are useful where sequential or high-volume customer transaction data are available.</x:v>
      </x:c>
      <x:c r="D45" s="15" t="str">
        <x:v>Linear scale / grid</x:v>
      </x:c>
      <x:c r="E45" s="15" t="str">
        <x:v>1=Strongly Disagree ... 5=Strongly Agree</x:v>
      </x:c>
      <x:c r="F45" s="15" t="str">
        <x:v>Yes</x:v>
      </x:c>
      <x:c r="G45" s="15" t="str">
        <x:v>Keep one response per row</x:v>
      </x:c>
    </x:row>
    <x:row r="46">
      <x:c r="A46" s="15" t="str">
        <x:v>Section E</x:v>
      </x:c>
      <x:c r="B46" s="15" t="str">
        <x:v>MLU8</x:v>
      </x:c>
      <x:c r="C46" s="15" t="str">
        <x:v>Customer segmentation or clustering should be combined with predictive models to improve churn-management decisions.</x:v>
      </x:c>
      <x:c r="D46" s="15" t="str">
        <x:v>Linear scale / grid</x:v>
      </x:c>
      <x:c r="E46" s="15" t="str">
        <x:v>1=Strongly Disagree ... 5=Strongly Agree</x:v>
      </x:c>
      <x:c r="F46" s="15" t="str">
        <x:v>Yes</x:v>
      </x:c>
      <x:c r="G46" s="15" t="str">
        <x:v>Keep one response per row</x:v>
      </x:c>
    </x:row>
    <x:row r="47">
      <x:c r="A47" s="15" t="str">
        <x:v>Section E</x:v>
      </x:c>
      <x:c r="B47" s="15" t="str">
        <x:v>MLU9</x:v>
      </x:c>
      <x:c r="C47" s="15" t="str">
        <x:v>Explainable-AI techniques such as SHAP or LIME are important for making churn predictions actionable and trustworthy.</x:v>
      </x:c>
      <x:c r="D47" s="15" t="str">
        <x:v>Linear scale / grid</x:v>
      </x:c>
      <x:c r="E47" s="15" t="str">
        <x:v>1=Strongly Disagree ... 5=Strongly Agree</x:v>
      </x:c>
      <x:c r="F47" s="15" t="str">
        <x:v>Yes</x:v>
      </x:c>
      <x:c r="G47" s="15" t="str">
        <x:v>Keep one response per row</x:v>
      </x:c>
    </x:row>
    <x:row r="48">
      <x:c r="A48" s="15" t="str">
        <x:v>Section F1</x:v>
      </x:c>
      <x:c r="B48" s="15" t="str">
        <x:v>RSO1</x:v>
      </x:c>
      <x:c r="C48" s="15" t="str">
        <x:v>AI-generated churn insights enable the institution to target retention actions at the customers who need them most.</x:v>
      </x:c>
      <x:c r="D48" s="15" t="str">
        <x:v>Linear scale / grid</x:v>
      </x:c>
      <x:c r="E48" s="15" t="str">
        <x:v>1=Strongly Disagree ... 5=Strongly Agree</x:v>
      </x:c>
      <x:c r="F48" s="15" t="str">
        <x:v>Yes</x:v>
      </x:c>
      <x:c r="G48" s="15" t="str">
        <x:v>Keep one response per row</x:v>
      </x:c>
    </x:row>
    <x:row r="49">
      <x:c r="A49" s="15" t="str">
        <x:v>Section F1</x:v>
      </x:c>
      <x:c r="B49" s="15" t="str">
        <x:v>RSO2</x:v>
      </x:c>
      <x:c r="C49" s="15" t="str">
        <x:v>Predictive insights improve the personalization of retention offers and customer communication.</x:v>
      </x:c>
      <x:c r="D49" s="15" t="str">
        <x:v>Linear scale / grid</x:v>
      </x:c>
      <x:c r="E49" s="15" t="str">
        <x:v>1=Strongly Disagree ... 5=Strongly Agree</x:v>
      </x:c>
      <x:c r="F49" s="15" t="str">
        <x:v>Yes</x:v>
      </x:c>
      <x:c r="G49" s="15" t="str">
        <x:v>Keep one response per row</x:v>
      </x:c>
    </x:row>
    <x:row r="50">
      <x:c r="A50" s="15" t="str">
        <x:v>Section F1</x:v>
      </x:c>
      <x:c r="B50" s="15" t="str">
        <x:v>RSO3</x:v>
      </x:c>
      <x:c r="C50" s="15" t="str">
        <x:v>AI-generated insights improve the timing of retention interventions.</x:v>
      </x:c>
      <x:c r="D50" s="15" t="str">
        <x:v>Linear scale / grid</x:v>
      </x:c>
      <x:c r="E50" s="15" t="str">
        <x:v>1=Strongly Disagree ... 5=Strongly Agree</x:v>
      </x:c>
      <x:c r="F50" s="15" t="str">
        <x:v>Yes</x:v>
      </x:c>
      <x:c r="G50" s="15" t="str">
        <x:v>Keep one response per row</x:v>
      </x:c>
    </x:row>
    <x:row r="51">
      <x:c r="A51" s="15" t="str">
        <x:v>Section F1</x:v>
      </x:c>
      <x:c r="B51" s="15" t="str">
        <x:v>RSO4</x:v>
      </x:c>
      <x:c r="C51" s="15" t="str">
        <x:v>Predictive analytics helps select the most appropriate communication channel or treatment for an at-risk customer.</x:v>
      </x:c>
      <x:c r="D51" s="15" t="str">
        <x:v>Linear scale / grid</x:v>
      </x:c>
      <x:c r="E51" s="15" t="str">
        <x:v>1=Strongly Disagree ... 5=Strongly Agree</x:v>
      </x:c>
      <x:c r="F51" s="15" t="str">
        <x:v>Yes</x:v>
      </x:c>
      <x:c r="G51" s="15" t="str">
        <x:v>Keep one response per row</x:v>
      </x:c>
    </x:row>
    <x:row r="52">
      <x:c r="A52" s="15" t="str">
        <x:v>Section F1</x:v>
      </x:c>
      <x:c r="B52" s="15" t="str">
        <x:v>RSO5</x:v>
      </x:c>
      <x:c r="C52" s="15" t="str">
        <x:v>Combining churn risk with customer value helps the institution prioritize retention resources more effectively.</x:v>
      </x:c>
      <x:c r="D52" s="15" t="str">
        <x:v>Linear scale / grid</x:v>
      </x:c>
      <x:c r="E52" s="15" t="str">
        <x:v>1=Strongly Disagree ... 5=Strongly Agree</x:v>
      </x:c>
      <x:c r="F52" s="15" t="str">
        <x:v>Yes</x:v>
      </x:c>
      <x:c r="G52" s="15" t="str">
        <x:v>Keep one response per row</x:v>
      </x:c>
    </x:row>
    <x:row r="53">
      <x:c r="A53" s="15" t="str">
        <x:v>Section F1</x:v>
      </x:c>
      <x:c r="B53" s="15" t="str">
        <x:v>RSO6</x:v>
      </x:c>
      <x:c r="C53" s="15" t="str">
        <x:v>Knowing the likely reason for churn enables more appropriate service-recovery actions.</x:v>
      </x:c>
      <x:c r="D53" s="15" t="str">
        <x:v>Linear scale / grid</x:v>
      </x:c>
      <x:c r="E53" s="15" t="str">
        <x:v>1=Strongly Disagree ... 5=Strongly Agree</x:v>
      </x:c>
      <x:c r="F53" s="15" t="str">
        <x:v>Yes</x:v>
      </x:c>
      <x:c r="G53" s="15" t="str">
        <x:v>Keep one response per row</x:v>
      </x:c>
    </x:row>
    <x:row r="54">
      <x:c r="A54" s="15" t="str">
        <x:v>Section F1</x:v>
      </x:c>
      <x:c r="B54" s="15" t="str">
        <x:v>RSO7</x:v>
      </x:c>
      <x:c r="C54" s="15" t="str">
        <x:v>AI-driven targeting reduces wasteful retention spending on customers who do not require intervention.</x:v>
      </x:c>
      <x:c r="D54" s="15" t="str">
        <x:v>Linear scale / grid</x:v>
      </x:c>
      <x:c r="E54" s="15" t="str">
        <x:v>1=Strongly Disagree ... 5=Strongly Agree</x:v>
      </x:c>
      <x:c r="F54" s="15" t="str">
        <x:v>Yes</x:v>
      </x:c>
      <x:c r="G54" s="15" t="str">
        <x:v>Keep one response per row</x:v>
      </x:c>
    </x:row>
    <x:row r="55">
      <x:c r="A55" s="15" t="str">
        <x:v>Section F1</x:v>
      </x:c>
      <x:c r="B55" s="15" t="str">
        <x:v>RSO8</x:v>
      </x:c>
      <x:c r="C55" s="15" t="str">
        <x:v>Feedback from retention outcomes is used to improve future churn models and interventions.</x:v>
      </x:c>
      <x:c r="D55" s="15" t="str">
        <x:v>Linear scale / grid</x:v>
      </x:c>
      <x:c r="E55" s="15" t="str">
        <x:v>1=Strongly Disagree ... 5=Strongly Agree</x:v>
      </x:c>
      <x:c r="F55" s="15" t="str">
        <x:v>Yes</x:v>
      </x:c>
      <x:c r="G55" s="15" t="str">
        <x:v>Keep one response per row</x:v>
      </x:c>
    </x:row>
    <x:row r="56">
      <x:c r="A56" s="15" t="str">
        <x:v>Section F2</x:v>
      </x:c>
      <x:c r="B56" s="15" t="str">
        <x:v>CRE1</x:v>
      </x:c>
      <x:c r="C56" s="15" t="str">
        <x:v>AI-driven predictive analytics has contributed to reducing customer churn in my institution.</x:v>
      </x:c>
      <x:c r="D56" s="15" t="str">
        <x:v>Linear scale / grid</x:v>
      </x:c>
      <x:c r="E56" s="15" t="str">
        <x:v>1=Strongly Disagree ... 5=Strongly Agree</x:v>
      </x:c>
      <x:c r="F56" s="15" t="str">
        <x:v>Yes</x:v>
      </x:c>
      <x:c r="G56" s="15" t="str">
        <x:v>Keep one response per row</x:v>
      </x:c>
    </x:row>
    <x:row r="57">
      <x:c r="A57" s="15" t="str">
        <x:v>Section F2</x:v>
      </x:c>
      <x:c r="B57" s="15" t="str">
        <x:v>CRE2</x:v>
      </x:c>
      <x:c r="C57" s="15" t="str">
        <x:v>AI-enabled retention practices have helped sustain customers' use of digital banking services.</x:v>
      </x:c>
      <x:c r="D57" s="15" t="str">
        <x:v>Linear scale / grid</x:v>
      </x:c>
      <x:c r="E57" s="15" t="str">
        <x:v>1=Strongly Disagree ... 5=Strongly Agree</x:v>
      </x:c>
      <x:c r="F57" s="15" t="str">
        <x:v>Yes</x:v>
      </x:c>
      <x:c r="G57" s="15" t="str">
        <x:v>Keep one response per row</x:v>
      </x:c>
    </x:row>
    <x:row r="58">
      <x:c r="A58" s="15" t="str">
        <x:v>Section F2</x:v>
      </x:c>
      <x:c r="B58" s="15" t="str">
        <x:v>CRE3</x:v>
      </x:c>
      <x:c r="C58" s="15" t="str">
        <x:v>AI-enabled retention practices have improved customer engagement.</x:v>
      </x:c>
      <x:c r="D58" s="15" t="str">
        <x:v>Linear scale / grid</x:v>
      </x:c>
      <x:c r="E58" s="15" t="str">
        <x:v>1=Strongly Disagree ... 5=Strongly Agree</x:v>
      </x:c>
      <x:c r="F58" s="15" t="str">
        <x:v>Yes</x:v>
      </x:c>
      <x:c r="G58" s="15" t="str">
        <x:v>Keep one response per row</x:v>
      </x:c>
    </x:row>
    <x:row r="59">
      <x:c r="A59" s="15" t="str">
        <x:v>Section F2</x:v>
      </x:c>
      <x:c r="B59" s="15" t="str">
        <x:v>CRE4</x:v>
      </x:c>
      <x:c r="C59" s="15" t="str">
        <x:v>AI-enabled retention practices have improved customer loyalty or relationship continuity.</x:v>
      </x:c>
      <x:c r="D59" s="15" t="str">
        <x:v>Linear scale / grid</x:v>
      </x:c>
      <x:c r="E59" s="15" t="str">
        <x:v>1=Strongly Disagree ... 5=Strongly Agree</x:v>
      </x:c>
      <x:c r="F59" s="15" t="str">
        <x:v>Yes</x:v>
      </x:c>
      <x:c r="G59" s="15" t="str">
        <x:v>Keep one response per row</x:v>
      </x:c>
    </x:row>
    <x:row r="60">
      <x:c r="A60" s="15" t="str">
        <x:v>Section F2</x:v>
      </x:c>
      <x:c r="B60" s="15" t="str">
        <x:v>CRE5</x:v>
      </x:c>
      <x:c r="C60" s="15" t="str">
        <x:v>AI-driven churn prediction has improved the effectiveness of retention campaigns or service-recovery efforts.</x:v>
      </x:c>
      <x:c r="D60" s="15" t="str">
        <x:v>Linear scale / grid</x:v>
      </x:c>
      <x:c r="E60" s="15" t="str">
        <x:v>1=Strongly Disagree ... 5=Strongly Agree</x:v>
      </x:c>
      <x:c r="F60" s="15" t="str">
        <x:v>Yes</x:v>
      </x:c>
      <x:c r="G60" s="15" t="str">
        <x:v>Keep one response per row</x:v>
      </x:c>
    </x:row>
    <x:row r="61">
      <x:c r="A61" s="15" t="str">
        <x:v>Section F2</x:v>
      </x:c>
      <x:c r="B61" s="15" t="str">
        <x:v>CRE6</x:v>
      </x:c>
      <x:c r="C61" s="15" t="str">
        <x:v>AI-driven churn prediction helps reduce silent migration of customer activity to competing providers.</x:v>
      </x:c>
      <x:c r="D61" s="15" t="str">
        <x:v>Linear scale / grid</x:v>
      </x:c>
      <x:c r="E61" s="15" t="str">
        <x:v>1=Strongly Disagree ... 5=Strongly Agree</x:v>
      </x:c>
      <x:c r="F61" s="15" t="str">
        <x:v>Yes</x:v>
      </x:c>
      <x:c r="G61" s="15" t="str">
        <x:v>Keep one response per row</x:v>
      </x:c>
    </x:row>
    <x:row r="62">
      <x:c r="A62" s="15" t="str">
        <x:v>Section F3</x:v>
      </x:c>
      <x:c r="B62" s="15" t="str">
        <x:v>IMP1</x:v>
      </x:c>
      <x:c r="C62" s="15" t="str">
        <x:v>High-quality, accessible customer data are essential for successful AI-enabled churn management.</x:v>
      </x:c>
      <x:c r="D62" s="15" t="str">
        <x:v>Linear scale / grid</x:v>
      </x:c>
      <x:c r="E62" s="15" t="str">
        <x:v>1=Strongly Disagree ... 5=Strongly Agree</x:v>
      </x:c>
      <x:c r="F62" s="15" t="str">
        <x:v>Yes</x:v>
      </x:c>
      <x:c r="G62" s="15" t="str">
        <x:v>Keep one response per row</x:v>
      </x:c>
    </x:row>
    <x:row r="63">
      <x:c r="A63" s="15" t="str">
        <x:v>Section F3</x:v>
      </x:c>
      <x:c r="B63" s="15" t="str">
        <x:v>IMP2</x:v>
      </x:c>
      <x:c r="C63" s="15" t="str">
        <x:v>Banks need adequate analytical and AI skills to translate churn predictions into business action.</x:v>
      </x:c>
      <x:c r="D63" s="15" t="str">
        <x:v>Linear scale / grid</x:v>
      </x:c>
      <x:c r="E63" s="15" t="str">
        <x:v>1=Strongly Disagree ... 5=Strongly Agree</x:v>
      </x:c>
      <x:c r="F63" s="15" t="str">
        <x:v>Yes</x:v>
      </x:c>
      <x:c r="G63" s="15" t="str">
        <x:v>Keep one response per row</x:v>
      </x:c>
    </x:row>
    <x:row r="64">
      <x:c r="A64" s="15" t="str">
        <x:v>Section F3</x:v>
      </x:c>
      <x:c r="B64" s="15" t="str">
        <x:v>IMP3</x:v>
      </x:c>
      <x:c r="C64" s="15" t="str">
        <x:v>AI-enabled churn systems should comply with applicable data-protection, privacy, and customer-protection requirements.</x:v>
      </x:c>
      <x:c r="D64" s="15" t="str">
        <x:v>Linear scale / grid</x:v>
      </x:c>
      <x:c r="E64" s="15" t="str">
        <x:v>1=Strongly Disagree ... 5=Strongly Agree</x:v>
      </x:c>
      <x:c r="F64" s="15" t="str">
        <x:v>Yes</x:v>
      </x:c>
      <x:c r="G64" s="15" t="str">
        <x:v>Keep one response per row</x:v>
      </x:c>
    </x:row>
    <x:row r="65">
      <x:c r="A65" s="15" t="str">
        <x:v>Section F3</x:v>
      </x:c>
      <x:c r="B65" s="15" t="str">
        <x:v>IMP4</x:v>
      </x:c>
      <x:c r="C65" s="15" t="str">
        <x:v>Explainability should be built into churn systems so managers can understand and act on model outputs.</x:v>
      </x:c>
      <x:c r="D65" s="15" t="str">
        <x:v>Linear scale / grid</x:v>
      </x:c>
      <x:c r="E65" s="15" t="str">
        <x:v>1=Strongly Disagree ... 5=Strongly Agree</x:v>
      </x:c>
      <x:c r="F65" s="15" t="str">
        <x:v>Yes</x:v>
      </x:c>
      <x:c r="G65" s="15" t="str">
        <x:v>Keep one response per row</x:v>
      </x:c>
    </x:row>
    <x:row r="66">
      <x:c r="A66" s="15" t="str">
        <x:v>Section F3</x:v>
      </x:c>
      <x:c r="B66" s="15" t="str">
        <x:v>IMP5</x:v>
      </x:c>
      <x:c r="C66" s="15" t="str">
        <x:v>Human oversight should remain part of customer-retention decisions informed by AI.</x:v>
      </x:c>
      <x:c r="D66" s="15" t="str">
        <x:v>Linear scale / grid</x:v>
      </x:c>
      <x:c r="E66" s="15" t="str">
        <x:v>1=Strongly Disagree ... 5=Strongly Agree</x:v>
      </x:c>
      <x:c r="F66" s="15" t="str">
        <x:v>Yes</x:v>
      </x:c>
      <x:c r="G66" s="15" t="str">
        <x:v>Keep one response per row</x:v>
      </x:c>
    </x:row>
    <x:row r="67">
      <x:c r="A67" s="15" t="str">
        <x:v>Section F3</x:v>
      </x:c>
      <x:c r="B67" s="15" t="str">
        <x:v>IMP6</x:v>
      </x:c>
      <x:c r="C67" s="15" t="str">
        <x:v>Churn models should be monitored for performance deterioration, bias, and changing customer behaviour.</x:v>
      </x:c>
      <x:c r="D67" s="15" t="str">
        <x:v>Linear scale / grid</x:v>
      </x:c>
      <x:c r="E67" s="15" t="str">
        <x:v>1=Strongly Disagree ... 5=Strongly Agree</x:v>
      </x:c>
      <x:c r="F67" s="15" t="str">
        <x:v>Yes</x:v>
      </x:c>
      <x:c r="G67" s="15" t="str">
        <x:v>Keep one response per row</x:v>
      </x:c>
    </x:row>
    <x:row r="68">
      <x:c r="A68" s="15" t="str">
        <x:v>Section F3</x:v>
      </x:c>
      <x:c r="B68" s="15" t="str">
        <x:v>IMP7</x:v>
      </x:c>
      <x:c r="C68" s="15" t="str">
        <x:v>Clear cross-functional ownership across business, technology, data, customer experience, and governance teams is necessary for successful implementation.</x:v>
      </x:c>
      <x:c r="D68" s="15" t="str">
        <x:v>Linear scale / grid</x:v>
      </x:c>
      <x:c r="E68" s="15" t="str">
        <x:v>1=Strongly Disagree ... 5=Strongly Agree</x:v>
      </x:c>
      <x:c r="F68" s="15" t="str">
        <x:v>Yes</x:v>
      </x:c>
      <x:c r="G68" s="15" t="str">
        <x:v>Keep one response per row</x:v>
      </x:c>
    </x:row>
    <x:row r="69">
      <x:c r="A69" s="15" t="str">
        <x:v>Section F3</x:v>
      </x:c>
      <x:c r="B69" s="15" t="str">
        <x:v>IMP8</x:v>
      </x:c>
      <x:c r="C69" s="15" t="str">
        <x:v>Accurate churn prediction will have limited retention value if underlying service-quality problems are not corrected.</x:v>
      </x:c>
      <x:c r="D69" s="15" t="str">
        <x:v>Linear scale / grid</x:v>
      </x:c>
      <x:c r="E69" s="15" t="str">
        <x:v>1=Strongly Disagree ... 5=Strongly Agree</x:v>
      </x:c>
      <x:c r="F69" s="15" t="str">
        <x:v>Yes</x:v>
      </x:c>
      <x:c r="G69" s="15" t="str">
        <x:v>Keep one response per row</x:v>
      </x:c>
    </x:row>
  </x:sheetData>
  <x:pageMargins left="0.7" right="0.7" top="0.75" bottom="0.75" header="0.3" footer="0.3"/>
  <x:tableParts count="1">
    <x:tablePart xmlns:r="http://schemas.openxmlformats.org/officeDocument/2006/relationships" r:id="Rdcd730298ddb4101"/>
  </x:tableParts>
</x:worksheet>
</file>